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户补充" sheetId="2" r:id="rId5"/>
    <sheet name="投放账户（维度数据）" sheetId="3" r:id="rId6"/>
    <sheet name="充值账户-投放（维度数据）" sheetId="4" r:id="rId7"/>
    <sheet name="基础信息" sheetId="5" r:id="rId8"/>
    <sheet name="枚举值" sheetId="6" r:id="rId9"/>
    <sheet name="Sheet5" sheetId="7" r:id="rId10"/>
    <sheet name="Sheet9" sheetId="8" r:id="rId11"/>
    <sheet name="Sheet10" sheetId="9" r:id="rId12"/>
    <sheet name="Sheet11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<sst xmlns="http://schemas.openxmlformats.org/spreadsheetml/2006/main" count="98" uniqueCount="98">
  <si>
    <t xml:space="preserve">  </t>
  </si>
  <si>
    <t/>
    <r>
      <rPr>
        <sz val="9.75"/>
        <color rgb="FF000000"/>
        <rFont val="Calibri"/>
        <family val="2"/>
      </rPr>
      <t>京东自营-</t>
    </r>
    <r>
      <rPr>
        <sz val="9.75"/>
        <color rgb="FFF54A45"/>
        <rFont val="Calibri"/>
        <family val="2"/>
      </rPr>
      <t>京</t>
    </r>
    <r>
      <rPr>
        <sz val="9.75"/>
        <color rgb="FF000000"/>
        <rFont val="Calibri"/>
        <family val="2"/>
      </rPr>
      <t>准通常规投放</t>
    </r>
  </si>
  <si>
    <t/>
    <r>
      <rPr>
        <u/>
        <sz val="9.75"/>
        <color theme="10"/>
        <rFont val="Calibri"/>
        <family val="2"/>
      </rPr>
      <t>gancao@yige-group.com</t>
    </r>
  </si>
  <si>
    <t/>
    <r>
      <rPr>
        <u/>
        <sz val="9.75"/>
        <color theme="10"/>
        <rFont val="Calibri"/>
        <family val="2"/>
      </rPr>
      <t>https://ad.bilibili.com/#/home</t>
    </r>
  </si>
  <si>
    <t/>
    <r>
      <rPr>
        <u/>
        <sz val="9.75"/>
        <color theme="10"/>
        <rFont val="Calibri"/>
        <family val="2"/>
      </rPr>
      <t>wanwan@yige-group.com</t>
    </r>
  </si>
  <si>
    <t/>
    <r>
      <rPr>
        <u/>
        <sz val="9.75"/>
        <color theme="10"/>
        <rFont val="Calibri"/>
        <family val="2"/>
      </rPr>
      <t>https://ad.oceanengine.com/</t>
    </r>
  </si>
  <si>
    <t/>
    <r>
      <rPr>
        <u/>
        <sz val="9.75"/>
        <color theme="10"/>
        <rFont val="Calibri"/>
        <family val="2"/>
      </rPr>
      <t>joy.du@mindshareworld.com</t>
    </r>
  </si>
  <si>
    <t/>
    <r>
      <rPr>
        <u/>
        <sz val="9.75"/>
        <color theme="10"/>
        <rFont val="Calibri"/>
        <family val="2"/>
      </rPr>
      <t>tangli@yige.us</t>
    </r>
  </si>
  <si>
    <t/>
    <r>
      <rPr>
        <u/>
        <sz val="9.75"/>
        <color theme="10"/>
        <rFont val="Calibri"/>
        <family val="2"/>
      </rPr>
      <t>https://partner.kaola.com/index</t>
    </r>
  </si>
  <si>
    <t/>
    <r>
      <rPr>
        <u/>
        <sz val="9.75"/>
        <color theme="10"/>
        <rFont val="Calibri"/>
        <family val="2"/>
      </rPr>
      <t>kongqing@yige-group.com</t>
    </r>
  </si>
  <si>
    <t/>
    <r>
      <rPr>
        <u/>
        <sz val="9.75"/>
        <color theme="10"/>
        <rFont val="Calibri"/>
        <family val="2"/>
      </rPr>
      <t>huaxizi_xinxliuad5@163.com</t>
    </r>
  </si>
  <si>
    <t/>
    <r>
      <rPr>
        <u/>
        <sz val="9.75"/>
        <color theme="10"/>
        <rFont val="Calibri"/>
        <family val="2"/>
      </rPr>
      <t>huaxizi_xinxliuad7@163.com</t>
    </r>
  </si>
  <si>
    <t/>
    <r>
      <rPr>
        <u/>
        <sz val="9.75"/>
        <color theme="10"/>
        <rFont val="Calibri"/>
        <family val="2"/>
      </rPr>
      <t>hongjin@yige-group.com</t>
    </r>
  </si>
  <si>
    <t/>
    <r>
      <rPr>
        <u/>
        <sz val="9.75"/>
        <color theme="10"/>
        <rFont val="Calibri"/>
        <family val="2"/>
      </rPr>
      <t>huaxizi_xinxiliuad4@163.com</t>
    </r>
    <r>
      <t xml:space="preserve"> </t>
    </r>
  </si>
  <si>
    <t/>
    <r>
      <rPr>
        <u/>
        <sz val="9.75"/>
        <color theme="10"/>
        <rFont val="Calibri"/>
        <family val="2"/>
      </rPr>
      <t>https://unidesk.taobao.com/index.html</t>
    </r>
  </si>
  <si>
    <t/>
    <r>
      <rPr>
        <strike/>
        <u/>
        <sz val="9.75"/>
        <color theme="10"/>
        <rFont val="Calibri"/>
        <family val="2"/>
      </rPr>
      <t>yige18072932996@163.com</t>
    </r>
  </si>
  <si>
    <t/>
    <r>
      <rPr>
        <u/>
        <sz val="9.75"/>
        <color theme="10"/>
        <rFont val="Calibri"/>
        <family val="2"/>
      </rPr>
      <t>hxzcaizhuang10@eastgarden.com</t>
    </r>
  </si>
  <si>
    <t/>
    <r>
      <rPr>
        <u/>
        <sz val="10.5"/>
        <color theme="10"/>
        <rFont val="Calibri"/>
        <family val="2"/>
      </rPr>
      <t>sd_xx@visionstar.cn</t>
    </r>
  </si>
  <si>
    <t/>
    <r>
      <rPr>
        <u/>
        <sz val="9.75"/>
        <color theme="10"/>
        <rFont val="Calibri"/>
        <family val="2"/>
      </rPr>
      <t>huaxizi_xinxiliuad@163.com</t>
    </r>
  </si>
  <si>
    <t/>
    <r>
      <rPr>
        <u/>
        <sz val="10.5"/>
        <color theme="10"/>
        <rFont val="Calibri"/>
        <family val="2"/>
      </rPr>
      <t>huaxizi_xhongshu2@163.com</t>
    </r>
  </si>
  <si>
    <t/>
    <r>
      <rPr>
        <u/>
        <sz val="9.75"/>
        <color theme="10"/>
        <rFont val="Calibri"/>
        <family val="2"/>
      </rPr>
      <t>adserving_ud0754@weibo.com</t>
    </r>
  </si>
  <si>
    <t/>
    <r>
      <rPr>
        <u/>
        <sz val="9.75"/>
        <color theme="10"/>
        <rFont val="Calibri"/>
        <family val="2"/>
      </rPr>
      <t>https://ad.weibo.com/promote2/advertisements?customer_id=6336556296</t>
    </r>
  </si>
  <si>
    <t/>
    <r>
      <rPr>
        <u/>
        <sz val="9.75"/>
        <color theme="10"/>
        <rFont val="Calibri"/>
        <family val="2"/>
      </rPr>
      <t>qinghe@zhimei.us</t>
    </r>
  </si>
  <si>
    <t/>
    <r>
      <rPr>
        <u/>
        <sz val="9.75"/>
        <color theme="10"/>
        <rFont val="Calibri"/>
        <family val="2"/>
      </rPr>
      <t>https://cas.baidu.com/?tpl=www2&amp;fromu=http%3A%2F%2Fwww2.b...ommon%2Fappinit.ajax</t>
    </r>
  </si>
  <si>
    <t/>
    <r>
      <rPr>
        <u/>
        <sz val="9.75"/>
        <color theme="10"/>
        <rFont val="Calibri"/>
        <family val="2"/>
      </rPr>
      <t>huaxizicai2@eastgarden.com</t>
    </r>
  </si>
  <si>
    <t/>
    <r>
      <rPr>
        <u/>
        <sz val="9.75"/>
        <color theme="10"/>
        <rFont val="Calibri"/>
        <family val="2"/>
      </rPr>
      <t>huaxizi_xinxliuad8@163.com</t>
    </r>
  </si>
  <si>
    <t/>
    <r>
      <rPr>
        <u/>
        <sz val="9.75"/>
        <color theme="10"/>
        <rFont val="Calibri"/>
        <family val="2"/>
      </rPr>
      <t>https://niu.e.kuaishou.com/manage?__accountId__=13304454</t>
    </r>
  </si>
  <si>
    <t/>
    <r>
      <rPr>
        <u/>
        <sz val="10.5"/>
        <color theme="10"/>
        <rFont val="Calibri"/>
        <family val="2"/>
      </rPr>
      <t>xhm_huaxizi02@163.com</t>
    </r>
  </si>
  <si>
    <t/>
    <r>
      <rPr>
        <u/>
        <sz val="9.75"/>
        <color theme="10"/>
        <rFont val="Calibri"/>
        <family val="2"/>
      </rPr>
      <t>https://ad.weibo.com/</t>
    </r>
  </si>
  <si>
    <t/>
    <r>
      <rPr>
        <u/>
        <sz val="9.75"/>
        <color theme="10"/>
        <rFont val="Calibri"/>
        <family val="2"/>
      </rPr>
      <t>https://ad.e.kuaishou.com/manage?__accountId__=14861051</t>
    </r>
  </si>
  <si>
    <t/>
    <r>
      <rPr>
        <u/>
        <sz val="9.75"/>
        <color theme="10"/>
        <rFont val="Calibri"/>
        <family val="2"/>
      </rPr>
      <t>huaxizicai1@eastgarden.com</t>
    </r>
  </si>
  <si>
    <t/>
    <r>
      <rPr>
        <sz val="9"/>
        <color rgb="FF1A253B"/>
        <rFont val="Calibri"/>
        <family val="2"/>
      </rPr>
      <t xml:space="preserve">
</t>
    </r>
    <r>
      <rPr>
        <sz val="9"/>
        <color rgb="FF1A253B"/>
        <rFont val="Calibri"/>
        <family val="2"/>
      </rPr>
      <t>32078833</t>
    </r>
  </si>
  <si>
    <t/>
    <r>
      <rPr>
        <u/>
        <sz val="9.75"/>
        <color theme="10"/>
        <rFont val="Calibri"/>
        <family val="2"/>
      </rPr>
      <t>https://business.oceanengine.com/site/promotion?#/account</t>
    </r>
  </si>
  <si>
    <t/>
    <r>
      <rPr>
        <u/>
        <sz val="9.75"/>
        <color theme="10"/>
        <rFont val="Calibri"/>
        <family val="2"/>
      </rPr>
      <t>huaxizi_xinxliuad2@163.com</t>
    </r>
  </si>
  <si>
    <t/>
    <r>
      <rPr>
        <u/>
        <sz val="9.75"/>
        <color theme="10"/>
        <rFont val="Calibri"/>
        <family val="2"/>
      </rPr>
      <t>https://ad.qq.com/atlas/23959502/index</t>
    </r>
  </si>
  <si>
    <t/>
    <r>
      <rPr>
        <u/>
        <sz val="9.75"/>
        <color theme="10"/>
        <rFont val="Calibri"/>
        <family val="2"/>
      </rPr>
      <t>huaxizi_xinxliuad9@163.com</t>
    </r>
  </si>
  <si>
    <t/>
    <r>
      <rPr>
        <sz val="9.75"/>
        <color rgb="FF000000"/>
        <rFont val="Calibri"/>
        <family val="2"/>
      </rPr>
      <t>空青、</t>
    </r>
    <r>
      <rPr>
        <strike/>
        <sz val="9.75"/>
        <color rgb="FF000000"/>
        <rFont val="Calibri"/>
        <family val="2"/>
      </rPr>
      <t>七禾、南嘉</t>
    </r>
  </si>
  <si>
    <t/>
    <r>
      <rPr>
        <b/>
        <u/>
        <sz val="9.75"/>
        <color theme="10"/>
        <rFont val="Calibri"/>
        <family val="2"/>
      </rPr>
      <t>jinyan@zhimei.us</t>
    </r>
  </si>
  <si>
    <t/>
    <r>
      <rPr>
        <u/>
        <sz val="9.75"/>
        <color theme="10"/>
        <rFont val="Calibri"/>
        <family val="2"/>
      </rPr>
      <t>yigehzp@163.com</t>
    </r>
  </si>
  <si>
    <t/>
    <r>
      <rPr>
        <b/>
        <u/>
        <sz val="9.75"/>
        <color theme="10"/>
        <rFont val="Calibri"/>
        <family val="2"/>
      </rPr>
      <t>https://product.shop.jd.com/rest/ware/list/manage?wareStatusStr=onSale&amp;firstQuery=1</t>
    </r>
  </si>
  <si>
    <t/>
    <r>
      <rPr>
        <b/>
        <u/>
        <sz val="9.75"/>
        <color theme="10"/>
        <rFont val="Calibri"/>
        <family val="2"/>
      </rPr>
      <t>huaxizi_xinxliuad2@163.com</t>
    </r>
  </si>
  <si>
    <t/>
    <r>
      <rPr>
        <b/>
        <u/>
        <sz val="9.75"/>
        <color theme="10"/>
        <rFont val="Calibri"/>
        <family val="2"/>
      </rPr>
      <t>https://business.oceanengine.com/site/promotion?#/account</t>
    </r>
  </si>
  <si>
    <t/>
    <r>
      <rPr>
        <b/>
        <u/>
        <sz val="9.75"/>
        <color theme="10"/>
        <rFont val="Calibri"/>
        <family val="2"/>
      </rPr>
      <t>https://doujia.douyin.com/</t>
    </r>
  </si>
  <si>
    <t/>
    <r>
      <rPr>
        <b/>
        <u/>
        <sz val="9.75"/>
        <color theme="10"/>
        <rFont val="Calibri"/>
        <family val="2"/>
      </rPr>
      <t>https://tuijian.taobao.com/indexbp.html?spm=a2e1u0.13920195.cf7687754.d17068800.2ab94d63TTfrAB#!/manage/def?spm=a2e1u0.13920195.cf7687754.d17068800.2ab94d63TTfrAB&amp;alias=def&amp;startTime=2022-12-06&amp;endTime=2022-12-06&amp;campaignGroupId=12563920&amp;marketScene=display_user_define&amp;statusList=START%2CPAUSE%2CWAIT</t>
    </r>
  </si>
  <si>
    <t/>
    <r>
      <rPr>
        <b/>
        <u/>
        <sz val="9.75"/>
        <color theme="10"/>
        <rFont val="Calibri"/>
        <family val="2"/>
      </rPr>
      <t>huaxizi_xhongshu2@163.com</t>
    </r>
  </si>
  <si>
    <t/>
    <r>
      <rPr>
        <b/>
        <u/>
        <sz val="9.75"/>
        <color theme="10"/>
        <rFont val="Calibri"/>
        <family val="2"/>
      </rPr>
      <t>https://ad.xiaohongshu.com/</t>
    </r>
  </si>
  <si>
    <t/>
    <r>
      <rPr>
        <b/>
        <u/>
        <sz val="9.75"/>
        <color theme="10"/>
        <rFont val="Calibri"/>
        <family val="2"/>
      </rPr>
      <t>https://ad.oceanengine.com/</t>
    </r>
  </si>
  <si>
    <t/>
    <r>
      <rPr>
        <b/>
        <u/>
        <sz val="9.75"/>
        <color theme="10"/>
        <rFont val="Calibri"/>
        <family val="2"/>
      </rPr>
      <t>huaxizi_xinxliuad8@163.com</t>
    </r>
  </si>
  <si>
    <t/>
    <r>
      <rPr>
        <b/>
        <u/>
        <sz val="9.75"/>
        <color theme="10"/>
        <rFont val="Calibri"/>
        <family val="2"/>
      </rPr>
      <t>https://jzt.jd.com/home/#/index</t>
    </r>
  </si>
  <si>
    <t/>
    <r>
      <rPr>
        <b/>
        <u/>
        <sz val="9.75"/>
        <color theme="10"/>
        <rFont val="Calibri"/>
        <family val="2"/>
      </rPr>
      <t>https://cas.baidu.com/?tpl=www2&amp;fromu=http%3A%2F%2Fwww2.b...ommon%2Fappinit.ajax</t>
    </r>
  </si>
  <si>
    <t/>
    <r>
      <rPr>
        <b/>
        <u/>
        <sz val="9.75"/>
        <color theme="10"/>
        <rFont val="Calibri"/>
        <family val="2"/>
      </rPr>
      <t>huaxizi_xinxiliuad4@163.com</t>
    </r>
    <r>
      <t xml:space="preserve"> </t>
    </r>
  </si>
  <si>
    <t/>
    <r>
      <rPr>
        <b/>
        <u/>
        <sz val="9.75"/>
        <color theme="10"/>
        <rFont val="Calibri"/>
        <family val="2"/>
      </rPr>
      <t>https://adbrain.taobao.com/indexbp.html?spm=a2etp.11817080.cf7687754.1.3cfc340cF6NZNK#!/live/report-rtp/index?alias=duration&amp;bizCode=adStrategyDuration&amp;perspective=report&amp;startTime=2022-11-12&amp;endTime=2022-12-05&amp;vs=false&amp;version=all&amp;dateType=history&amp;effect=15&amp;effectType=click&amp;tab=campaign&amp;reportQuery=%5Bobject%20Object%5D&amp;spm=</t>
    </r>
  </si>
  <si>
    <t/>
    <r>
      <rPr>
        <b/>
        <u/>
        <sz val="9.75"/>
        <color theme="10"/>
        <rFont val="Calibri"/>
        <family val="2"/>
      </rPr>
      <t>huaxizi_xinxiliuad@163.com</t>
    </r>
  </si>
  <si>
    <t/>
    <r>
      <rPr>
        <u/>
        <sz val="9.75"/>
        <color theme="10"/>
        <rFont val="Calibri"/>
        <family val="2"/>
      </rPr>
      <t>sd_xx@visionstar.cn</t>
    </r>
  </si>
  <si>
    <t/>
    <r>
      <rPr>
        <b/>
        <u/>
        <sz val="9.75"/>
        <color theme="10"/>
        <rFont val="Calibri"/>
        <family val="2"/>
      </rPr>
      <t>https://chaojihudong.taobao.com/indexbp.html?spm=a2e10l.13920195.cf7687754.d17068800.53f4677930Jd7Q#!/manage/shop-guarantee?alias=shop-guarantee&amp;perspective=manage</t>
    </r>
  </si>
  <si>
    <t/>
    <r>
      <rPr>
        <b/>
        <u/>
        <sz val="9.75"/>
        <color theme="10"/>
        <rFont val="Calibri"/>
        <family val="2"/>
      </rPr>
      <t>https://passport.vip.com/login?whereFrom=vipotd&amp;src=https%3A%2F%2Fe.vip.com%2Fmain.html</t>
    </r>
  </si>
  <si>
    <t/>
    <r>
      <rPr>
        <b/>
        <u/>
        <sz val="9.75"/>
        <color theme="10"/>
        <rFont val="Calibri"/>
        <family val="2"/>
      </rPr>
      <t>https://unidesk.taobao.com/index.html</t>
    </r>
  </si>
  <si>
    <t/>
    <r>
      <rPr>
        <b/>
        <u/>
        <sz val="9.75"/>
        <color theme="10"/>
        <rFont val="Calibri"/>
        <family val="2"/>
      </rPr>
      <t>https://ad.e.kuaishou.com/manage?__accountId__=14861051</t>
    </r>
  </si>
  <si>
    <t/>
    <r>
      <rPr>
        <b/>
        <u/>
        <sz val="9.75"/>
        <color theme="10"/>
        <rFont val="Calibri"/>
        <family val="2"/>
      </rPr>
      <t>https://subway.simba.taobao.com/index.jsp?spm=..0.da0f51bf8.6f372030STYU7d&amp;file=indexnew.jsp#!/manage/campaign/detail?campaignId=222191719&amp;start=2022-12-06&amp;end=2022-12-06</t>
    </r>
  </si>
  <si>
    <t/>
    <r>
      <rPr>
        <b/>
        <u/>
        <sz val="9.75"/>
        <color theme="10"/>
        <rFont val="Calibri"/>
        <family val="2"/>
      </rPr>
      <t>huaxizi_xinxliuad7@163.com</t>
    </r>
  </si>
  <si>
    <t/>
    <r>
      <rPr>
        <sz val="9.75"/>
        <color rgb="FF000000"/>
        <rFont val="Calibri"/>
        <family val="2"/>
      </rPr>
      <t>天猫-万</t>
    </r>
    <r>
      <t>相</t>
    </r>
    <r>
      <rPr>
        <sz val="9.75"/>
        <color rgb="FF000000"/>
        <rFont val="Calibri"/>
        <family val="2"/>
      </rPr>
      <t>台-超级短视频</t>
    </r>
  </si>
  <si>
    <t/>
    <r>
      <rPr>
        <b/>
        <u/>
        <sz val="9.75"/>
        <color theme="10"/>
        <rFont val="Calibri"/>
        <family val="2"/>
      </rPr>
      <t>shiguang2251@ten-box.cn</t>
    </r>
  </si>
  <si>
    <t/>
    <r>
      <rPr>
        <b/>
        <u/>
        <sz val="9.75"/>
        <color theme="10"/>
        <rFont val="Calibri"/>
        <family val="2"/>
      </rPr>
      <t>https://niu.e.kuaishou.com/manage?__accountId__=13304454</t>
    </r>
  </si>
  <si>
    <t/>
    <r>
      <rPr>
        <b/>
        <u/>
        <sz val="9.75"/>
        <color theme="10"/>
        <rFont val="Calibri"/>
        <family val="2"/>
      </rPr>
      <t>huaxizi_xhongshu4@163.com</t>
    </r>
  </si>
  <si>
    <t/>
    <r>
      <rPr>
        <b/>
        <u/>
        <sz val="9.75"/>
        <color theme="10"/>
        <rFont val="Calibri"/>
        <family val="2"/>
      </rPr>
      <t>https://ad.qq.com/atlas/23959502/index</t>
    </r>
  </si>
  <si>
    <t/>
    <r>
      <rPr>
        <b/>
        <u/>
        <sz val="9.75"/>
        <color theme="10"/>
        <rFont val="Calibri"/>
        <family val="2"/>
      </rPr>
      <t>https://branding.taobao.com/index.action?spm=a2e0z.13920195.cf7687754.ddb5ad158.d9df6c51tgUS2R&amp;file=index.action#!/account/index</t>
    </r>
  </si>
  <si>
    <t/>
    <r>
      <rPr>
        <b/>
        <u/>
        <sz val="9.75"/>
        <color theme="10"/>
        <rFont val="Calibri"/>
        <family val="2"/>
      </rPr>
      <t>https://partner.kaola.com/index</t>
    </r>
  </si>
  <si>
    <t/>
    <r>
      <rPr>
        <b/>
        <u/>
        <sz val="9.75"/>
        <color theme="10"/>
        <rFont val="Calibri"/>
        <family val="2"/>
      </rPr>
      <t>https://ad.weibo.com/</t>
    </r>
  </si>
  <si>
    <t/>
    <r>
      <rPr>
        <b/>
        <u/>
        <sz val="9.75"/>
        <color theme="10"/>
        <rFont val="Calibri"/>
        <family val="2"/>
      </rPr>
      <t>shiguang2272@ten-box.cn</t>
    </r>
  </si>
  <si>
    <t/>
    <r>
      <rPr>
        <b/>
        <u/>
        <sz val="9.75"/>
        <color theme="10"/>
        <rFont val="Calibri"/>
        <family val="2"/>
      </rPr>
      <t>huaxizi_xinxliuad5@163.com</t>
    </r>
  </si>
  <si>
    <t/>
    <r>
      <rPr>
        <b/>
        <u/>
        <sz val="9.75"/>
        <color theme="10"/>
        <rFont val="Calibri"/>
        <family val="2"/>
      </rPr>
      <t>shiguang1450@ten-box.cn</t>
    </r>
  </si>
  <si>
    <t/>
    <r>
      <rPr>
        <b/>
        <u/>
        <sz val="9.75"/>
        <color theme="10"/>
        <rFont val="Calibri"/>
        <family val="2"/>
      </rPr>
      <t>shiguang2824@ten-box.cn</t>
    </r>
  </si>
  <si>
    <t/>
    <r>
      <rPr>
        <b/>
        <u/>
        <sz val="9.75"/>
        <color theme="10"/>
        <rFont val="Calibri"/>
        <family val="2"/>
      </rPr>
      <t>huaxizi_xinxliuad9@163.com</t>
    </r>
  </si>
  <si>
    <t/>
    <r>
      <rPr>
        <b/>
        <u/>
        <sz val="9.75"/>
        <color theme="10"/>
        <rFont val="Calibri"/>
        <family val="2"/>
      </rPr>
      <t>joy.du@mindshareworld.com</t>
    </r>
  </si>
  <si>
    <t/>
    <r>
      <rPr>
        <sz val="9.75"/>
        <color rgb="FF000000"/>
        <rFont val="Calibri"/>
        <family val="2"/>
      </rPr>
      <t>天猫-万</t>
    </r>
    <r>
      <rPr>
        <sz val="9.75"/>
        <color rgb="FFF54A45"/>
        <rFont val="Calibri"/>
        <family val="2"/>
      </rPr>
      <t>相</t>
    </r>
    <r>
      <rPr>
        <sz val="9.75"/>
        <color rgb="FF000000"/>
        <rFont val="Calibri"/>
        <family val="2"/>
      </rPr>
      <t>台-超级直播</t>
    </r>
  </si>
  <si>
    <t/>
    <r>
      <rPr>
        <u/>
        <sz val="9"/>
        <color theme="10"/>
        <rFont val="Calibri"/>
        <family val="2"/>
      </rPr>
      <t>hxzcaizhuang10@eastgarden.com</t>
    </r>
  </si>
  <si>
    <t/>
    <r>
      <rPr>
        <u/>
        <sz val="9"/>
        <color theme="10"/>
        <rFont val="Calibri"/>
        <family val="2"/>
      </rPr>
      <t>huaxizicai1@eastgarden.com</t>
    </r>
  </si>
  <si>
    <t/>
    <r>
      <rPr>
        <u/>
        <sz val="9"/>
        <color theme="10"/>
        <rFont val="Calibri"/>
        <family val="2"/>
      </rPr>
      <t>yige18072932996@163.com</t>
    </r>
  </si>
  <si>
    <t/>
    <r>
      <rPr>
        <u/>
        <sz val="9"/>
        <color theme="10"/>
        <rFont val="Calibri"/>
        <family val="2"/>
      </rPr>
      <t>huaxizicai2@eastgarden.com</t>
    </r>
  </si>
  <si>
    <t/>
    <r>
      <rPr>
        <u/>
        <sz val="10.5"/>
        <color theme="10"/>
        <rFont val="Calibri"/>
        <family val="2"/>
      </rPr>
      <t>huaxizi_xinxliuad5@163.com</t>
    </r>
  </si>
  <si>
    <t/>
    <r>
      <rPr>
        <u/>
        <sz val="10.5"/>
        <color theme="10"/>
        <rFont val="Calibri"/>
        <family val="2"/>
      </rPr>
      <t>huaxizi_xinxliuad7@163.com</t>
    </r>
  </si>
  <si>
    <t/>
    <r>
      <rPr>
        <u/>
        <sz val="10.5"/>
        <color theme="10"/>
        <rFont val="Calibri"/>
        <family val="2"/>
      </rPr>
      <t>huaxizi_xinxliuad8@163.com</t>
    </r>
  </si>
  <si>
    <t/>
    <r>
      <rPr>
        <u/>
        <sz val="10.5"/>
        <color theme="10"/>
        <rFont val="Calibri"/>
        <family val="2"/>
      </rPr>
      <t>joy.du@mindshareworld.com</t>
    </r>
  </si>
  <si>
    <t/>
    <r>
      <rPr>
        <u/>
        <sz val="10.5"/>
        <color theme="10"/>
        <rFont val="Calibri"/>
        <family val="2"/>
      </rPr>
      <t>huaxizicai1@eastgarden.com</t>
    </r>
  </si>
  <si>
    <t/>
    <r>
      <rPr>
        <u/>
        <sz val="10.5"/>
        <color theme="10"/>
        <rFont val="Calibri"/>
        <family val="2"/>
      </rPr>
      <t>adserving_ud0754@weibo.com</t>
    </r>
  </si>
  <si>
    <t/>
    <r>
      <rPr>
        <u/>
        <sz val="10.5"/>
        <color theme="10"/>
        <rFont val="Calibri"/>
        <family val="2"/>
      </rPr>
      <t>huaxizicai2@eastgarden.com</t>
    </r>
  </si>
  <si>
    <t/>
    <r>
      <rPr>
        <u/>
        <sz val="10.5"/>
        <color theme="10"/>
        <rFont val="Calibri"/>
        <family val="2"/>
      </rPr>
      <t>huaxizi_xinxliuad2@163.com</t>
    </r>
  </si>
  <si>
    <t/>
    <r>
      <rPr>
        <u/>
        <sz val="10.5"/>
        <color theme="10"/>
        <rFont val="Calibri"/>
        <family val="2"/>
      </rPr>
      <t>kongqing@yige-group.com</t>
    </r>
  </si>
  <si>
    <t/>
    <r>
      <rPr>
        <u/>
        <sz val="10.5"/>
        <color theme="10"/>
        <rFont val="Calibri"/>
        <family val="2"/>
      </rPr>
      <t>huaxizi_xinxiliuad4@163.com</t>
    </r>
  </si>
  <si>
    <t/>
    <r>
      <rPr>
        <u/>
        <sz val="10.5"/>
        <color theme="10"/>
        <rFont val="Calibri"/>
        <family val="2"/>
      </rPr>
      <t>yige18072932996@163.com</t>
    </r>
  </si>
  <si>
    <t/>
    <r>
      <rPr>
        <u/>
        <sz val="10.5"/>
        <color theme="10"/>
        <rFont val="Calibri"/>
        <family val="2"/>
      </rPr>
      <t>gancao@yige-group.com</t>
    </r>
  </si>
  <si>
    <t/>
    <r>
      <rPr>
        <u/>
        <sz val="10.5"/>
        <color theme="10"/>
        <rFont val="Calibri"/>
        <family val="2"/>
      </rPr>
      <t>hxzcaizhuang10@eastgarden.com</t>
    </r>
  </si>
  <si>
    <t/>
    <r>
      <rPr>
        <u/>
        <sz val="10.5"/>
        <color theme="10"/>
        <rFont val="Calibri"/>
        <family val="2"/>
      </rPr>
      <t>qinghe@zhimei.us</t>
    </r>
  </si>
  <si>
    <t/>
    <r>
      <rPr>
        <u/>
        <sz val="10.5"/>
        <color theme="10"/>
        <rFont val="Calibri"/>
        <family val="2"/>
      </rPr>
      <t>huaxizi_xinxiliuad@163.com</t>
    </r>
  </si>
  <si>
    <t/>
    <r>
      <rPr>
        <u/>
        <sz val="10.5"/>
        <color theme="10"/>
        <rFont val="Calibri"/>
        <family val="2"/>
      </rPr>
      <t>huaxizi_xinxliuad9@163.com</t>
    </r>
  </si>
  <si>
    <t/>
    <r>
      <rPr>
        <u/>
        <sz val="10.5"/>
        <color theme="10"/>
        <rFont val="Calibri"/>
        <family val="2"/>
      </rPr>
      <t>wanwan@yige-group.com</t>
    </r>
  </si>
  <si>
    <t/>
    <r>
      <rPr>
        <u/>
        <sz val="10.5"/>
        <color theme="10"/>
        <rFont val="Calibri"/>
        <family val="2"/>
      </rPr>
      <t>hongjin@yige-group.com</t>
    </r>
  </si>
  <si>
    <t/>
    <r>
      <rPr>
        <u/>
        <sz val="10.5"/>
        <color theme="10"/>
        <rFont val="Calibri"/>
        <family val="2"/>
      </rPr>
      <t>tangli@yige.us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</si>
</sst>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@"/>
    <numFmt numFmtId="165" formatCode="0"/>
    <numFmt numFmtId="166" formatCode="0"/>
    <numFmt numFmtId="167" formatCode="0"/>
    <numFmt numFmtId="168" formatCode="yyyy/m/d"/>
    <numFmt numFmtId="169" formatCode="@"/>
    <numFmt numFmtId="170" formatCode="@"/>
    <numFmt numFmtId="171" formatCode="@"/>
    <numFmt numFmtId="172" formatCode="@"/>
  </numFmts>
  <fonts count="13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"/>
      <color rgb="FF0C0C0C"/>
      <name val="Calibri"/>
      <family val="2"/>
      <scheme val="minor"/>
    </font>
    <font>
      <sz val="9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1A253B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A253B"/>
      <name val="Calibri"/>
      <family val="2"/>
      <scheme val="minor"/>
    </font>
    <font>
      <sz val="9.75"/>
      <color rgb="FF1A253B"/>
      <name val="Calibri"/>
      <family val="2"/>
      <scheme val="minor"/>
    </font>
    <font>
      <i val="true"/>
      <sz val="9.75"/>
      <color rgb="FF1F2329"/>
      <name val="Calibri"/>
      <family val="2"/>
      <scheme val="minor"/>
    </font>
    <font>
      <i val="true"/>
      <sz val="9.75"/>
      <color rgb="FF1F2329"/>
      <name val="Calibri"/>
      <family val="2"/>
      <scheme val="minor"/>
    </font>
    <font>
      <i val="true"/>
      <sz val="9.75"/>
      <color rgb="FF1F2329"/>
      <name val="Calibri"/>
      <family val="2"/>
      <scheme val="minor"/>
    </font>
    <font>
      <i val="true"/>
      <sz val="9.7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z val="9.75"/>
      <color rgb="FF33333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333333"/>
      <name val="Calibri"/>
      <family val="2"/>
      <scheme val="minor"/>
    </font>
    <font>
      <sz val="9.75"/>
      <color rgb="FF1A253B"/>
      <name val="Calibri"/>
      <family val="2"/>
      <scheme val="minor"/>
    </font>
    <font>
      <sz val="9.75"/>
      <color rgb="FF1A253B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70C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3333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1A253B"/>
      <name val="Calibri"/>
      <family val="2"/>
      <scheme val="minor"/>
    </font>
    <font>
      <sz val="9.75"/>
      <color rgb="FF165E6E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70C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23335"/>
      <name val="Calibri"/>
      <family val="2"/>
      <scheme val="minor"/>
    </font>
    <font>
      <sz val="9"/>
      <color rgb="FF323335"/>
      <name val="Calibri"/>
      <family val="2"/>
      <scheme val="minor"/>
    </font>
    <font>
      <sz val="9"/>
      <color rgb="FFFFFFFF"/>
      <name val="Calibri"/>
      <family val="2"/>
      <scheme val="minor"/>
    </font>
    <font>
      <sz val="9"/>
      <color rgb="FF0C0C0C"/>
      <name val="Calibri"/>
      <family val="2"/>
      <scheme val="minor"/>
    </font>
    <font>
      <u val="single"/>
      <sz val="9"/>
      <color rgb="FF0000EE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7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FFF00"/>
        <bgColor/>
      </patternFill>
    </fill>
    <fill>
      <patternFill patternType="solid">
        <fgColor rgb="FF5B9BD5"/>
        <bgColor/>
      </patternFill>
    </fill>
    <fill>
      <patternFill patternType="solid">
        <fgColor rgb="FFD9F3FD"/>
        <bgColor/>
      </patternFill>
    </fill>
    <fill>
      <patternFill patternType="solid">
        <fgColor rgb="FF7EDAFB"/>
        <bgColor/>
      </patternFill>
    </fill>
    <fill>
      <patternFill patternType="solid">
        <fgColor rgb="FFEDF1F7"/>
        <bgColor/>
      </patternFill>
    </fill>
    <fill>
      <patternFill patternType="solid">
        <fgColor rgb="FFF9FAFC"/>
        <bgColor/>
      </patternFill>
    </fill>
    <fill>
      <patternFill patternType="solid">
        <fgColor rgb="FFFEFFFF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BFCFD"/>
        <bgColor/>
      </patternFill>
    </fill>
    <fill>
      <patternFill patternType="solid">
        <fgColor rgb="FFE5EDF9"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  <fill>
      <patternFill patternType="solid">
        <fgColor rgb="FFD9F3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D9F3FD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E1EBF9"/>
        <bgColor/>
      </patternFill>
    </fill>
    <fill>
      <patternFill patternType="solid">
        <fgColor rgb="FFD9F5D6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3370FF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BFCFC"/>
        <bgColor/>
      </patternFill>
    </fill>
    <fill>
      <patternFill patternType="solid">
        <fgColor rgb="FF5B9BD5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</fills>
  <borders count="1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1E5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2" fontId="5" numFmtId="0" xfId="0">
      <alignment horizontal="center" vertical="center"/>
    </xf>
    <xf applyAlignment="true" applyBorder="false" applyFill="false" applyFont="true" applyNumberFormat="false" applyProtection="false" borderId="6" fillId="3" fontId="6" numFmtId="0" xfId="0">
      <alignment vertical="center" wrapText="true"/>
    </xf>
    <xf applyAlignment="true" applyBorder="false" applyFill="false" applyFont="true" applyNumberFormat="false" applyProtection="false" borderId="7" fillId="4" fontId="7" numFmtId="0" xfId="0">
      <alignment horizontal="center" vertical="center" wrapText="true"/>
    </xf>
    <xf applyAlignment="true" applyBorder="false" applyFill="false" applyFont="true" applyNumberFormat="false" applyProtection="false" borderId="8" fillId="5" fontId="8" numFmtId="0" xfId="0">
      <alignment horizontal="center" vertical="bottom"/>
    </xf>
    <xf applyAlignment="true" applyBorder="false" applyFill="false" applyFont="true" applyNumberFormat="false" applyProtection="false" borderId="9" fillId="6" fontId="9" numFmtId="0" xfId="0">
      <alignment horizontal="center" vertical="bottom"/>
    </xf>
    <xf applyAlignment="true" applyBorder="false" applyFill="false" applyFont="true" applyNumberFormat="false" applyProtection="false" borderId="10" fillId="0" fontId="10" numFmtId="0" xfId="0">
      <alignment horizontal="left" vertical="bottom"/>
    </xf>
    <xf applyAlignment="true" applyBorder="false" applyFill="false" applyFont="true" applyNumberFormat="false" applyProtection="false" borderId="11" fillId="0" fontId="11" numFmtId="0" xfId="0">
      <alignment horizontal="left" vertical="center" wrapText="true"/>
    </xf>
    <xf applyAlignment="true" applyBorder="false" applyFill="false" applyFont="true" applyNumberFormat="false" applyProtection="false" borderId="12" fillId="0" fontId="12" numFmtId="0" xfId="0">
      <alignment horizontal="left" vertical="center"/>
    </xf>
    <xf applyAlignment="true" applyBorder="false" applyFill="false" applyFont="true" applyNumberFormat="false" applyProtection="false" borderId="13" fillId="0" fontId="13" numFmtId="0" xfId="0">
      <alignment horizontal="left" vertical="bottom"/>
    </xf>
    <xf applyAlignment="true" applyBorder="false" applyFill="false" applyFont="true" applyNumberFormat="false" applyProtection="false" borderId="14" fillId="7" fontId="14" numFmtId="0" xfId="0">
      <alignment horizontal="left" vertical="center"/>
    </xf>
    <xf applyAlignment="true" applyBorder="false" applyFill="false" applyFont="true" applyNumberFormat="false" applyProtection="false" borderId="15" fillId="8" fontId="15" numFmtId="0" xfId="0">
      <alignment horizontal="left" vertical="center"/>
    </xf>
    <xf applyAlignment="true" applyBorder="false" applyFill="false" applyFont="true" applyNumberFormat="false" applyProtection="false" borderId="16" fillId="0" fontId="16" numFmtId="0" xfId="0">
      <alignment horizontal="left" vertical="center"/>
    </xf>
    <xf applyAlignment="true" applyBorder="false" applyFill="false" applyFont="true" applyNumberFormat="false" applyProtection="false" borderId="17" fillId="0" fontId="17" numFmtId="0" xfId="0">
      <alignment horizontal="left" vertical="center" wrapText="true"/>
    </xf>
    <xf applyAlignment="true" applyBorder="false" applyFill="false" applyFont="true" applyNumberFormat="false" applyProtection="false" borderId="18" fillId="0" fontId="18" numFmtId="0" xfId="0">
      <alignment horizontal="left" vertical="center" wrapText="true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9" fontId="21" numFmtId="0" xfId="0">
      <alignment horizontal="left" vertical="center" wrapText="true"/>
    </xf>
    <xf applyAlignment="true" applyBorder="false" applyFill="false" applyFont="true" applyNumberFormat="false" applyProtection="false" borderId="22" fillId="0" fontId="22" numFmtId="0" xfId="0">
      <alignment horizontal="left" vertical="center"/>
    </xf>
    <xf applyAlignment="true" applyBorder="false" applyFill="false" applyFont="true" applyNumberFormat="false" applyProtection="false" borderId="23" fillId="0" fontId="23" numFmtId="0" xfId="0">
      <alignment horizontal="left" vertical="bottom"/>
    </xf>
    <xf applyAlignment="true" applyBorder="false" applyFill="false" applyFont="true" applyNumberFormat="false" applyProtection="false" borderId="24" fillId="0" fontId="24" numFmtId="0" xfId="0">
      <alignment horizontal="left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10" fontId="27" numFmtId="0" xfId="0">
      <alignment horizontal="left" vertical="center" wrapText="true"/>
    </xf>
    <xf applyAlignment="true" applyBorder="false" applyFill="false" applyFont="true" applyNumberFormat="false" applyProtection="false" borderId="28" fillId="11" fontId="28" numFmtId="0" xfId="0">
      <alignment horizontal="left" vertical="center" wrapText="true"/>
    </xf>
    <xf applyAlignment="true" applyBorder="false" applyFill="false" applyFont="true" applyNumberFormat="false" applyProtection="false" borderId="29" fillId="0" fontId="29" numFmtId="0" xfId="0">
      <alignment horizontal="left" vertical="center" wrapText="true"/>
    </xf>
    <xf applyAlignment="true" applyBorder="false" applyFill="false" applyFont="true" applyNumberFormat="false" applyProtection="false" borderId="30" fillId="0" fontId="30" numFmtId="0" xfId="0">
      <alignment horizontal="left" vertical="center"/>
    </xf>
    <xf applyAlignment="true" applyBorder="false" applyFill="false" applyFont="true" applyNumberFormat="false" applyProtection="false" borderId="31" fillId="12" fontId="31" numFmtId="0" xfId="0">
      <alignment horizontal="left" vertical="center" wrapText="true"/>
    </xf>
    <xf applyAlignment="true" applyBorder="false" applyFill="false" applyFont="true" applyNumberFormat="false" applyProtection="false" borderId="32" fillId="13" fontId="32" numFmtId="0" xfId="0">
      <alignment horizontal="left" vertical="center"/>
    </xf>
    <xf applyAlignment="true" applyBorder="false" applyFill="false" applyFont="true" applyNumberFormat="false" applyProtection="false" borderId="33" fillId="14" fontId="33" numFmtId="0" xfId="0">
      <alignment horizontal="left" vertical="bottom"/>
    </xf>
    <xf applyAlignment="true" applyBorder="false" applyFill="false" applyFont="true" applyNumberFormat="false" applyProtection="false" borderId="34" fillId="15" fontId="34" numFmtId="0" xfId="0">
      <alignment horizontal="left" vertical="bottom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horizontal="left" vertical="center"/>
    </xf>
    <xf applyAlignment="true" applyBorder="false" applyFill="false" applyFont="true" applyNumberFormat="false" applyProtection="false" borderId="37" fillId="0" fontId="37" numFmtId="0" xfId="0">
      <alignment horizontal="left" vertical="center"/>
    </xf>
    <xf applyAlignment="true" applyBorder="false" applyFill="false" applyFont="true" applyNumberFormat="false" applyProtection="false" borderId="38" fillId="0" fontId="38" numFmtId="0" xfId="0">
      <alignment horizontal="left" vertical="bottom"/>
    </xf>
    <xf applyAlignment="true" applyBorder="false" applyFill="false" applyFont="true" applyNumberFormat="false" applyProtection="false" borderId="39" fillId="0" fontId="39" numFmtId="0" xfId="0">
      <alignment vertical="center" wrapText="true"/>
    </xf>
    <xf applyAlignment="true" applyBorder="false" applyFill="false" applyFont="true" applyNumberFormat="false" applyProtection="false" borderId="40" fillId="16" fontId="40" numFmtId="0" xfId="0">
      <alignment horizontal="left" vertical="center" wrapText="true"/>
    </xf>
    <xf applyAlignment="true" applyBorder="false" applyFill="false" applyFont="true" applyNumberFormat="false" applyProtection="false" borderId="41" fillId="17" fontId="41" numFmtId="0" xfId="0">
      <alignment horizontal="left" vertical="center" wrapText="true"/>
    </xf>
    <xf applyAlignment="true" applyBorder="false" applyFill="false" applyFont="true" applyNumberFormat="false" applyProtection="false" borderId="42" fillId="18" fontId="42" numFmtId="0" xfId="0">
      <alignment horizontal="center" vertical="center" wrapText="true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19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 wrapText="true"/>
    </xf>
    <xf applyAlignment="true" applyBorder="false" applyFill="false" applyFont="true" applyNumberFormat="false" applyProtection="false" borderId="46" fillId="20" fontId="46" numFmtId="0" xfId="0">
      <alignment horizontal="left" vertical="center"/>
    </xf>
    <xf applyAlignment="true" applyBorder="false" applyFill="false" applyFont="true" applyNumberFormat="false" applyProtection="false" borderId="47" fillId="0" fontId="47" numFmtId="0" xfId="0">
      <alignment horizontal="left" vertical="center"/>
    </xf>
    <xf applyAlignment="true" applyBorder="false" applyFill="false" applyFont="true" applyNumberFormat="false" applyProtection="false" borderId="48" fillId="0" fontId="48" numFmtId="0" xfId="0">
      <alignment horizontal="left" vertical="center" wrapText="true"/>
    </xf>
    <xf applyAlignment="true" applyBorder="false" applyFill="false" applyFont="true" applyNumberFormat="false" applyProtection="false" borderId="49" fillId="21" fontId="49" numFmtId="0" xfId="0">
      <alignment horizontal="left" vertical="center"/>
    </xf>
    <xf applyAlignment="true" applyBorder="false" applyFill="false" applyFont="true" applyNumberFormat="false" applyProtection="false" borderId="50" fillId="22" fontId="50" numFmtId="0" xfId="0">
      <alignment horizontal="left" vertical="center" wrapText="true"/>
    </xf>
    <xf applyAlignment="true" applyBorder="false" applyFill="false" applyFont="true" applyNumberFormat="false" applyProtection="false" borderId="51" fillId="23" fontId="51" numFmtId="0" xfId="0">
      <alignment horizontal="left" vertical="bottom"/>
    </xf>
    <xf applyAlignment="true" applyBorder="false" applyFill="false" applyFont="true" applyNumberFormat="false" applyProtection="false" borderId="52" fillId="24" fontId="52" numFmtId="0" xfId="0">
      <alignment horizontal="left" vertical="bottom"/>
    </xf>
    <xf applyAlignment="true" applyBorder="false" applyFill="false" applyFont="true" applyNumberFormat="false" applyProtection="false" borderId="53" fillId="25" fontId="53" numFmtId="0" xfId="0">
      <alignment horizontal="left" vertical="center"/>
    </xf>
    <xf applyAlignment="true" applyBorder="false" applyFill="false" applyFont="true" applyNumberFormat="false" applyProtection="false" borderId="54" fillId="26" fontId="54" numFmtId="0" xfId="0">
      <alignment horizontal="left" vertical="center" wrapText="true"/>
    </xf>
    <xf applyAlignment="true" applyBorder="false" applyFill="false" applyFont="true" applyNumberFormat="false" applyProtection="false" borderId="55" fillId="27" fontId="55" numFmtId="0" xfId="0">
      <alignment horizontal="left" vertical="center" wrapText="true"/>
    </xf>
    <xf applyAlignment="true" applyBorder="false" applyFill="false" applyFont="true" applyNumberFormat="false" applyProtection="false" borderId="56" fillId="28" fontId="56" numFmtId="0" xfId="0">
      <alignment horizontal="left" vertical="center"/>
    </xf>
    <xf applyAlignment="true" applyBorder="false" applyFill="false" applyFont="true" applyNumberFormat="false" applyProtection="false" borderId="57" fillId="29" fontId="57" numFmtId="0" xfId="0">
      <alignment horizontal="left" vertical="center" wrapText="true"/>
    </xf>
    <xf applyAlignment="true" applyBorder="false" applyFill="false" applyFont="true" applyNumberFormat="false" applyProtection="false" borderId="58" fillId="0" fontId="58" numFmtId="0" xfId="0">
      <alignment horizontal="left" vertical="center"/>
    </xf>
    <xf applyAlignment="true" applyBorder="false" applyFill="false" applyFont="true" applyNumberFormat="false" applyProtection="false" borderId="59" fillId="30" fontId="59" numFmtId="0" xfId="0">
      <alignment horizontal="left" vertical="center"/>
    </xf>
    <xf applyAlignment="true" applyBorder="false" applyFill="false" applyFont="true" applyNumberFormat="false" applyProtection="false" borderId="60" fillId="0" fontId="60" numFmtId="0" xfId="0">
      <alignment horizontal="left" vertical="center" wrapText="true"/>
    </xf>
    <xf applyAlignment="true" applyBorder="false" applyFill="false" applyFont="true" applyNumberFormat="false" applyProtection="false" borderId="61" fillId="0" fontId="61" numFmtId="0" xfId="0">
      <alignment horizontal="left" vertical="center"/>
    </xf>
    <xf applyAlignment="true" applyBorder="false" applyFill="false" applyFont="true" applyNumberFormat="false" applyProtection="false" borderId="62" fillId="31" fontId="62" numFmtId="0" xfId="0">
      <alignment horizontal="left" vertical="center"/>
    </xf>
    <xf applyAlignment="true" applyBorder="false" applyFill="false" applyFont="true" applyNumberFormat="false" applyProtection="false" borderId="63" fillId="0" fontId="63" numFmtId="0" xfId="0">
      <alignment horizontal="left" vertical="center" wrapText="true"/>
    </xf>
    <xf applyAlignment="true" applyBorder="false" applyFill="false" applyFont="true" applyNumberFormat="false" applyProtection="false" borderId="64" fillId="32" fontId="64" numFmtId="0" xfId="0">
      <alignment horizontal="left" vertical="center" wrapText="true"/>
    </xf>
    <xf applyAlignment="false" applyBorder="false" applyFill="false" applyFont="false" applyNumberFormat="false" applyProtection="false" borderId="65" fillId="33" fontId="0" numFmtId="0" xfId="0">
      <alignment/>
    </xf>
    <xf applyAlignment="true" applyBorder="false" applyFill="false" applyFont="true" applyNumberFormat="false" applyProtection="false" borderId="66" fillId="0" fontId="65" numFmtId="0" xfId="0">
      <alignment vertical="center"/>
    </xf>
    <xf applyAlignment="true" applyBorder="false" applyFill="false" applyFont="true" applyNumberFormat="false" applyProtection="false" borderId="67" fillId="0" fontId="66" numFmtId="0" xfId="0">
      <alignment vertical="center" wrapText="true"/>
    </xf>
    <xf applyAlignment="true" applyBorder="false" applyFill="false" applyFont="true" applyNumberFormat="false" applyProtection="false" borderId="68" fillId="0" fontId="67" numFmtId="0" xfId="0">
      <alignment horizontal="center" vertical="center"/>
    </xf>
    <xf applyAlignment="true" applyBorder="false" applyFill="false" applyFont="true" applyNumberFormat="false" applyProtection="false" borderId="69" fillId="34" fontId="68" numFmtId="0" xfId="0">
      <alignment vertical="center" wrapText="true"/>
    </xf>
    <xf applyAlignment="true" applyBorder="false" applyFill="false" applyFont="true" applyNumberFormat="false" applyProtection="false" borderId="70" fillId="0" fontId="69" numFmtId="0" xfId="0">
      <alignment horizontal="center" vertical="center" wrapText="true"/>
    </xf>
    <xf applyAlignment="true" applyBorder="false" applyFill="false" applyFont="true" applyNumberFormat="false" applyProtection="false" borderId="71" fillId="0" fontId="70" numFmtId="0" xfId="0">
      <alignment vertical="center" wrapText="true"/>
    </xf>
    <xf applyAlignment="true" applyBorder="false" applyFill="false" applyFont="true" applyNumberFormat="false" applyProtection="false" borderId="72" fillId="0" fontId="71" numFmtId="0" xfId="0">
      <alignment vertical="bottom"/>
    </xf>
    <xf applyAlignment="true" applyBorder="false" applyFill="false" applyFont="true" applyNumberFormat="false" applyProtection="false" borderId="73" fillId="0" fontId="72" numFmtId="0" xfId="0">
      <alignment vertical="center"/>
    </xf>
    <xf applyAlignment="true" applyBorder="false" applyFill="false" applyFont="true" applyNumberFormat="false" applyProtection="false" borderId="74" fillId="0" fontId="73" numFmtId="0" xfId="0">
      <alignment vertical="center"/>
    </xf>
    <xf applyAlignment="true" applyBorder="false" applyFill="false" applyFont="true" applyNumberFormat="false" applyProtection="false" borderId="75" fillId="35" fontId="74" numFmtId="0" xfId="0">
      <alignment vertical="center"/>
    </xf>
    <xf applyAlignment="true" applyBorder="false" applyFill="false" applyFont="true" applyNumberFormat="false" applyProtection="false" borderId="76" fillId="36" fontId="75" numFmtId="0" xfId="0">
      <alignment vertical="bottom"/>
    </xf>
    <xf applyAlignment="true" applyBorder="false" applyFill="false" applyFont="true" applyNumberFormat="false" applyProtection="false" borderId="77" fillId="37" fontId="76" numFmtId="0" xfId="0">
      <alignment horizontal="left" vertical="center" wrapText="true"/>
    </xf>
    <xf applyAlignment="true" applyBorder="false" applyFill="false" applyFont="true" applyNumberFormat="false" applyProtection="false" borderId="78" fillId="0" fontId="77" numFmtId="0" xfId="0">
      <alignment vertical="center" wrapText="true"/>
    </xf>
    <xf applyAlignment="true" applyBorder="false" applyFill="false" applyFont="true" applyNumberFormat="false" applyProtection="false" borderId="79" fillId="38" fontId="78" numFmtId="0" xfId="0">
      <alignment horizontal="center" vertical="center" wrapText="true"/>
    </xf>
    <xf applyAlignment="true" applyBorder="false" applyFill="false" applyFont="true" applyNumberFormat="false" applyProtection="false" borderId="80" fillId="39" fontId="79" numFmtId="0" xfId="0">
      <alignment horizontal="center" vertical="center" wrapText="true"/>
    </xf>
    <xf applyAlignment="true" applyBorder="false" applyFill="false" applyFont="true" applyNumberFormat="false" applyProtection="false" borderId="81" fillId="0" fontId="80" numFmtId="0" xfId="0">
      <alignment horizontal="center" vertical="center"/>
    </xf>
    <xf applyAlignment="true" applyBorder="false" applyFill="false" applyFont="true" applyNumberFormat="true" applyProtection="false" borderId="82" fillId="0" fontId="81" numFmtId="164" xfId="0">
      <alignment vertical="bottom"/>
    </xf>
    <xf applyAlignment="true" applyBorder="false" applyFill="false" applyFont="true" applyNumberFormat="false" applyProtection="false" borderId="83" fillId="0" fontId="82" numFmtId="0" xfId="0">
      <alignment vertical="bottom"/>
    </xf>
    <xf applyAlignment="true" applyBorder="false" applyFill="false" applyFont="true" applyNumberFormat="false" applyProtection="false" borderId="84" fillId="0" fontId="83" numFmtId="0" xfId="0">
      <alignment vertical="center"/>
    </xf>
    <xf applyAlignment="true" applyBorder="false" applyFill="false" applyFont="true" applyNumberFormat="false" applyProtection="false" borderId="85" fillId="40" fontId="84" numFmtId="0" xfId="0">
      <alignment horizontal="left" vertical="center"/>
    </xf>
    <xf applyAlignment="true" applyBorder="false" applyFill="false" applyFont="true" applyNumberFormat="false" applyProtection="false" borderId="86" fillId="41" fontId="85" numFmtId="0" xfId="0">
      <alignment horizontal="left" vertical="bottom"/>
    </xf>
    <xf applyAlignment="true" applyBorder="false" applyFill="false" applyFont="true" applyNumberFormat="false" applyProtection="false" borderId="87" fillId="42" fontId="86" numFmtId="0" xfId="0">
      <alignment vertical="center"/>
    </xf>
    <xf applyAlignment="true" applyBorder="false" applyFill="false" applyFont="true" applyNumberFormat="false" applyProtection="false" borderId="88" fillId="43" fontId="87" numFmtId="0" xfId="0">
      <alignment horizontal="left" vertical="bottom"/>
    </xf>
    <xf applyAlignment="true" applyBorder="false" applyFill="false" applyFont="true" applyNumberFormat="false" applyProtection="false" borderId="89" fillId="0" fontId="88" numFmtId="0" xfId="0">
      <alignment vertical="center" wrapText="true"/>
    </xf>
    <xf applyAlignment="true" applyBorder="false" applyFill="false" applyFont="true" applyNumberFormat="false" applyProtection="false" borderId="90" fillId="44" fontId="89" numFmtId="0" xfId="0">
      <alignment vertical="center" wrapText="true"/>
    </xf>
    <xf applyAlignment="true" applyBorder="false" applyFill="false" applyFont="true" applyNumberFormat="false" applyProtection="false" borderId="91" fillId="45" fontId="90" numFmtId="0" xfId="0">
      <alignment vertical="center" wrapText="true"/>
    </xf>
    <xf applyAlignment="true" applyBorder="false" applyFill="false" applyFont="true" applyNumberFormat="false" applyProtection="false" borderId="92" fillId="0" fontId="91" numFmtId="0" xfId="0">
      <alignment horizontal="left" vertical="center" wrapText="true"/>
    </xf>
    <xf applyAlignment="true" applyBorder="false" applyFill="false" applyFont="true" applyNumberFormat="false" applyProtection="false" borderId="93" fillId="0" fontId="92" numFmtId="0" xfId="0">
      <alignment vertical="center" wrapText="true"/>
    </xf>
    <xf applyAlignment="true" applyBorder="false" applyFill="false" applyFont="true" applyNumberFormat="false" applyProtection="false" borderId="94" fillId="46" fontId="93" numFmtId="0" xfId="0">
      <alignment horizontal="left" vertical="center"/>
    </xf>
    <xf applyAlignment="true" applyBorder="false" applyFill="false" applyFont="true" applyNumberFormat="false" applyProtection="false" borderId="95" fillId="47" fontId="94" numFmtId="0" xfId="0">
      <alignment horizontal="left" vertical="bottom"/>
    </xf>
    <xf applyAlignment="true" applyBorder="false" applyFill="false" applyFont="true" applyNumberFormat="false" applyProtection="false" borderId="96" fillId="48" fontId="95" numFmtId="0" xfId="0">
      <alignment horizontal="center" vertical="center" wrapText="true"/>
    </xf>
    <xf applyAlignment="true" applyBorder="false" applyFill="false" applyFont="true" applyNumberFormat="false" applyProtection="false" borderId="97" fillId="49" fontId="96" numFmtId="0" xfId="0">
      <alignment horizontal="center" vertical="center"/>
    </xf>
    <xf applyAlignment="true" applyBorder="false" applyFill="false" applyFont="true" applyNumberFormat="false" applyProtection="false" borderId="98" fillId="50" fontId="97" numFmtId="0" xfId="0">
      <alignment vertical="center" wrapText="true"/>
    </xf>
    <xf applyAlignment="true" applyBorder="false" applyFill="false" applyFont="true" applyNumberFormat="false" applyProtection="false" borderId="99" fillId="51" fontId="98" numFmtId="0" xfId="0">
      <alignment vertical="center"/>
    </xf>
    <xf applyAlignment="true" applyBorder="false" applyFill="false" applyFont="true" applyNumberFormat="false" applyProtection="false" borderId="100" fillId="52" fontId="99" numFmtId="0" xfId="0">
      <alignment horizontal="left" vertical="center" wrapText="true"/>
    </xf>
    <xf applyAlignment="true" applyBorder="false" applyFill="false" applyFont="true" applyNumberFormat="false" applyProtection="false" borderId="101" fillId="53" fontId="100" numFmtId="0" xfId="0">
      <alignment vertical="center" wrapText="true"/>
    </xf>
    <xf applyAlignment="true" applyBorder="false" applyFill="false" applyFont="true" applyNumberFormat="false" applyProtection="false" borderId="102" fillId="0" fontId="101" numFmtId="0" xfId="0">
      <alignment horizontal="left" vertical="center"/>
    </xf>
    <xf applyAlignment="true" applyBorder="false" applyFill="false" applyFont="true" applyNumberFormat="false" applyProtection="false" borderId="103" fillId="0" fontId="102" numFmtId="0" xfId="0">
      <alignment horizontal="center" vertical="center" wrapText="true"/>
    </xf>
    <xf applyAlignment="true" applyBorder="false" applyFill="false" applyFont="true" applyNumberFormat="false" applyProtection="false" borderId="104" fillId="0" fontId="103" numFmtId="0" xfId="0">
      <alignment horizontal="left" vertical="bottom"/>
    </xf>
    <xf applyAlignment="true" applyBorder="false" applyFill="false" applyFont="true" applyNumberFormat="false" applyProtection="false" borderId="105" fillId="0" fontId="104" numFmtId="0" xfId="0">
      <alignment horizontal="left" vertical="bottom"/>
    </xf>
    <xf applyAlignment="true" applyBorder="false" applyFill="false" applyFont="true" applyNumberFormat="false" applyProtection="false" borderId="106" fillId="0" fontId="105" numFmtId="0" xfId="0">
      <alignment horizontal="left" vertical="center"/>
    </xf>
    <xf applyAlignment="true" applyBorder="false" applyFill="false" applyFont="true" applyNumberFormat="false" applyProtection="false" borderId="107" fillId="0" fontId="106" numFmtId="0" xfId="0">
      <alignment horizontal="left" vertical="center"/>
    </xf>
    <xf applyAlignment="true" applyBorder="false" applyFill="false" applyFont="true" applyNumberFormat="false" applyProtection="false" borderId="108" fillId="0" fontId="107" numFmtId="0" xfId="0">
      <alignment horizontal="left" vertical="center"/>
    </xf>
    <xf applyAlignment="true" applyBorder="false" applyFill="false" applyFont="true" applyNumberFormat="false" applyProtection="false" borderId="109" fillId="54" fontId="108" numFmtId="0" xfId="0">
      <alignment horizontal="left" vertical="center"/>
    </xf>
    <xf applyAlignment="true" applyBorder="false" applyFill="false" applyFont="true" applyNumberFormat="false" applyProtection="false" borderId="110" fillId="55" fontId="109" numFmtId="0" xfId="0">
      <alignment horizontal="left" vertical="center"/>
    </xf>
    <xf applyAlignment="true" applyBorder="false" applyFill="false" applyFont="true" applyNumberFormat="false" applyProtection="false" borderId="111" fillId="56" fontId="110" numFmtId="0" xfId="0">
      <alignment horizontal="left" vertical="bottom"/>
    </xf>
    <xf applyAlignment="true" applyBorder="false" applyFill="false" applyFont="true" applyNumberFormat="false" applyProtection="false" borderId="112" fillId="57" fontId="111" numFmtId="0" xfId="0">
      <alignment horizontal="left" vertical="center"/>
    </xf>
    <xf applyAlignment="true" applyBorder="false" applyFill="false" applyFont="true" applyNumberFormat="false" applyProtection="false" borderId="113" fillId="58" fontId="112" numFmtId="0" xfId="0">
      <alignment horizontal="left" vertical="center"/>
    </xf>
    <xf applyAlignment="true" applyBorder="false" applyFill="false" applyFont="true" applyNumberFormat="false" applyProtection="false" borderId="114" fillId="0" fontId="113" numFmtId="0" xfId="0">
      <alignment horizontal="left" vertical="center"/>
    </xf>
    <xf applyAlignment="true" applyBorder="false" applyFill="false" applyFont="true" applyNumberFormat="false" applyProtection="false" borderId="115" fillId="0" fontId="114" numFmtId="0" xfId="0">
      <alignment horizontal="left" vertical="bottom"/>
    </xf>
    <xf applyAlignment="true" applyBorder="false" applyFill="false" applyFont="true" applyNumberFormat="false" applyProtection="false" borderId="116" fillId="0" fontId="115" numFmtId="0" xfId="0">
      <alignment horizontal="left" vertical="center"/>
    </xf>
    <xf applyAlignment="true" applyBorder="false" applyFill="false" applyFont="true" applyNumberFormat="false" applyProtection="false" borderId="117" fillId="0" fontId="116" numFmtId="0" xfId="0">
      <alignment horizontal="left" vertical="center"/>
    </xf>
    <xf applyAlignment="true" applyBorder="false" applyFill="false" applyFont="true" applyNumberFormat="false" applyProtection="false" borderId="118" fillId="59" fontId="117" numFmtId="0" xfId="0">
      <alignment horizontal="left" vertical="center"/>
    </xf>
    <xf applyAlignment="true" applyBorder="false" applyFill="false" applyFont="true" applyNumberFormat="false" applyProtection="false" borderId="119" fillId="60" fontId="118" numFmtId="0" xfId="0">
      <alignment horizontal="left" vertical="center"/>
    </xf>
    <xf applyAlignment="true" applyBorder="false" applyFill="false" applyFont="true" applyNumberFormat="false" applyProtection="false" borderId="120" fillId="61" fontId="119" numFmtId="0" xfId="0">
      <alignment horizontal="left" vertical="bottom"/>
    </xf>
    <xf applyAlignment="true" applyBorder="false" applyFill="false" applyFont="true" applyNumberFormat="false" applyProtection="false" borderId="121" fillId="62" fontId="120" numFmtId="0" xfId="0">
      <alignment horizontal="left" vertical="center"/>
    </xf>
    <xf applyAlignment="true" applyBorder="false" applyFill="false" applyFont="true" applyNumberFormat="false" applyProtection="false" borderId="122" fillId="63" fontId="121" numFmtId="0" xfId="0">
      <alignment horizontal="center" vertical="center"/>
    </xf>
    <xf applyAlignment="true" applyBorder="false" applyFill="false" applyFont="true" applyNumberFormat="true" applyProtection="false" borderId="123" fillId="64" fontId="122" numFmtId="165" xfId="0">
      <alignment horizontal="center" vertical="center"/>
    </xf>
    <xf applyAlignment="true" applyBorder="false" applyFill="false" applyFont="true" applyNumberFormat="false" applyProtection="false" borderId="124" fillId="0" fontId="123" numFmtId="0" xfId="0">
      <alignment vertical="center"/>
    </xf>
    <xf applyAlignment="true" applyBorder="false" applyFill="false" applyFont="true" applyNumberFormat="false" applyProtection="false" borderId="125" fillId="65" fontId="124" numFmtId="0" xfId="0">
      <alignment vertical="center"/>
    </xf>
    <xf applyAlignment="true" applyBorder="false" applyFill="false" applyFont="true" applyNumberFormat="true" applyProtection="false" borderId="126" fillId="66" fontId="125" numFmtId="166" xfId="0">
      <alignment vertical="center" wrapText="true"/>
    </xf>
    <xf applyAlignment="true" applyBorder="false" applyFill="false" applyFont="true" applyNumberFormat="true" applyProtection="false" borderId="127" fillId="67" fontId="126" numFmtId="167" xfId="0">
      <alignment vertical="center" wrapText="true"/>
    </xf>
    <xf applyAlignment="true" applyBorder="false" applyFill="false" applyFont="true" applyNumberFormat="false" applyProtection="false" borderId="128" fillId="68" fontId="127" numFmtId="0" xfId="0">
      <alignment horizontal="left" vertical="bottom"/>
    </xf>
    <xf applyAlignment="true" applyBorder="false" applyFill="false" applyFont="true" applyNumberFormat="false" applyProtection="false" borderId="129" fillId="69" fontId="128" numFmtId="0" xfId="0">
      <alignment horizontal="left" vertical="bottom"/>
    </xf>
    <xf applyAlignment="true" applyBorder="false" applyFill="false" applyFont="true" applyNumberFormat="false" applyProtection="false" borderId="130" fillId="0" fontId="129" numFmtId="0" xfId="0">
      <alignment horizontal="left" vertical="bottom"/>
    </xf>
    <xf applyAlignment="true" applyBorder="false" applyFill="false" applyFont="true" applyNumberFormat="true" applyProtection="false" borderId="131" fillId="0" fontId="130" numFmtId="168" xfId="0">
      <alignment vertical="bottom"/>
    </xf>
    <xf applyAlignment="true" applyBorder="false" applyFill="false" applyFont="true" applyNumberFormat="true" applyProtection="false" borderId="132" fillId="0" fontId="131" numFmtId="169" xfId="0">
      <alignment vertical="center"/>
    </xf>
    <xf applyAlignment="true" applyBorder="false" applyFill="false" applyFont="true" applyNumberFormat="false" applyProtection="false" borderId="133" fillId="70" fontId="132" numFmtId="0" xfId="0">
      <alignment horizontal="center" vertical="center"/>
    </xf>
    <xf applyAlignment="true" applyBorder="false" applyFill="false" applyFont="true" applyNumberFormat="true" applyProtection="false" borderId="134" fillId="71" fontId="133" numFmtId="170" xfId="0">
      <alignment horizontal="center" vertical="center"/>
    </xf>
    <xf applyAlignment="true" applyBorder="false" applyFill="false" applyFont="true" applyNumberFormat="true" applyProtection="false" borderId="135" fillId="72" fontId="134" numFmtId="171" xfId="0">
      <alignment horizontal="center" vertical="center"/>
    </xf>
    <xf applyAlignment="true" applyBorder="false" applyFill="false" applyFont="true" applyNumberFormat="true" applyProtection="false" borderId="136" fillId="73" fontId="135" numFmtId="172" xfId="0">
      <alignment horizontal="center" vertical="center"/>
    </xf>
  </cellXfs>
  <cellStyles count="1">
    <cellStyle builtinId="0" name="Normal" xfId="0"/>
  </cellStyles>
  <dxfs count="1"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mailto:gancao@yige-group.com" Type="http://schemas.openxmlformats.org/officeDocument/2006/relationships/hyperlink" TargetMode="External"></Relationship><Relationship Id="rId2" Target="http://huaxizi_xinxliuad8@163.com" Type="http://schemas.openxmlformats.org/officeDocument/2006/relationships/hyperlink" TargetMode="External"></Relationship><Relationship Id="rId3" Target="https://ad.bilibili.com/#/home" Type="http://schemas.openxmlformats.org/officeDocument/2006/relationships/hyperlink" TargetMode="External"></Relationship><Relationship Id="rId4" Target="http://huaxizicai2@eastgarden.com" Type="http://schemas.openxmlformats.org/officeDocument/2006/relationships/hyperlink" TargetMode="External"></Relationship><Relationship Id="rId5" Target="http://huaxizi_xhongshu2@163.com" Type="http://schemas.openxmlformats.org/officeDocument/2006/relationships/hyperlink" TargetMode="External"></Relationship><Relationship Id="rId6" Target="https://ad.bilibili.com/#/home" Type="http://schemas.openxmlformats.org/officeDocument/2006/relationships/hyperlink" TargetMode="External"></Relationship><Relationship Id="rId7" Target="http://huaxizi_xinxiliuad4@163.com" Type="http://schemas.openxmlformats.org/officeDocument/2006/relationships/hyperlink" TargetMode="External"></Relationship><Relationship Id="rId8" Target="http://huaxizi_xinxliuad8@163.com" Type="http://schemas.openxmlformats.org/officeDocument/2006/relationships/hyperlink" TargetMode="External"></Relationship><Relationship Id="rId9" Target="https://ad.bilibili.com/#/home" Type="http://schemas.openxmlformats.org/officeDocument/2006/relationships/hyperlink" TargetMode="External"></Relationship><Relationship Id="rId10" Target="http://kongqing@yige-group.com" Type="http://schemas.openxmlformats.org/officeDocument/2006/relationships/hyperlink" TargetMode="External"></Relationship><Relationship Id="rId11" Target="http://huaxizi_xinxliuad5@163.com" Type="http://schemas.openxmlformats.org/officeDocument/2006/relationships/hyperlink" TargetMode="External"></Relationship><Relationship Id="rId12" Target="http://huaxizicai1@eastgarden.com" Type="http://schemas.openxmlformats.org/officeDocument/2006/relationships/hyperlink" TargetMode="External"></Relationship><Relationship Id="rId13" Target="https://ad.weibo.com/" Type="http://schemas.openxmlformats.org/officeDocument/2006/relationships/hyperlink" TargetMode="External"></Relationship><Relationship Id="rId14" Target="http://joy.du@mindshareworld.com" Type="http://schemas.openxmlformats.org/officeDocument/2006/relationships/hyperlink" TargetMode="External"></Relationship><Relationship Id="rId15" Target="https://ad.oceanengine.com/" Type="http://schemas.openxmlformats.org/officeDocument/2006/relationships/hyperlink" TargetMode="External"></Relationship><Relationship Id="rId16" Target="https://ad.bilibili.com/#/home" Type="http://schemas.openxmlformats.org/officeDocument/2006/relationships/hyperlink" TargetMode="External"></Relationship><Relationship Id="rId17" Target="http://huaxizi_xinxiliuad@163.com" Type="http://schemas.openxmlformats.org/officeDocument/2006/relationships/hyperlink" TargetMode="External"></Relationship><Relationship Id="rId18" Target="http://hxzcaizhuang10@eastgarden.com" Type="http://schemas.openxmlformats.org/officeDocument/2006/relationships/hyperlink" TargetMode="External"></Relationship><Relationship Id="rId19" Target="https://ad.oceanengine.com/" Type="http://schemas.openxmlformats.org/officeDocument/2006/relationships/hyperlink" TargetMode="External"></Relationship><Relationship Id="rId20" Target="https://business.oceanengine.com/site/promotion?#/account" Type="http://schemas.openxmlformats.org/officeDocument/2006/relationships/hyperlink" TargetMode="External"></Relationship><Relationship Id="rId21" Target="https://niu.e.kuaishou.com/manage?__accountId__=13304454" Type="http://schemas.openxmlformats.org/officeDocument/2006/relationships/hyperlink" TargetMode="External"></Relationship><Relationship Id="rId22" Target="https://ad.bilibili.com/#/home" Type="http://schemas.openxmlformats.org/officeDocument/2006/relationships/hyperlink" TargetMode="External"></Relationship><Relationship Id="rId23" Target="http://yige18072932996@163.com" Type="http://schemas.openxmlformats.org/officeDocument/2006/relationships/hyperlink" TargetMode="External"></Relationship><Relationship Id="rId24" Target="https://ad.oceanengine.com/" Type="http://schemas.openxmlformats.org/officeDocument/2006/relationships/hyperlink" TargetMode="External"></Relationship><Relationship Id="rId25" Target="http://xhm_huaxizi02@163.com" Type="http://schemas.openxmlformats.org/officeDocument/2006/relationships/hyperlink" TargetMode="External"></Relationship><Relationship Id="rId26" Target="http://qinghe@zhimei.us" Type="http://schemas.openxmlformats.org/officeDocument/2006/relationships/hyperlink" TargetMode="External"></Relationship><Relationship Id="rId27" Target="http://sd_xx@visionstar.cn" Type="http://schemas.openxmlformats.org/officeDocument/2006/relationships/hyperlink" TargetMode="External"></Relationship><Relationship Id="rId28" Target="mailto:yige18072932996@163.com" Type="http://schemas.openxmlformats.org/officeDocument/2006/relationships/hyperlink" TargetMode="External"></Relationship><Relationship Id="rId29" Target="mailto:huaxizicai2@eastgarden.com" Type="http://schemas.openxmlformats.org/officeDocument/2006/relationships/hyperlink" TargetMode="External"></Relationship><Relationship Id="rId30" Target="https://ad.oceanengine.com/" Type="http://schemas.openxmlformats.org/officeDocument/2006/relationships/hyperlink" TargetMode="External"></Relationship><Relationship Id="rId31" Target="http://huaxizi_xinxliuad7@163.com" Type="http://schemas.openxmlformats.org/officeDocument/2006/relationships/hyperlink" TargetMode="External"></Relationship><Relationship Id="rId32" Target="http://huaxizi_xinxliuad5@163.com" Type="http://schemas.openxmlformats.org/officeDocument/2006/relationships/hyperlink" TargetMode="External"></Relationship><Relationship Id="rId33" Target="http://hongjin@yige-group.com" Type="http://schemas.openxmlformats.org/officeDocument/2006/relationships/hyperlink" TargetMode="External"></Relationship><Relationship Id="rId34" Target="http://huaxizi_xinxliuad9@163.com" Type="http://schemas.openxmlformats.org/officeDocument/2006/relationships/hyperlink" TargetMode="External"></Relationship><Relationship Id="rId35" Target="http://huaxizi_xinxliuad9@163.com" Type="http://schemas.openxmlformats.org/officeDocument/2006/relationships/hyperlink" TargetMode="External"></Relationship><Relationship Id="rId36" Target="http://adserving_ud0754@weibo.com" Type="http://schemas.openxmlformats.org/officeDocument/2006/relationships/hyperlink" TargetMode="External"></Relationship><Relationship Id="rId37" Target="http://huaxizi_xinxiliuad4@163.com" Type="http://schemas.openxmlformats.org/officeDocument/2006/relationships/hyperlink" TargetMode="External"></Relationship><Relationship Id="rId38" Target="https://ad.e.kuaishou.com/manage?__accountId__=14861051" Type="http://schemas.openxmlformats.org/officeDocument/2006/relationships/hyperlink" TargetMode="External"></Relationship><Relationship Id="rId39" Target="mailto:huaxizicai1@eastgarden.com" Type="http://schemas.openxmlformats.org/officeDocument/2006/relationships/hyperlink" TargetMode="External"></Relationship><Relationship Id="rId40" Target="https://cas.baidu.com/?tpl=www2&amp;fromu=http://www2.b...ommon/appinit.ajax" Type="http://schemas.openxmlformats.org/officeDocument/2006/relationships/hyperlink" TargetMode="External"></Relationship><Relationship Id="rId41" Target="https://ad.oceanengine.com/" Type="http://schemas.openxmlformats.org/officeDocument/2006/relationships/hyperlink" TargetMode="External"></Relationship><Relationship Id="rId42" Target="http://tangli@yige.us" Type="http://schemas.openxmlformats.org/officeDocument/2006/relationships/hyperlink" TargetMode="External"></Relationship><Relationship Id="rId43" Target="http://huaxizi_xinxliuad7@163.com" Type="http://schemas.openxmlformats.org/officeDocument/2006/relationships/hyperlink" TargetMode="External"></Relationship><Relationship Id="rId44" Target="http://huaxizi_xinxiliuad@163.com" Type="http://schemas.openxmlformats.org/officeDocument/2006/relationships/hyperlink" TargetMode="External"></Relationship><Relationship Id="rId45" Target="http://adserving_ud0754@weibo.com" Type="http://schemas.openxmlformats.org/officeDocument/2006/relationships/hyperlink" TargetMode="External"></Relationship><Relationship Id="rId46" Target="https://ad.oceanengine.com/" Type="http://schemas.openxmlformats.org/officeDocument/2006/relationships/hyperlink" TargetMode="External"></Relationship><Relationship Id="rId47" Target="https://unidesk.taobao.com/index.html" Type="http://schemas.openxmlformats.org/officeDocument/2006/relationships/hyperlink" TargetMode="External"></Relationship><Relationship Id="rId48" Target="https://ad.qq.com/atlas/23959502/index" Type="http://schemas.openxmlformats.org/officeDocument/2006/relationships/hyperlink" TargetMode="External"></Relationship><Relationship Id="rId49" Target="https://ad.weibo.com/promote2/advertisements?customer_id=6336556296" Type="http://schemas.openxmlformats.org/officeDocument/2006/relationships/hyperlink" TargetMode="External"></Relationship><Relationship Id="rId50" Target="https://ad.oceanengine.com/" Type="http://schemas.openxmlformats.org/officeDocument/2006/relationships/hyperlink" TargetMode="External"></Relationship><Relationship Id="rId51" Target="https://ad.bilibili.com/#/home" Type="http://schemas.openxmlformats.org/officeDocument/2006/relationships/hyperlink" TargetMode="External"></Relationship><Relationship Id="rId52" Target="http://huaxizi_xinxliuad2@163.com" Type="http://schemas.openxmlformats.org/officeDocument/2006/relationships/hyperlink" TargetMode="External"></Relationship><Relationship Id="rId53" Target="http://hxzcaizhuang10@eastgarden.com" Type="http://schemas.openxmlformats.org/officeDocument/2006/relationships/hyperlink" TargetMode="External"></Relationship><Relationship Id="rId54" Target="http://wanwan@yige-group.com" Type="http://schemas.openxmlformats.org/officeDocument/2006/relationships/hyperlink" TargetMode="External"></Relationship><Relationship Id="rId55" Target="http://joy.du@mindshareworld.com" Type="http://schemas.openxmlformats.org/officeDocument/2006/relationships/hyperlink" TargetMode="External"></Relationship><Relationship Id="rId56" Target="https://partner.kaola.com/index" Type="http://schemas.openxmlformats.org/officeDocument/2006/relationships/hyperlink" TargetMode="External"></Relationship><Relationship Id="rId57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://jinyan@zhimei.us" Type="http://schemas.openxmlformats.org/officeDocument/2006/relationships/hyperlink" TargetMode="External"></Relationship><Relationship Id="rId2" Target="http://yigehzp@163.com" Type="http://schemas.openxmlformats.org/officeDocument/2006/relationships/hyperlink" TargetMode="External"></Relationship><Relationship Id="rId3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https://ad.oceanengine.com/" Type="http://schemas.openxmlformats.org/officeDocument/2006/relationships/hyperlink" TargetMode="External"></Relationship><Relationship Id="rId2" Target="http://huaxizi_xinxliuad9@163.com" Type="http://schemas.openxmlformats.org/officeDocument/2006/relationships/hyperlink" TargetMode="External"></Relationship><Relationship Id="rId3" Target="https://ad.xiaohongshu.com/" Type="http://schemas.openxmlformats.org/officeDocument/2006/relationships/hyperlink" TargetMode="External"></Relationship><Relationship Id="rId4" Target="http://huaxizi_xhongshu2@163.com" Type="http://schemas.openxmlformats.org/officeDocument/2006/relationships/hyperlink" TargetMode="External"></Relationship><Relationship Id="rId5" Target="https://ad.oceanengine.com/" Type="http://schemas.openxmlformats.org/officeDocument/2006/relationships/hyperlink" TargetMode="External"></Relationship><Relationship Id="rId6" Target="https://ad.oceanengine.com/" Type="http://schemas.openxmlformats.org/officeDocument/2006/relationships/hyperlink" TargetMode="External"></Relationship><Relationship Id="rId7" Target="https://partner.kaola.com/index" Type="http://schemas.openxmlformats.org/officeDocument/2006/relationships/hyperlink" TargetMode="External"></Relationship><Relationship Id="rId8" Target="http://huaxizi_xinxiliuad4@163.com" Type="http://schemas.openxmlformats.org/officeDocument/2006/relationships/hyperlink" TargetMode="External"></Relationship><Relationship Id="rId9" Target="https://ad.oceanengine.com/" Type="http://schemas.openxmlformats.org/officeDocument/2006/relationships/hyperlink" TargetMode="External"></Relationship><Relationship Id="rId10" Target="https://adbrain.taobao.com/indexbp.html?spm=a2etp.11817080.cf7687754.1.3cfc340cF6NZNK#!/live/report-rtp/index?alias=duration&amp;bizCode=adStrategyDuration&amp;perspective=report&amp;startTime=2022-11-12&amp;endTime=2022-12-05&amp;vs=false&amp;version=all&amp;dateType=history&amp;effect=15&amp;effectType=click&amp;tab=campaign&amp;reportQuery=[object Object]&amp;spm=" Type="http://schemas.openxmlformats.org/officeDocument/2006/relationships/hyperlink" TargetMode="External"></Relationship><Relationship Id="rId11" Target="https://chaojihudong.taobao.com/indexbp.html?spm=a2e10l.13920195.cf7687754.d17068800.53f4677930Jd7Q#!/manage/shop-guarantee?alias=shop-guarantee&amp;perspective=manage" Type="http://schemas.openxmlformats.org/officeDocument/2006/relationships/hyperlink" TargetMode="External"></Relationship><Relationship Id="rId12" Target="https://subway.simba.taobao.com/index.jsp?spm=..0.da0f51bf8.6f372030STYU7d&amp;file=indexnew.jsp#!/manage/campaign/detail?campaignId=222191719&amp;start=2022-12-06&amp;end=2022-12-06" Type="http://schemas.openxmlformats.org/officeDocument/2006/relationships/hyperlink" TargetMode="External"></Relationship><Relationship Id="rId13" Target="http://shiguang2824@ten-box.cn" Type="http://schemas.openxmlformats.org/officeDocument/2006/relationships/hyperlink" TargetMode="External"></Relationship><Relationship Id="rId14" Target="https://product.shop.jd.com/rest/ware/list/manage?wareStatusStr=onSale&amp;firstQuery=1" Type="http://schemas.openxmlformats.org/officeDocument/2006/relationships/hyperlink" TargetMode="External"></Relationship><Relationship Id="rId15" Target="https://ad.xiaohongshu.com/" Type="http://schemas.openxmlformats.org/officeDocument/2006/relationships/hyperlink" TargetMode="External"></Relationship><Relationship Id="rId16" Target="https://product.shop.jd.com/rest/ware/list/manage?wareStatusStr=onSale&amp;firstQuery=1" Type="http://schemas.openxmlformats.org/officeDocument/2006/relationships/hyperlink" TargetMode="External"></Relationship><Relationship Id="rId17" Target="https://doujia.douyin.com/" Type="http://schemas.openxmlformats.org/officeDocument/2006/relationships/hyperlink" TargetMode="External"></Relationship><Relationship Id="rId18" Target="http://huaxizi_xinxliuad8@163.com" Type="http://schemas.openxmlformats.org/officeDocument/2006/relationships/hyperlink" TargetMode="External"></Relationship><Relationship Id="rId19" Target="https://product.shop.jd.com/rest/ware/list/manage?wareStatusStr=onSale&amp;firstQuery=1" Type="http://schemas.openxmlformats.org/officeDocument/2006/relationships/hyperlink" TargetMode="External"></Relationship><Relationship Id="rId20" Target="https://business.oceanengine.com/site/promotion?#/account" Type="http://schemas.openxmlformats.org/officeDocument/2006/relationships/hyperlink" TargetMode="External"></Relationship><Relationship Id="rId21" Target="https://unidesk.taobao.com/index.html" Type="http://schemas.openxmlformats.org/officeDocument/2006/relationships/hyperlink" TargetMode="External"></Relationship><Relationship Id="rId22" Target="http://shiguang2272@ten-box.cn" Type="http://schemas.openxmlformats.org/officeDocument/2006/relationships/hyperlink" TargetMode="External"></Relationship><Relationship Id="rId23" Target="https://ad.xiaohongshu.com/" Type="http://schemas.openxmlformats.org/officeDocument/2006/relationships/hyperlink" TargetMode="External"></Relationship><Relationship Id="rId24" Target="https://product.shop.jd.com/rest/ware/list/manage?wareStatusStr=onSale&amp;firstQuery=1" Type="http://schemas.openxmlformats.org/officeDocument/2006/relationships/hyperlink" TargetMode="External"></Relationship><Relationship Id="rId25" Target="http://huaxizi_xinxliuad5@163.com" Type="http://schemas.openxmlformats.org/officeDocument/2006/relationships/hyperlink" TargetMode="External"></Relationship><Relationship Id="rId26" Target="https://branding.taobao.com/index.action?spm=a2e0z.13920195.cf7687754.ddb5ad158.d9df6c51tgUS2R&amp;file=index.action#!/account/index" Type="http://schemas.openxmlformats.org/officeDocument/2006/relationships/hyperlink" TargetMode="External"></Relationship><Relationship Id="rId27" Target="http://joy.du@mindshareworld.com" Type="http://schemas.openxmlformats.org/officeDocument/2006/relationships/hyperlink" TargetMode="External"></Relationship><Relationship Id="rId28" Target="https://jzt.jd.com/home/#/index" Type="http://schemas.openxmlformats.org/officeDocument/2006/relationships/hyperlink" TargetMode="External"></Relationship><Relationship Id="rId29" Target="https://ad.weibo.com/" Type="http://schemas.openxmlformats.org/officeDocument/2006/relationships/hyperlink" TargetMode="External"></Relationship><Relationship Id="rId30" Target="https://ad.e.kuaishou.com/manage?__accountId__=14861051" Type="http://schemas.openxmlformats.org/officeDocument/2006/relationships/hyperlink" TargetMode="External"></Relationship><Relationship Id="rId31" Target="http://sd_xx@visionstar.cn" Type="http://schemas.openxmlformats.org/officeDocument/2006/relationships/hyperlink" TargetMode="External"></Relationship><Relationship Id="rId32" Target="https://adbrain.taobao.com/indexbp.html?spm=a2etp.11817080.cf7687754.1.3cfc340cF6NZNK#!/live/report-rtp/index?alias=duration&amp;bizCode=adStrategyDuration&amp;perspective=report&amp;startTime=2022-11-12&amp;endTime=2022-12-05&amp;vs=false&amp;version=all&amp;dateType=history&amp;effect=15&amp;effectType=click&amp;tab=campaign&amp;reportQuery=[object Object]&amp;spm=" Type="http://schemas.openxmlformats.org/officeDocument/2006/relationships/hyperlink" TargetMode="External"></Relationship><Relationship Id="rId33" Target="http://huaxizi_xhongshu4@163.com" Type="http://schemas.openxmlformats.org/officeDocument/2006/relationships/hyperlink" TargetMode="External"></Relationship><Relationship Id="rId34" Target="http://shiguang2251@ten-box.cn" Type="http://schemas.openxmlformats.org/officeDocument/2006/relationships/hyperlink" TargetMode="External"></Relationship><Relationship Id="rId35" Target="https://ad.xiaohongshu.com/" Type="http://schemas.openxmlformats.org/officeDocument/2006/relationships/hyperlink" TargetMode="External"></Relationship><Relationship Id="rId36" Target="https://tuijian.taobao.com/indexbp.html?spm=a2e1u0.13920195.cf7687754.d17068800.2ab94d63TTfrAB#!/manage/def?spm=a2e1u0.13920195.cf7687754.d17068800.2ab94d63TTfrAB&amp;alias=def&amp;startTime=2022-12-06&amp;endTime=2022-12-06&amp;campaignGroupId=12563920&amp;marketScene=display_user_define&amp;statusList=START,PAUSE,WAIT" Type="http://schemas.openxmlformats.org/officeDocument/2006/relationships/hyperlink" TargetMode="External"></Relationship><Relationship Id="rId37" Target="http://huaxizi_xinxliuad2@163.com" Type="http://schemas.openxmlformats.org/officeDocument/2006/relationships/hyperlink" TargetMode="External"></Relationship><Relationship Id="rId38" Target="https://subway.simba.taobao.com/index.jsp?spm=..0.da0f51bf8.6f372030STYU7d&amp;file=indexnew.jsp#!/manage/campaign/detail?campaignId=222191719&amp;start=2022-12-06&amp;end=2022-12-06" Type="http://schemas.openxmlformats.org/officeDocument/2006/relationships/hyperlink" TargetMode="External"></Relationship><Relationship Id="rId39" Target="https://ad.oceanengine.com/" Type="http://schemas.openxmlformats.org/officeDocument/2006/relationships/hyperlink" TargetMode="External"></Relationship><Relationship Id="rId40" Target="https://ad.xiaohongshu.com/" Type="http://schemas.openxmlformats.org/officeDocument/2006/relationships/hyperlink" TargetMode="External"></Relationship><Relationship Id="rId41" Target="https://cas.baidu.com/?tpl=www2&amp;fromu=http://www2.b...ommon/appinit.ajax" Type="http://schemas.openxmlformats.org/officeDocument/2006/relationships/hyperlink" TargetMode="External"></Relationship><Relationship Id="rId42" Target="http://huaxizi_xinxliuad7@163.com" Type="http://schemas.openxmlformats.org/officeDocument/2006/relationships/hyperlink" TargetMode="External"></Relationship><Relationship Id="rId43" Target="https://ad.oceanengine.com/" Type="http://schemas.openxmlformats.org/officeDocument/2006/relationships/hyperlink" TargetMode="External"></Relationship><Relationship Id="rId44" Target="https://niu.e.kuaishou.com/manage?__accountId__=13304454" Type="http://schemas.openxmlformats.org/officeDocument/2006/relationships/hyperlink" TargetMode="External"></Relationship><Relationship Id="rId45" Target="https://ad.oceanengine.com/" Type="http://schemas.openxmlformats.org/officeDocument/2006/relationships/hyperlink" TargetMode="External"></Relationship><Relationship Id="rId46" Target="http://shiguang1450@ten-box.cn" Type="http://schemas.openxmlformats.org/officeDocument/2006/relationships/hyperlink" TargetMode="External"></Relationship><Relationship Id="rId47" Target="https://ad.qq.com/atlas/23959502/index" Type="http://schemas.openxmlformats.org/officeDocument/2006/relationships/hyperlink" TargetMode="External"></Relationship><Relationship Id="rId48" Target="https://ad.xiaohongshu.com/" Type="http://schemas.openxmlformats.org/officeDocument/2006/relationships/hyperlink" TargetMode="External"></Relationship><Relationship Id="rId49" Target="https://product.shop.jd.com/rest/ware/list/manage?wareStatusStr=onSale&amp;firstQuery=1" Type="http://schemas.openxmlformats.org/officeDocument/2006/relationships/hyperlink" TargetMode="External"></Relationship><Relationship Id="rId50" Target="http://huaxizi_xinxiliuad@163.com" Type="http://schemas.openxmlformats.org/officeDocument/2006/relationships/hyperlink" TargetMode="External"></Relationship><Relationship Id="rId51" Target="https://passport.vip.com/login?whereFrom=vipotd&amp;src=https://e.vip.com/main.html" Type="http://schemas.openxmlformats.org/officeDocument/2006/relationships/hyperlink" TargetMode="External"></Relationship><Relationship Id="rId52" Target="https://passport.vip.com/login?whereFrom=vipotd&amp;src=https://e.vip.com/main.html" Type="http://schemas.openxmlformats.org/officeDocument/2006/relationships/hyperlink" TargetMode="External"></Relationship><Relationship Id="rId53" Target="https://adbrain.taobao.com/indexbp.html?spm=a2etp.11817080.cf7687754.1.3cfc340cF6NZNK#!/live/report-rtp/index?alias=duration&amp;bizCode=adStrategyDuration&amp;perspective=report&amp;startTime=2022-11-12&amp;endTime=2022-12-05&amp;vs=false&amp;version=all&amp;dateType=history&amp;effect=15&amp;effectType=click&amp;tab=campaign&amp;reportQuery=[object Object]&amp;spm=" Type="http://schemas.openxmlformats.org/officeDocument/2006/relationships/hyperlink" TargetMode="External"></Relationship><Relationship Id="rId54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http://huaxizicai1@eastgarden.com" Type="http://schemas.openxmlformats.org/officeDocument/2006/relationships/hyperlink" TargetMode="External"></Relationship><Relationship Id="rId2" Target="http://huaxizicai1@eastgarden.com" Type="http://schemas.openxmlformats.org/officeDocument/2006/relationships/hyperlink" TargetMode="External"></Relationship><Relationship Id="rId3" Target="http://yige18072932996@163.com" Type="http://schemas.openxmlformats.org/officeDocument/2006/relationships/hyperlink" TargetMode="External"></Relationship><Relationship Id="rId4" Target="http://yige18072932996@163.com" Type="http://schemas.openxmlformats.org/officeDocument/2006/relationships/hyperlink" TargetMode="External"></Relationship><Relationship Id="rId5" Target="http://huaxizicai2@eastgarden.com" Type="http://schemas.openxmlformats.org/officeDocument/2006/relationships/hyperlink" TargetMode="External"></Relationship><Relationship Id="rId6" Target="http://huaxizicai2@eastgarden.com" Type="http://schemas.openxmlformats.org/officeDocument/2006/relationships/hyperlink" TargetMode="External"></Relationship><Relationship Id="rId7" Target="http://hxzcaizhuang10@eastgarden.com" Type="http://schemas.openxmlformats.org/officeDocument/2006/relationships/hyperlink" TargetMode="External"></Relationship><Relationship Id="rId8" Target="http://hxzcaizhuang10@eastgarden.com" Type="http://schemas.openxmlformats.org/officeDocument/2006/relationships/hyperlink" TargetMode="External"></Relationship><Relationship Id="rId9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http://huaxizicai1@eastgarden.com" Type="http://schemas.openxmlformats.org/officeDocument/2006/relationships/hyperlink" TargetMode="External"></Relationship><Relationship Id="rId2" Target="http://huaxizi_xinxliuad5@163.com" Type="http://schemas.openxmlformats.org/officeDocument/2006/relationships/hyperlink" TargetMode="External"></Relationship><Relationship Id="rId3" Target="http://huaxizi_xinxiliuad4@163.com" Type="http://schemas.openxmlformats.org/officeDocument/2006/relationships/hyperlink" TargetMode="External"></Relationship><Relationship Id="rId4" Target="http://gancao@yige-group.com" Type="http://schemas.openxmlformats.org/officeDocument/2006/relationships/hyperlink" TargetMode="External"></Relationship><Relationship Id="rId5" Target="http://kongqing@yige-group.com" Type="http://schemas.openxmlformats.org/officeDocument/2006/relationships/hyperlink" TargetMode="External"></Relationship><Relationship Id="rId6" Target="http://huaxizi_xinxiliuad4@163.com" Type="http://schemas.openxmlformats.org/officeDocument/2006/relationships/hyperlink" TargetMode="External"></Relationship><Relationship Id="rId7" Target="http://huaxizi_xhongshu2@163.com" Type="http://schemas.openxmlformats.org/officeDocument/2006/relationships/hyperlink" TargetMode="External"></Relationship><Relationship Id="rId8" Target="http://sd_xx@visionstar.cn" Type="http://schemas.openxmlformats.org/officeDocument/2006/relationships/hyperlink" TargetMode="External"></Relationship><Relationship Id="rId9" Target="http://huaxizi_xinxliuad8@163.com" Type="http://schemas.openxmlformats.org/officeDocument/2006/relationships/hyperlink" TargetMode="External"></Relationship><Relationship Id="rId10" Target="http://yige18072932996@163.com" Type="http://schemas.openxmlformats.org/officeDocument/2006/relationships/hyperlink" TargetMode="External"></Relationship><Relationship Id="rId11" Target="http://huaxizi_xinxliuad5@163.com" Type="http://schemas.openxmlformats.org/officeDocument/2006/relationships/hyperlink" TargetMode="External"></Relationship><Relationship Id="rId12" Target="http://huaxizi_xinxliuad9@163.com" Type="http://schemas.openxmlformats.org/officeDocument/2006/relationships/hyperlink" TargetMode="External"></Relationship><Relationship Id="rId13" Target="http://huaxizi_xinxiliuad@163.com" Type="http://schemas.openxmlformats.org/officeDocument/2006/relationships/hyperlink" TargetMode="External"></Relationship><Relationship Id="rId14" Target="http://wanwan@yige-group.com" Type="http://schemas.openxmlformats.org/officeDocument/2006/relationships/hyperlink" TargetMode="External"></Relationship><Relationship Id="rId15" Target="http://huaxizicai1@eastgarden.com" Type="http://schemas.openxmlformats.org/officeDocument/2006/relationships/hyperlink" TargetMode="External"></Relationship><Relationship Id="rId16" Target="http://tangli@yige.us" Type="http://schemas.openxmlformats.org/officeDocument/2006/relationships/hyperlink" TargetMode="External"></Relationship><Relationship Id="rId17" Target="http://huaxizi_xinxliuad5@163.com" Type="http://schemas.openxmlformats.org/officeDocument/2006/relationships/hyperlink" TargetMode="External"></Relationship><Relationship Id="rId18" Target="http://hxzcaizhuang10@eastgarden.com" Type="http://schemas.openxmlformats.org/officeDocument/2006/relationships/hyperlink" TargetMode="External"></Relationship><Relationship Id="rId19" Target="http://huaxizi_xinxliuad9@163.com" Type="http://schemas.openxmlformats.org/officeDocument/2006/relationships/hyperlink" TargetMode="External"></Relationship><Relationship Id="rId20" Target="http://adserving_ud0754@weibo.com" Type="http://schemas.openxmlformats.org/officeDocument/2006/relationships/hyperlink" TargetMode="External"></Relationship><Relationship Id="rId21" Target="http://adserving_ud0754@weibo.com" Type="http://schemas.openxmlformats.org/officeDocument/2006/relationships/hyperlink" TargetMode="External"></Relationship><Relationship Id="rId22" Target="http://joy.du@mindshareworld.com" Type="http://schemas.openxmlformats.org/officeDocument/2006/relationships/hyperlink" TargetMode="External"></Relationship><Relationship Id="rId23" Target="http://huaxizicai1@eastgarden.com" Type="http://schemas.openxmlformats.org/officeDocument/2006/relationships/hyperlink" TargetMode="External"></Relationship><Relationship Id="rId24" Target="http://huaxizi_xinxliuad2@163.com" Type="http://schemas.openxmlformats.org/officeDocument/2006/relationships/hyperlink" TargetMode="External"></Relationship><Relationship Id="rId25" Target="http://gancao@yige-group.com" Type="http://schemas.openxmlformats.org/officeDocument/2006/relationships/hyperlink" TargetMode="External"></Relationship><Relationship Id="rId26" Target="http://huaxizi_xinxliuad9@163.com" Type="http://schemas.openxmlformats.org/officeDocument/2006/relationships/hyperlink" TargetMode="External"></Relationship><Relationship Id="rId27" Target="http://qinghe@zhimei.us" Type="http://schemas.openxmlformats.org/officeDocument/2006/relationships/hyperlink" TargetMode="External"></Relationship><Relationship Id="rId28" Target="http://huaxizi_xinxiliuad4@163.com" Type="http://schemas.openxmlformats.org/officeDocument/2006/relationships/hyperlink" TargetMode="External"></Relationship><Relationship Id="rId29" Target="http://huaxizi_xinxliuad8@163.com" Type="http://schemas.openxmlformats.org/officeDocument/2006/relationships/hyperlink" TargetMode="External"></Relationship><Relationship Id="rId30" Target="http://huaxizi_xinxliuad7@163.com" Type="http://schemas.openxmlformats.org/officeDocument/2006/relationships/hyperlink" TargetMode="External"></Relationship><Relationship Id="rId31" Target="http://hxzcaizhuang10@eastgarden.com" Type="http://schemas.openxmlformats.org/officeDocument/2006/relationships/hyperlink" TargetMode="External"></Relationship><Relationship Id="rId32" Target="http://xhm_huaxizi02@163.com" Type="http://schemas.openxmlformats.org/officeDocument/2006/relationships/hyperlink" TargetMode="External"></Relationship><Relationship Id="rId33" Target="http://huaxizi_xinxliuad8@163.com" Type="http://schemas.openxmlformats.org/officeDocument/2006/relationships/hyperlink" TargetMode="External"></Relationship><Relationship Id="rId34" Target="http://wanwan@yige-group.com" Type="http://schemas.openxmlformats.org/officeDocument/2006/relationships/hyperlink" TargetMode="External"></Relationship><Relationship Id="rId35" Target="http://kongqing@yige-group.com" Type="http://schemas.openxmlformats.org/officeDocument/2006/relationships/hyperlink" TargetMode="External"></Relationship><Relationship Id="rId36" Target="http://hongjin@yige-group.com" Type="http://schemas.openxmlformats.org/officeDocument/2006/relationships/hyperlink" TargetMode="External"></Relationship><Relationship Id="rId37" Target="http://huaxizi_xinxliuad2@163.com" Type="http://schemas.openxmlformats.org/officeDocument/2006/relationships/hyperlink" TargetMode="External"></Relationship><Relationship Id="rId38" Target="http://kongqing@yige-group.com" Type="http://schemas.openxmlformats.org/officeDocument/2006/relationships/hyperlink" TargetMode="External"></Relationship><Relationship Id="rId39" Target="http://yige18072932996@163.com" Type="http://schemas.openxmlformats.org/officeDocument/2006/relationships/hyperlink" TargetMode="External"></Relationship><Relationship Id="rId40" Target="http://joy.du@mindshareworld.com" Type="http://schemas.openxmlformats.org/officeDocument/2006/relationships/hyperlink" TargetMode="External"></Relationship><Relationship Id="rId41" Target="http://hxzcaizhuang10@eastgarden.com" Type="http://schemas.openxmlformats.org/officeDocument/2006/relationships/hyperlink" TargetMode="External"></Relationship><Relationship Id="rId42" Target="http://hongjin@yige-group.com" Type="http://schemas.openxmlformats.org/officeDocument/2006/relationships/hyperlink" TargetMode="External"></Relationship><Relationship Id="rId43" Target="http://sd_xx@visionstar.cn" Type="http://schemas.openxmlformats.org/officeDocument/2006/relationships/hyperlink" TargetMode="External"></Relationship><Relationship Id="rId44" Target="http://huaxizi_xinxliuad7@163.com" Type="http://schemas.openxmlformats.org/officeDocument/2006/relationships/hyperlink" TargetMode="External"></Relationship><Relationship Id="rId45" Target="http://joy.du@mindshareworld.com" Type="http://schemas.openxmlformats.org/officeDocument/2006/relationships/hyperlink" TargetMode="External"></Relationship><Relationship Id="rId46" Target="http://wanwan@yige-group.com" Type="http://schemas.openxmlformats.org/officeDocument/2006/relationships/hyperlink" TargetMode="External"></Relationship><Relationship Id="rId47" Target="http://huaxizicai2@eastgarden.com" Type="http://schemas.openxmlformats.org/officeDocument/2006/relationships/hyperlink" TargetMode="External"></Relationship><Relationship Id="rId48" Target="http://huaxizi_xinxliuad7@163.com" Type="http://schemas.openxmlformats.org/officeDocument/2006/relationships/hyperlink" TargetMode="External"></Relationship><Relationship Id="rId49" Target="http://huaxizi_xinxiliuad@163.com" Type="http://schemas.openxmlformats.org/officeDocument/2006/relationships/hyperlink" TargetMode="External"></Relationship><Relationship Id="rId50" Target="http://tangli@yige.us" Type="http://schemas.openxmlformats.org/officeDocument/2006/relationships/hyperlink" TargetMode="External"></Relationship><Relationship Id="rId51" Target="http://huaxizicai2@eastgarden.com" Type="http://schemas.openxmlformats.org/officeDocument/2006/relationships/hyperlink" TargetMode="External"></Relationship><Relationship Id="rId52" Target="http://hongjin@yige-group.com" Type="http://schemas.openxmlformats.org/officeDocument/2006/relationships/hyperlink" TargetMode="External"></Relationship><Relationship Id="rId53" Target="http://qinghe@zhimei.us" Type="http://schemas.openxmlformats.org/officeDocument/2006/relationships/hyperlink" TargetMode="External"></Relationship><Relationship Id="rId54" Target="http://qinghe@zhimei.us" Type="http://schemas.openxmlformats.org/officeDocument/2006/relationships/hyperlink" TargetMode="External"></Relationship><Relationship Id="rId55" Target="http://yige18072932996@163.com" Type="http://schemas.openxmlformats.org/officeDocument/2006/relationships/hyperlink" TargetMode="External"></Relationship><Relationship Id="rId56" Target="http://huaxizi_xhongshu2@163.com" Type="http://schemas.openxmlformats.org/officeDocument/2006/relationships/hyperlink" TargetMode="External"></Relationship><Relationship Id="rId57" Target="http://huaxizicai2@eastgarden.com" Type="http://schemas.openxmlformats.org/officeDocument/2006/relationships/hyperlink" TargetMode="External"></Relationship><Relationship Id="rId58" Target="http://huaxizi_xinxliuad2@163.com" Type="http://schemas.openxmlformats.org/officeDocument/2006/relationships/hyperlink" TargetMode="External"></Relationship><Relationship Id="rId59" Target="http://huaxizi_xinxiliuad@163.com" Type="http://schemas.openxmlformats.org/officeDocument/2006/relationships/hyperlink" TargetMode="External"></Relationship><Relationship Id="rId60" Target="http://tangli@yige.us" Type="http://schemas.openxmlformats.org/officeDocument/2006/relationships/hyperlink" TargetMode="External"></Relationship><Relationship Id="rId61" Target="http://adserving_ud0754@weibo.com" Type="http://schemas.openxmlformats.org/officeDocument/2006/relationships/hyperlink" TargetMode="External"></Relationship><Relationship Id="rId62" Target="http://gancao@yige-group.com" Type="http://schemas.openxmlformats.org/officeDocument/2006/relationships/hyperlink" TargetMode="External"></Relationship><Relationship Id="rId63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3"/>
    <col collapsed="false" customWidth="true" hidden="false" max="3" min="3" style="0" width="9"/>
    <col collapsed="false" customWidth="true" hidden="false" max="4" min="4" style="0" width="20"/>
    <col collapsed="false" customWidth="true" hidden="false" max="5" min="5" style="0" width="30"/>
    <col collapsed="false" customWidth="true" hidden="false" max="6" min="6" style="0" width="20"/>
    <col collapsed="false" customWidth="true" hidden="false" max="7" min="7" style="0" width="12"/>
    <col collapsed="false" customWidth="true" hidden="false" max="8" min="8" style="0" width="17"/>
    <col collapsed="false" customWidth="true" hidden="false" max="9" min="9" style="0" width="32"/>
    <col collapsed="false" customWidth="true" hidden="false" max="10" min="10" style="0" width="19"/>
    <col collapsed="false" customWidth="true" hidden="false" max="11" min="11" style="0" width="20"/>
    <col collapsed="false" customWidth="true" hidden="false" max="12" min="12" style="0" width="24"/>
    <col collapsed="false" customWidth="true" hidden="false" max="13" min="13" style="0" width="20"/>
    <col collapsed="false" customWidth="true" hidden="false" max="14" min="14" style="0" width="38"/>
    <col collapsed="false" customWidth="true" hidden="false" max="15" min="15" style="0" width="38"/>
    <col collapsed="false" customWidth="true" hidden="false" max="16" min="16" style="0" width="38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9" t="str">
        <v>投放账户ID</v>
      </c>
      <c r="B1" s="9" t="str">
        <v>名称</v>
      </c>
      <c r="C1" s="9" t="str">
        <v>业务对接人</v>
      </c>
      <c r="D1" s="9" t="str">
        <v>站内/站外</v>
      </c>
      <c r="E1" s="9" t="str">
        <v>营销活动</v>
      </c>
      <c r="F1" s="8" t="str">
        <v>公司主体</v>
      </c>
      <c r="G1" s="8" t="str">
        <v>平台</v>
      </c>
      <c r="H1" s="8" t="str">
        <v>投放方式（自投/代投）</v>
      </c>
      <c r="I1" s="8" t="str">
        <v>平台对合作应供应商名称</v>
      </c>
      <c r="J1" s="8" t="str">
        <v>是否存在充值赠送金</v>
      </c>
      <c r="K1" s="8" t="str">
        <v>是否存在返利</v>
      </c>
      <c r="L1" s="8" t="str">
        <v>是否通过此账户申请开票</v>
      </c>
      <c r="M1" s="8" t="str">
        <v>使用中心</v>
      </c>
      <c r="N1" s="8" t="str">
        <v>使用二级部门</v>
      </c>
      <c r="O1" s="8" t="str">
        <v>使用三级部门</v>
      </c>
      <c r="P1" s="9" t="str">
        <v>财务对接人（如有）</v>
      </c>
      <c r="Q1" s="1"/>
      <c r="R1" s="1"/>
      <c r="S1" s="1"/>
      <c r="T1" s="1"/>
    </row>
    <row r="2">
      <c r="A2" s="2">
        <v>6336556296</v>
      </c>
      <c r="B2" s="2" t="str">
        <v>花西子Florasis</v>
      </c>
      <c r="C2" s="1"/>
      <c r="D2" s="1"/>
      <c r="E2" s="1" t="str">
        <v>微博推广</v>
      </c>
      <c r="F2" s="3" t="str">
        <v>杭州宜格化妆品有限公司</v>
      </c>
      <c r="G2" s="1" t="str">
        <v>微博</v>
      </c>
      <c r="H2" s="1" t="str">
        <v>自投</v>
      </c>
      <c r="I2" s="2" t="str">
        <v>上海宇枫电子商务有限公司</v>
      </c>
      <c r="J2" s="2" t="str">
        <v>是</v>
      </c>
      <c r="K2" s="2" t="str">
        <v>否</v>
      </c>
      <c r="L2" s="2" t="str">
        <v>否</v>
      </c>
      <c r="M2" s="4"/>
      <c r="N2" s="4"/>
      <c r="O2" s="4"/>
      <c r="P2" s="4"/>
      <c r="Q2" s="1"/>
      <c r="R2" s="1"/>
      <c r="S2" s="1"/>
      <c r="T2" s="1"/>
    </row>
    <row r="3">
      <c r="A3" s="2">
        <v>6965612965</v>
      </c>
      <c r="B3" s="2" t="str">
        <v>花西子美妆日记</v>
      </c>
      <c r="C3" s="1"/>
      <c r="D3" s="1"/>
      <c r="E3" s="1" t="str">
        <v>微博推广</v>
      </c>
      <c r="F3" s="3" t="str">
        <v>杭州宜格化妆品有限公司</v>
      </c>
      <c r="G3" s="1" t="str">
        <v>微博</v>
      </c>
      <c r="H3" s="1" t="str">
        <v>自投</v>
      </c>
      <c r="I3" s="2" t="str">
        <v>上海宇枫电子商务有限公司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5" t="str">
        <v>55d34272f5a26377d1b784dd</v>
      </c>
      <c r="B4" s="7" t="str">
        <v>花西子Florasis</v>
      </c>
      <c r="C4" s="5"/>
      <c r="D4" s="7" t="str">
        <v>站内</v>
      </c>
      <c r="E4" s="6" t="str">
        <v>小红书加热</v>
      </c>
      <c r="F4" s="5"/>
      <c r="G4" s="5"/>
      <c r="H4" s="5"/>
      <c r="I4" s="5" t="str">
        <v>薯一薯二文化传媒（上海）有限公司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44"/>
    <col collapsed="false" customWidth="true" hidden="false" max="2" min="2" style="0" width="44"/>
    <col collapsed="false" customWidth="true" hidden="false" max="3" min="3" style="0" width="41"/>
    <col collapsed="false" customWidth="true" hidden="false" max="3" min="3" style="0" width="41"/>
    <col collapsed="false" customWidth="true" hidden="false" max="4" min="4" style="0" width="14"/>
    <col collapsed="false" customWidth="true" hidden="false" max="4" min="4" style="0" width="14"/>
    <col collapsed="false" customWidth="true" hidden="false" max="5" min="5" style="0" width="24"/>
    <col collapsed="false" customWidth="true" hidden="false" max="5" min="5" style="0" width="24"/>
    <col collapsed="false" customWidth="true" hidden="false" max="6" min="6" style="0" width="22"/>
    <col collapsed="false" customWidth="true" hidden="false" max="7" min="7" style="0" width="39"/>
    <col collapsed="false" customWidth="true" hidden="false" max="8" min="8" style="0" width="21"/>
    <col collapsed="false" customWidth="true" hidden="false" max="8" min="8" style="0" width="21"/>
    <col collapsed="false" customWidth="true" hidden="false" max="9" min="9" style="0" width="34"/>
    <col collapsed="false" customWidth="true" hidden="false" max="9" min="9" style="0" width="34"/>
    <col collapsed="false" customWidth="true" hidden="false" max="10" min="10" style="0" width="41"/>
    <col collapsed="false" customWidth="true" hidden="false" max="11" min="11" style="0" width="41"/>
    <col collapsed="false" customWidth="true" hidden="false" max="11" min="11" style="0" width="41"/>
    <col collapsed="false" customWidth="true" hidden="false" max="12" min="12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4" min="14" style="0" width="13"/>
    <col collapsed="false" customWidth="true" hidden="false" max="15" min="15" style="0" width="12"/>
    <col collapsed="false" customWidth="true" hidden="false" max="15" min="15" style="0" width="12"/>
    <col collapsed="false" customWidth="true" hidden="false" max="16" min="16" style="0" width="32"/>
    <col collapsed="false" customWidth="true" hidden="false" max="16" min="16" style="0" width="32"/>
    <col collapsed="false" customWidth="true" hidden="false" max="17" min="17" style="0" width="27"/>
    <col collapsed="false" customWidth="true" hidden="false" max="17" min="17" style="0" width="27"/>
    <col collapsed="false" customWidth="true" hidden="false" max="18" min="18" style="0" width="41"/>
    <col collapsed="false" customWidth="true" hidden="false" max="18" min="18" style="0" width="41"/>
    <col collapsed="false" customWidth="true" hidden="false" max="19" min="19" style="0" width="20"/>
    <col collapsed="false" customWidth="true" hidden="false" max="19" min="19" style="0" width="20"/>
    <col collapsed="false" customWidth="true" hidden="false" max="20" min="20" style="0" width="38"/>
    <col collapsed="false" customWidth="true" hidden="false" max="20" min="20" style="0" width="38"/>
    <col collapsed="false" customWidth="true" hidden="false" max="21" min="21" style="0" width="38"/>
    <col collapsed="false" customWidth="true" hidden="false" max="21" min="21" style="0" width="38"/>
    <col collapsed="false" customWidth="true" hidden="false" max="22" min="22" style="0" width="38"/>
    <col collapsed="false" customWidth="true" hidden="false" max="22" min="22" style="0" width="38"/>
    <col collapsed="false" customWidth="true" hidden="false" max="23" min="23" style="0" width="38"/>
    <col collapsed="false" customWidth="true" hidden="false" max="24" min="24" style="0" width="28"/>
    <col collapsed="false" customWidth="true" hidden="false" max="24" min="24" style="0" width="28"/>
    <col collapsed="false" customWidth="true" hidden="false" max="25" min="25" style="0" width="28"/>
  </cols>
  <sheetData>
    <row r="1">
      <c r="A1" s="42" t="str">
        <v>站内/站外</v>
      </c>
      <c r="B1" s="42" t="str">
        <v>营销活动</v>
      </c>
      <c r="C1" s="42" t="str">
        <v>公司主体</v>
      </c>
      <c r="D1" s="42">
        <f>+++++#REF!</f>
      </c>
      <c r="E1" s="42" t="str">
        <v>投放平台</v>
      </c>
      <c r="F1" s="42" t="str">
        <v>投放方式</v>
      </c>
      <c r="G1" s="42" t="str">
        <v>平台对合作应供应商名称</v>
      </c>
      <c r="H1" s="42" t="str">
        <v>对应业务场景及用途</v>
      </c>
      <c r="I1" s="44" t="str">
        <v>登录网址</v>
      </c>
      <c r="J1" s="42" t="str">
        <v>账号</v>
      </c>
      <c r="K1" s="42" t="str">
        <v>编码</v>
      </c>
      <c r="L1" s="42"/>
      <c r="M1" s="42" t="str">
        <v>是否按消耗开票</v>
      </c>
      <c r="N1" s="42" t="str">
        <v>是否为充值账户</v>
      </c>
      <c r="O1" s="42" t="str">
        <v>是否能取到充值/消耗明细</v>
      </c>
      <c r="P1" s="42" t="str">
        <v>是否存在充值赠送金</v>
      </c>
      <c r="Q1" s="42" t="str">
        <v>是否存在返利</v>
      </c>
      <c r="R1" s="42" t="str">
        <v>是否通过此账户申请开票</v>
      </c>
      <c r="S1" s="42" t="str">
        <v>使用中心</v>
      </c>
      <c r="T1" s="42" t="str">
        <v>使用二级部门</v>
      </c>
      <c r="U1" s="42" t="str">
        <v>使用三级部门</v>
      </c>
      <c r="V1" s="42" t="str">
        <v>使用四级部门</v>
      </c>
      <c r="W1" s="42" t="str">
        <v>业务对接人</v>
      </c>
      <c r="X1" s="42" t="str">
        <v>备注</v>
      </c>
      <c r="Y1" s="42" t="str">
        <v>财务对接人</v>
      </c>
      <c r="Z1" s="43" t="str">
        <v>账户权限owner</v>
      </c>
      <c r="AA1" s="45" t="str">
        <v>登录方式</v>
      </c>
    </row>
    <row customHeight="true" ht="19" r="2">
      <c r="A2" s="31"/>
      <c r="B2" s="31"/>
      <c r="C2" s="31"/>
      <c r="D2" s="31" t="str">
        <v>正常使用/闲置</v>
      </c>
      <c r="E2" s="31" t="str">
        <v>平台的称呼，如：
抖音-巨量千川
抖音-巨量纵横
快手
淘宝AD</v>
      </c>
      <c r="F2" s="31" t="str">
        <v>自投/代投</v>
      </c>
      <c r="G2" s="31" t="str">
        <v>供应商全称</v>
      </c>
      <c r="H2" s="31"/>
      <c r="I2" s="32"/>
      <c r="J2" s="31"/>
      <c r="K2" s="31"/>
      <c r="L2" s="29"/>
      <c r="M2" s="29"/>
      <c r="N2" s="29" t="str">
        <v>是/否</v>
      </c>
      <c r="O2" s="29" t="str">
        <v>是/否</v>
      </c>
      <c r="P2" s="29" t="str">
        <v>是/否</v>
      </c>
      <c r="Q2" s="29" t="str">
        <v>是/否</v>
      </c>
      <c r="R2" s="29" t="str">
        <v>是/否</v>
      </c>
      <c r="S2" s="29" t="str">
        <v>一级中心</v>
      </c>
      <c r="T2" s="29"/>
      <c r="U2" s="29"/>
      <c r="V2" s="30"/>
      <c r="W2" s="30"/>
      <c r="X2" s="29"/>
      <c r="Y2" s="29"/>
      <c r="Z2" s="30" t="str">
        <v>管理密码人员</v>
      </c>
      <c r="AA2" s="29" t="str">
        <v>验证码/账户密码</v>
      </c>
    </row>
    <row customHeight="true" ht="19" r="3">
      <c r="A3" s="11" t="str">
        <v>站内</v>
      </c>
      <c r="B3" s="37" t="str">
        <v>考拉-常规投放</v>
      </c>
      <c r="C3" s="11" t="str">
        <v>杭州匠泽电子商务有限公司</v>
      </c>
      <c r="D3" s="11" t="str">
        <v>正常使用</v>
      </c>
      <c r="E3" s="11" t="str">
        <v>考拉</v>
      </c>
      <c r="F3" s="11" t="str">
        <v>自投</v>
      </c>
      <c r="G3" s="11" t="str">
        <v>考拉海购（杭州）科技有限公司</v>
      </c>
      <c r="H3" s="11" t="str">
        <v>考拉</v>
      </c>
      <c r="I3" s="3" t="s">
        <v>8</v>
      </c>
      <c r="J3" s="11">
        <v>18069829269</v>
      </c>
      <c r="K3" s="11">
        <v>18069829269</v>
      </c>
      <c r="L3" s="11"/>
      <c r="M3" s="11"/>
      <c r="N3" s="11" t="str">
        <v>否</v>
      </c>
      <c r="O3" s="11" t="str">
        <v>否</v>
      </c>
      <c r="P3" s="11" t="str">
        <v>否</v>
      </c>
      <c r="Q3" s="11" t="str">
        <v>否</v>
      </c>
      <c r="R3" s="11" t="str">
        <v>是</v>
      </c>
      <c r="S3" s="36" t="str">
        <v>品牌运营中心</v>
      </c>
      <c r="T3" s="36" t="str">
        <v>渠道运营部</v>
      </c>
      <c r="U3" s="36" t="str">
        <v>综合渠道运营部</v>
      </c>
      <c r="V3" s="3" t="str">
        <v>综合渠道推广部</v>
      </c>
      <c r="W3" s="3">
        <f>VLOOKUP(K3,'Sheet11'!$X$2:$AH$279,11,FALSE)</f>
      </c>
      <c r="X3" s="11"/>
      <c r="Y3" s="11" t="str">
        <v>贝果</v>
      </c>
      <c r="Z3" s="3" t="str">
        <v>徐庄南</v>
      </c>
      <c r="AA3" s="11" t="str">
        <v>账号密码</v>
      </c>
    </row>
    <row r="4">
      <c r="A4" s="17" t="str">
        <v>站外</v>
      </c>
      <c r="B4" s="11" t="str">
        <v>AD信息流</v>
      </c>
      <c r="C4" s="11" t="str">
        <v>杭州宜格化妆品有限公司</v>
      </c>
      <c r="D4" s="17" t="str">
        <v>暂停投放</v>
      </c>
      <c r="E4" s="17" t="str">
        <v>抖音</v>
      </c>
      <c r="F4" s="17" t="str">
        <v>自投</v>
      </c>
      <c r="G4" s="17" t="str">
        <v>广东省广告集团股份有限公司</v>
      </c>
      <c r="H4" s="17" t="str">
        <v>得物抖音AD引流</v>
      </c>
      <c r="I4" s="12" t="s">
        <v>32</v>
      </c>
      <c r="J4" s="11" t="str">
        <v>huaxizi_xinxliuad2@163.com</v>
      </c>
      <c r="K4" s="17" t="s">
        <v>33</v>
      </c>
      <c r="L4" s="11"/>
      <c r="M4" s="11"/>
      <c r="N4" s="11" t="str">
        <v>否</v>
      </c>
      <c r="O4" s="11" t="str">
        <v>否</v>
      </c>
      <c r="P4" s="17" t="str">
        <v>是</v>
      </c>
      <c r="Q4" s="17" t="str">
        <v>是</v>
      </c>
      <c r="R4" s="17" t="str">
        <v>是</v>
      </c>
      <c r="S4" s="3" t="str">
        <v>品牌运营中心</v>
      </c>
      <c r="T4" s="3"/>
      <c r="U4" s="17"/>
      <c r="V4" s="3"/>
      <c r="W4" s="3">
        <f>VLOOKUP(K4,'Sheet11'!$X$2:$AH$279,11,FALSE)</f>
      </c>
      <c r="X4" s="17" t="str">
        <v>目前未投放</v>
      </c>
      <c r="Y4" s="17" t="str">
        <v>贝果</v>
      </c>
      <c r="Z4" s="12" t="str">
        <v>徐庄南</v>
      </c>
      <c r="AA4" s="17" t="str">
        <v>账号密码</v>
      </c>
    </row>
    <row r="5">
      <c r="A5" s="16" t="str">
        <v>站内</v>
      </c>
      <c r="B5" s="18" t="str">
        <v>小红书加热</v>
      </c>
      <c r="C5" s="11" t="str">
        <v>杭州宜格化妆品有限公司</v>
      </c>
      <c r="D5" s="11"/>
      <c r="E5" s="16" t="str">
        <v>小红书(TFPT08)</v>
      </c>
      <c r="F5" s="16" t="str">
        <v>自投</v>
      </c>
      <c r="G5" s="16" t="str">
        <v>江苏拾光宝盒信息技术有限公司(VEN01761)</v>
      </c>
      <c r="H5" s="12"/>
      <c r="I5" s="3"/>
      <c r="J5" s="16" t="str">
        <v>拾光宝盒（花西子美妆）</v>
      </c>
      <c r="K5" s="16">
        <v>117315</v>
      </c>
      <c r="L5" s="11"/>
      <c r="M5" s="11"/>
      <c r="N5" s="11"/>
      <c r="O5" s="11"/>
      <c r="P5" s="16" t="str">
        <v>是(YES)</v>
      </c>
      <c r="Q5" s="16" t="str">
        <v>是(YES)</v>
      </c>
      <c r="R5" s="16" t="str">
        <v>否</v>
      </c>
      <c r="S5" s="3">
        <f>VLOOKUP(B5,'Sheet9'!$B$2:$G$191,3,FALSE)</f>
      </c>
      <c r="T5" s="3">
        <f>VLOOKUP(B5,'Sheet9'!$B$2:$G$191,4,FALSE)</f>
      </c>
      <c r="U5" s="3">
        <f>VLOOKUP(B5,'Sheet9'!$B$2:$G$191,5,FALSE)</f>
      </c>
      <c r="V5" s="3" t="str">
        <v>内容投放组</v>
      </c>
      <c r="W5" s="3">
        <f>VLOOKUP(K5,'Sheet11'!$X$2:$AH$279,11,FALSE)</f>
      </c>
      <c r="X5" s="11"/>
      <c r="Y5" s="11" t="str">
        <v>贝果</v>
      </c>
      <c r="Z5" s="3" t="str">
        <v>甘草、清和</v>
      </c>
      <c r="AA5" s="11" t="str">
        <v>账号密码</v>
      </c>
    </row>
    <row r="6">
      <c r="A6" s="16" t="str">
        <v>站内</v>
      </c>
      <c r="B6" s="18" t="str">
        <v>小红书加热</v>
      </c>
      <c r="C6" s="11" t="str">
        <v>杭州宜格化妆品有限公司</v>
      </c>
      <c r="D6" s="11"/>
      <c r="E6" s="16" t="str">
        <v>小红书(TFPT08)</v>
      </c>
      <c r="F6" s="16" t="str">
        <v>自投</v>
      </c>
      <c r="G6" s="16" t="str">
        <v>江苏拾光宝盒信息技术有限公司(VEN01761)</v>
      </c>
      <c r="H6" s="12"/>
      <c r="I6" s="3"/>
      <c r="J6" s="16" t="str">
        <v>拾光宝盒（花西子Florasis4）</v>
      </c>
      <c r="K6" s="16">
        <v>168640</v>
      </c>
      <c r="L6" s="11"/>
      <c r="M6" s="11"/>
      <c r="N6" s="11"/>
      <c r="O6" s="11"/>
      <c r="P6" s="16" t="str">
        <v>是(YES)</v>
      </c>
      <c r="Q6" s="16" t="str">
        <v>是(YES)</v>
      </c>
      <c r="R6" s="16" t="str">
        <v>否</v>
      </c>
      <c r="S6" s="3">
        <f>VLOOKUP(B6,'Sheet9'!$B$2:$G$191,3,FALSE)</f>
      </c>
      <c r="T6" s="3">
        <f>VLOOKUP(B6,'Sheet9'!$B$2:$G$191,4,FALSE)</f>
      </c>
      <c r="U6" s="3">
        <f>VLOOKUP(B6,'Sheet9'!$B$2:$G$191,5,FALSE)</f>
      </c>
      <c r="V6" s="3" t="str">
        <v>内容投放组</v>
      </c>
      <c r="W6" s="3">
        <f>VLOOKUP(K6,'Sheet11'!$X$2:$AH$279,11,FALSE)</f>
      </c>
      <c r="X6" s="11"/>
      <c r="Y6" s="11" t="str">
        <v>贝果</v>
      </c>
      <c r="Z6" s="3" t="str">
        <v>甘草、清和</v>
      </c>
      <c r="AA6" s="11" t="str">
        <v>账号密码</v>
      </c>
    </row>
    <row r="7">
      <c r="A7" s="16" t="str">
        <v>站内</v>
      </c>
      <c r="B7" s="18" t="str">
        <v>小红书加热</v>
      </c>
      <c r="C7" s="11" t="str">
        <v>杭州宜格化妆品有限公司</v>
      </c>
      <c r="D7" s="11"/>
      <c r="E7" s="16" t="str">
        <v>小红书(TFPT08)</v>
      </c>
      <c r="F7" s="16" t="str">
        <v>自投</v>
      </c>
      <c r="G7" s="16" t="str">
        <v>广东省广告集团股份有限公司(VEN02800)</v>
      </c>
      <c r="H7" s="12"/>
      <c r="I7" s="3"/>
      <c r="J7" s="16" t="str">
        <v>省广集团（花西子Florasis）</v>
      </c>
      <c r="K7" s="16">
        <v>113409</v>
      </c>
      <c r="L7" s="11"/>
      <c r="M7" s="11"/>
      <c r="N7" s="11"/>
      <c r="O7" s="11"/>
      <c r="P7" s="16" t="str">
        <v>是(YES)</v>
      </c>
      <c r="Q7" s="16" t="str">
        <v>是(YES)</v>
      </c>
      <c r="R7" s="16" t="str">
        <v>否</v>
      </c>
      <c r="S7" s="3">
        <f>VLOOKUP(B7,'Sheet9'!$B$2:$G$191,3,FALSE)</f>
      </c>
      <c r="T7" s="3">
        <f>VLOOKUP(B7,'Sheet9'!$B$2:$G$191,4,FALSE)</f>
      </c>
      <c r="U7" s="3">
        <f>VLOOKUP(B7,'Sheet9'!$B$2:$G$191,5,FALSE)</f>
      </c>
      <c r="V7" s="3" t="str">
        <v>内容投放组</v>
      </c>
      <c r="W7" s="3">
        <f>VLOOKUP(K7,'Sheet11'!$X$2:$AH$279,11,FALSE)</f>
      </c>
      <c r="X7" s="11"/>
      <c r="Y7" s="11" t="str">
        <v>贝果</v>
      </c>
      <c r="Z7" s="3" t="str">
        <v>甘草、清和</v>
      </c>
      <c r="AA7" s="11" t="str">
        <v>账号密码</v>
      </c>
    </row>
    <row r="8">
      <c r="A8" s="16" t="str">
        <v>站内</v>
      </c>
      <c r="B8" s="18" t="str">
        <v>小红书加热</v>
      </c>
      <c r="C8" s="11" t="str">
        <v>杭州宜格化妆品有限公司</v>
      </c>
      <c r="D8" s="17"/>
      <c r="E8" s="16" t="str">
        <v>小红书(TFPT08)</v>
      </c>
      <c r="F8" s="16" t="str">
        <v>自投</v>
      </c>
      <c r="G8" s="16" t="str">
        <v>广东省广告集团股份有限公司(VEN02800)</v>
      </c>
      <c r="H8" s="12"/>
      <c r="I8" s="12"/>
      <c r="J8" s="16" t="str">
        <v>省广-美妆</v>
      </c>
      <c r="K8" s="16" t="s">
        <v>19</v>
      </c>
      <c r="L8" s="11"/>
      <c r="M8" s="11"/>
      <c r="N8" s="11"/>
      <c r="O8" s="11"/>
      <c r="P8" s="16" t="str">
        <v>是(YES)</v>
      </c>
      <c r="Q8" s="16" t="str">
        <v>是(YES)</v>
      </c>
      <c r="R8" s="16" t="str">
        <v>否</v>
      </c>
      <c r="S8" s="3">
        <f>VLOOKUP(B8,'Sheet9'!$B$2:$G$191,3,FALSE)</f>
      </c>
      <c r="T8" s="3">
        <f>VLOOKUP(B8,'Sheet9'!$B$2:$G$191,4,FALSE)</f>
      </c>
      <c r="U8" s="3">
        <f>VLOOKUP(B8,'Sheet9'!$B$2:$G$191,5,FALSE)</f>
      </c>
      <c r="V8" s="3" t="str">
        <v>内容投放组</v>
      </c>
      <c r="W8" s="3">
        <f>VLOOKUP(K8,'Sheet11'!$X$2:$AH$279,11,FALSE)</f>
      </c>
      <c r="X8" s="17"/>
      <c r="Y8" s="17" t="str">
        <v>贝果</v>
      </c>
      <c r="Z8" s="12" t="str">
        <v>甘草、清和</v>
      </c>
      <c r="AA8" s="17" t="str">
        <v>账号密码</v>
      </c>
    </row>
    <row r="9">
      <c r="A9" s="16" t="str">
        <v>站内</v>
      </c>
      <c r="B9" s="18" t="str">
        <v>小红书加热</v>
      </c>
      <c r="C9" s="11" t="str">
        <v>杭州宜格化妆品有限公司</v>
      </c>
      <c r="D9" s="11"/>
      <c r="E9" s="16" t="str">
        <v>小红书(TFPT08)</v>
      </c>
      <c r="F9" s="16" t="str">
        <v>自投</v>
      </c>
      <c r="G9" s="16" t="str">
        <v>广东省广告集团股份有限公司(VEN02800)</v>
      </c>
      <c r="H9" s="12"/>
      <c r="I9" s="3"/>
      <c r="J9" s="16" t="str">
        <v>省广集团（花西子Florasis）02</v>
      </c>
      <c r="K9" s="16">
        <v>117993</v>
      </c>
      <c r="L9" s="11"/>
      <c r="M9" s="11"/>
      <c r="N9" s="11"/>
      <c r="O9" s="11"/>
      <c r="P9" s="16" t="str">
        <v>是(YES)</v>
      </c>
      <c r="Q9" s="16" t="str">
        <v>是(YES)</v>
      </c>
      <c r="R9" s="16" t="str">
        <v>否</v>
      </c>
      <c r="S9" s="3">
        <f>VLOOKUP(B9,'Sheet9'!$B$2:$G$191,3,FALSE)</f>
      </c>
      <c r="T9" s="3">
        <f>VLOOKUP(B9,'Sheet9'!$B$2:$G$191,4,FALSE)</f>
      </c>
      <c r="U9" s="3">
        <f>VLOOKUP(B9,'Sheet9'!$B$2:$G$191,5,FALSE)</f>
      </c>
      <c r="V9" s="3" t="str">
        <v>内容投放组</v>
      </c>
      <c r="W9" s="3">
        <f>VLOOKUP(K9,'Sheet11'!$X$2:$AH$279,11,FALSE)</f>
      </c>
      <c r="X9" s="11"/>
      <c r="Y9" s="11" t="str">
        <v>贝果</v>
      </c>
      <c r="Z9" s="3" t="str">
        <v>甘草、清和</v>
      </c>
      <c r="AA9" s="11" t="str">
        <v>账号密码</v>
      </c>
    </row>
    <row r="10">
      <c r="A10" s="16" t="str">
        <v>站内</v>
      </c>
      <c r="B10" s="18" t="str">
        <v>小红书加热</v>
      </c>
      <c r="C10" s="11" t="str">
        <v>杭州宜格化妆品有限公司</v>
      </c>
      <c r="D10" s="17"/>
      <c r="E10" s="16" t="str">
        <v>小红书(TFPT08)</v>
      </c>
      <c r="F10" s="16" t="str">
        <v>自投</v>
      </c>
      <c r="G10" s="16" t="str">
        <v>广东省广告集团股份有限公司(VEN02800)</v>
      </c>
      <c r="H10" s="12"/>
      <c r="I10" s="12"/>
      <c r="J10" s="16" t="str">
        <v>省广集团（花西子Florasis）03</v>
      </c>
      <c r="K10" s="16">
        <v>117992</v>
      </c>
      <c r="L10" s="11"/>
      <c r="M10" s="11"/>
      <c r="N10" s="11"/>
      <c r="O10" s="11"/>
      <c r="P10" s="16" t="str">
        <v>是(YES)</v>
      </c>
      <c r="Q10" s="16" t="str">
        <v>是(YES)</v>
      </c>
      <c r="R10" s="16" t="str">
        <v>否</v>
      </c>
      <c r="S10" s="3">
        <f>VLOOKUP(B10,'Sheet9'!$B$2:$G$191,3,FALSE)</f>
      </c>
      <c r="T10" s="3">
        <f>VLOOKUP(B10,'Sheet9'!$B$2:$G$191,4,FALSE)</f>
      </c>
      <c r="U10" s="3">
        <f>VLOOKUP(B10,'Sheet9'!$B$2:$G$191,5,FALSE)</f>
      </c>
      <c r="V10" s="3" t="str">
        <v>内容投放组</v>
      </c>
      <c r="W10" s="3">
        <f>VLOOKUP(K10,'Sheet11'!$X$2:$AH$279,11,FALSE)</f>
      </c>
      <c r="X10" s="17"/>
      <c r="Y10" s="17" t="str">
        <v>贝果</v>
      </c>
      <c r="Z10" s="12" t="str">
        <v>甘草、清和</v>
      </c>
      <c r="AA10" s="17" t="str">
        <v>账号密码</v>
      </c>
    </row>
    <row r="11">
      <c r="A11" s="16" t="str">
        <v>站外</v>
      </c>
      <c r="B11" s="18" t="str">
        <v>小红书加热</v>
      </c>
      <c r="C11" s="11" t="str">
        <v>杭州宜格化妆品有限公司</v>
      </c>
      <c r="D11" s="11"/>
      <c r="E11" s="16" t="str">
        <v>小红书(TFPT08)</v>
      </c>
      <c r="F11" s="16" t="str">
        <v>自投</v>
      </c>
      <c r="G11" s="16" t="str">
        <v>江苏拾光宝盒信息技术有限公司(VEN01761)</v>
      </c>
      <c r="H11" s="12"/>
      <c r="I11" s="3"/>
      <c r="J11" s="16" t="str">
        <v>拾光宝盒（花西子Florasis3）</v>
      </c>
      <c r="K11" s="16">
        <v>119989</v>
      </c>
      <c r="L11" s="11"/>
      <c r="M11" s="11"/>
      <c r="N11" s="11"/>
      <c r="O11" s="11"/>
      <c r="P11" s="16"/>
      <c r="Q11" s="16"/>
      <c r="R11" s="16" t="str">
        <v>否</v>
      </c>
      <c r="S11" s="3">
        <f>VLOOKUP(B11,'Sheet9'!$B$2:$G$191,3,FALSE)</f>
      </c>
      <c r="T11" s="3">
        <f>VLOOKUP(B11,'Sheet9'!$B$2:$G$191,4,FALSE)</f>
      </c>
      <c r="U11" s="3">
        <f>VLOOKUP(B11,'Sheet9'!$B$2:$G$191,5,FALSE)</f>
      </c>
      <c r="V11" s="3" t="str">
        <v>内容投放组</v>
      </c>
      <c r="W11" s="3">
        <f>VLOOKUP(K11,'Sheet11'!$X$2:$AH$279,11,FALSE)</f>
      </c>
      <c r="X11" s="11"/>
      <c r="Y11" s="11" t="str">
        <v>贝果</v>
      </c>
      <c r="Z11" s="3" t="str">
        <v>甘草、清和</v>
      </c>
      <c r="AA11" s="11" t="str">
        <v>账号密码</v>
      </c>
    </row>
    <row r="12">
      <c r="A12" s="16" t="str">
        <v>站外</v>
      </c>
      <c r="B12" s="18" t="str">
        <v>小红书加热</v>
      </c>
      <c r="C12" s="11" t="str">
        <v>杭州宜格化妆品有限公司</v>
      </c>
      <c r="D12" s="17"/>
      <c r="E12" s="16" t="str">
        <v>小红书(TFPT08)</v>
      </c>
      <c r="F12" s="16" t="str">
        <v>自投</v>
      </c>
      <c r="G12" s="16" t="str">
        <v>江苏拾光宝盒信息技术有限公司(VEN01761)</v>
      </c>
      <c r="H12" s="12"/>
      <c r="I12" s="12"/>
      <c r="J12" s="16" t="str">
        <v>拾光宝盒（花西子Florasis）</v>
      </c>
      <c r="K12" s="16">
        <v>65933</v>
      </c>
      <c r="L12" s="11"/>
      <c r="M12" s="11"/>
      <c r="N12" s="11"/>
      <c r="O12" s="11"/>
      <c r="P12" s="16"/>
      <c r="Q12" s="16"/>
      <c r="R12" s="16" t="str">
        <v>否</v>
      </c>
      <c r="S12" s="3">
        <f>VLOOKUP(B12,'Sheet9'!$B$2:$G$191,3,FALSE)</f>
      </c>
      <c r="T12" s="3">
        <f>VLOOKUP(B12,'Sheet9'!$B$2:$G$191,4,FALSE)</f>
      </c>
      <c r="U12" s="3">
        <f>VLOOKUP(B12,'Sheet9'!$B$2:$G$191,5,FALSE)</f>
      </c>
      <c r="V12" s="3" t="str">
        <v>内容投放组</v>
      </c>
      <c r="W12" s="3">
        <f>VLOOKUP(K12,'Sheet11'!$X$2:$AH$279,11,FALSE)</f>
      </c>
      <c r="X12" s="17"/>
      <c r="Y12" s="17" t="str">
        <v>贝果</v>
      </c>
      <c r="Z12" s="12" t="str">
        <v>甘草、清和</v>
      </c>
      <c r="AA12" s="17" t="str">
        <v>账号密码</v>
      </c>
    </row>
    <row r="13">
      <c r="A13" s="16" t="str">
        <v>站外</v>
      </c>
      <c r="B13" s="18" t="str">
        <v>小红书加热</v>
      </c>
      <c r="C13" s="11" t="str">
        <v>杭州宜格化妆品有限公司</v>
      </c>
      <c r="D13" s="11"/>
      <c r="E13" s="16" t="str">
        <v>小红书(TFPT08)</v>
      </c>
      <c r="F13" s="16" t="str">
        <v>自投</v>
      </c>
      <c r="G13" s="16" t="str">
        <v>江苏拾光宝盒信息技术有限公司(VEN01761)</v>
      </c>
      <c r="H13" s="12"/>
      <c r="I13" s="3"/>
      <c r="J13" s="16" t="str">
        <v>拾光宝盒（花西子Florasis2）</v>
      </c>
      <c r="K13" s="16">
        <v>119990</v>
      </c>
      <c r="L13" s="11"/>
      <c r="M13" s="11"/>
      <c r="N13" s="11"/>
      <c r="O13" s="11"/>
      <c r="P13" s="16"/>
      <c r="Q13" s="16"/>
      <c r="R13" s="16" t="str">
        <v>否</v>
      </c>
      <c r="S13" s="3">
        <f>VLOOKUP(B13,'Sheet9'!$B$2:$G$191,3,FALSE)</f>
      </c>
      <c r="T13" s="3">
        <f>VLOOKUP(B13,'Sheet9'!$B$2:$G$191,4,FALSE)</f>
      </c>
      <c r="U13" s="3">
        <f>VLOOKUP(B13,'Sheet9'!$B$2:$G$191,5,FALSE)</f>
      </c>
      <c r="V13" s="3" t="str">
        <v>内容投放组</v>
      </c>
      <c r="W13" s="3">
        <f>VLOOKUP(K13,'Sheet11'!$X$2:$AH$279,11,FALSE)</f>
      </c>
      <c r="X13" s="11"/>
      <c r="Y13" s="11" t="str">
        <v>贝果</v>
      </c>
      <c r="Z13" s="3" t="str">
        <v>甘草、清和</v>
      </c>
      <c r="AA13" s="11" t="str">
        <v>账号密码</v>
      </c>
    </row>
    <row r="14">
      <c r="A14" s="11" t="str">
        <v>站外</v>
      </c>
      <c r="B14" s="18" t="str">
        <v>B站起飞加热</v>
      </c>
      <c r="C14" s="3" t="str">
        <v>杭州宜格化妆品有限公司</v>
      </c>
      <c r="D14" s="17" t="str">
        <v>暂停投放</v>
      </c>
      <c r="E14" s="17" t="str">
        <v>B站</v>
      </c>
      <c r="F14" s="11" t="str">
        <v>自投</v>
      </c>
      <c r="G14" s="17" t="str">
        <v>杭州羽联信息科技有限公司</v>
      </c>
      <c r="H14" s="12"/>
      <c r="I14" s="12" t="s">
        <v>3</v>
      </c>
      <c r="J14" s="11" t="str">
        <v>hongjin@yige-group.com</v>
      </c>
      <c r="K14" s="17" t="s">
        <v>12</v>
      </c>
      <c r="L14" s="11"/>
      <c r="M14" s="11"/>
      <c r="N14" s="11" t="str">
        <v>否</v>
      </c>
      <c r="O14" s="11" t="str">
        <v>否</v>
      </c>
      <c r="P14" s="17" t="str">
        <v>是</v>
      </c>
      <c r="Q14" s="17" t="str">
        <v>是</v>
      </c>
      <c r="R14" s="17" t="str">
        <v>否</v>
      </c>
      <c r="S14" s="3">
        <f>VLOOKUP(B14,'Sheet9'!$B$2:$G$191,3,FALSE)</f>
      </c>
      <c r="T14" s="3">
        <f>VLOOKUP(B14,'Sheet9'!$B$2:$G$191,4,FALSE)</f>
      </c>
      <c r="U14" s="3">
        <f>VLOOKUP(B14,'Sheet9'!$B$2:$G$191,5,FALSE)</f>
      </c>
      <c r="V14" s="3" t="str">
        <v>内容投放组</v>
      </c>
      <c r="W14" s="3">
        <f>VLOOKUP(K14,'Sheet11'!$X$2:$AH$279,11,FALSE)</f>
      </c>
      <c r="X14" s="17"/>
      <c r="Y14" s="17" t="str">
        <v>贝果</v>
      </c>
      <c r="Z14" s="12" t="str">
        <v>甘草、清和</v>
      </c>
      <c r="AA14" s="17" t="str">
        <v>账号密码</v>
      </c>
    </row>
    <row r="15">
      <c r="A15" s="11" t="str">
        <v>站外</v>
      </c>
      <c r="B15" s="18" t="str">
        <v>B站起飞加热</v>
      </c>
      <c r="C15" s="3" t="str">
        <v>杭州宜格化妆品有限公司</v>
      </c>
      <c r="D15" s="17" t="str">
        <v>暂停投放</v>
      </c>
      <c r="E15" s="17" t="str">
        <v>B站</v>
      </c>
      <c r="F15" s="11" t="str">
        <v>自投</v>
      </c>
      <c r="G15" s="17" t="str">
        <v>上海无堂网络科技有限公司</v>
      </c>
      <c r="H15" s="12"/>
      <c r="I15" s="12" t="s">
        <v>3</v>
      </c>
      <c r="J15" s="11" t="str">
        <v>wanwan@yige-group.com</v>
      </c>
      <c r="K15" s="17" t="s">
        <v>4</v>
      </c>
      <c r="L15" s="11"/>
      <c r="M15" s="11"/>
      <c r="N15" s="11" t="str">
        <v>否</v>
      </c>
      <c r="O15" s="11" t="str">
        <v>否</v>
      </c>
      <c r="P15" s="17" t="str">
        <v>是</v>
      </c>
      <c r="Q15" s="17" t="str">
        <v>是</v>
      </c>
      <c r="R15" s="17" t="str">
        <v>否</v>
      </c>
      <c r="S15" s="3">
        <f>VLOOKUP(B15,'Sheet9'!$B$2:$G$191,3,FALSE)</f>
      </c>
      <c r="T15" s="3">
        <f>VLOOKUP(B15,'Sheet9'!$B$2:$G$191,4,FALSE)</f>
      </c>
      <c r="U15" s="3">
        <f>VLOOKUP(B15,'Sheet9'!$B$2:$G$191,5,FALSE)</f>
      </c>
      <c r="V15" s="3" t="str">
        <v>内容投放组</v>
      </c>
      <c r="W15" s="3">
        <f>VLOOKUP(K15,'Sheet11'!$X$2:$AH$279,11,FALSE)</f>
      </c>
      <c r="X15" s="17"/>
      <c r="Y15" s="17" t="str">
        <v>贝果</v>
      </c>
      <c r="Z15" s="12" t="str">
        <v>甘草、清和</v>
      </c>
      <c r="AA15" s="17" t="str">
        <v>账号密码</v>
      </c>
    </row>
    <row r="16">
      <c r="A16" s="11" t="str">
        <v>站外</v>
      </c>
      <c r="B16" s="18" t="str">
        <v>B站起飞加热</v>
      </c>
      <c r="C16" s="3" t="str">
        <v>杭州宜格化妆品有限公司</v>
      </c>
      <c r="D16" s="17" t="str">
        <v>暂停投放</v>
      </c>
      <c r="E16" s="17" t="str">
        <v>B站</v>
      </c>
      <c r="F16" s="11" t="str">
        <v>自投</v>
      </c>
      <c r="G16" s="17" t="str">
        <v>上海无堂网络科技有限公司</v>
      </c>
      <c r="H16" s="12"/>
      <c r="I16" s="12" t="s">
        <v>3</v>
      </c>
      <c r="J16" s="11" t="str">
        <v>tangli@yige.us</v>
      </c>
      <c r="K16" s="17" t="s">
        <v>7</v>
      </c>
      <c r="L16" s="11"/>
      <c r="M16" s="11"/>
      <c r="N16" s="11" t="str">
        <v>否</v>
      </c>
      <c r="O16" s="11" t="str">
        <v>否</v>
      </c>
      <c r="P16" s="17" t="str">
        <v>是</v>
      </c>
      <c r="Q16" s="17" t="str">
        <v>是</v>
      </c>
      <c r="R16" s="17" t="str">
        <v>否</v>
      </c>
      <c r="S16" s="3">
        <f>VLOOKUP(B16,'Sheet9'!$B$2:$G$191,3,FALSE)</f>
      </c>
      <c r="T16" s="3">
        <f>VLOOKUP(B16,'Sheet9'!$B$2:$G$191,4,FALSE)</f>
      </c>
      <c r="U16" s="3">
        <f>VLOOKUP(B16,'Sheet9'!$B$2:$G$191,5,FALSE)</f>
      </c>
      <c r="V16" s="3" t="str">
        <v>内容投放组</v>
      </c>
      <c r="W16" s="3">
        <f>VLOOKUP(K16,'Sheet11'!$X$2:$AH$279,11,FALSE)</f>
      </c>
      <c r="X16" s="17"/>
      <c r="Y16" s="17" t="str">
        <v>贝果</v>
      </c>
      <c r="Z16" s="12" t="str">
        <v>甘草、清和</v>
      </c>
      <c r="AA16" s="17" t="str">
        <v>账号密码</v>
      </c>
    </row>
    <row r="17">
      <c r="A17" s="11" t="str">
        <v>站外</v>
      </c>
      <c r="B17" s="18" t="str">
        <v>B站起飞加热</v>
      </c>
      <c r="C17" s="3" t="str">
        <v>杭州宜格化妆品有限公司</v>
      </c>
      <c r="D17" s="17" t="str">
        <v>暂停投放</v>
      </c>
      <c r="E17" s="17" t="str">
        <v>B站</v>
      </c>
      <c r="F17" s="11" t="str">
        <v>自投</v>
      </c>
      <c r="G17" s="17" t="str">
        <v>上海无堂网络科技有限公司</v>
      </c>
      <c r="H17" s="12"/>
      <c r="I17" s="12" t="s">
        <v>3</v>
      </c>
      <c r="J17" s="11" t="str">
        <v>qinghe@zhimei.us</v>
      </c>
      <c r="K17" s="17" t="s">
        <v>22</v>
      </c>
      <c r="L17" s="11"/>
      <c r="M17" s="11"/>
      <c r="N17" s="11" t="str">
        <v>否</v>
      </c>
      <c r="O17" s="11" t="str">
        <v>否</v>
      </c>
      <c r="P17" s="17" t="str">
        <v>是</v>
      </c>
      <c r="Q17" s="17" t="str">
        <v>是</v>
      </c>
      <c r="R17" s="17" t="str">
        <v>否</v>
      </c>
      <c r="S17" s="3">
        <f>VLOOKUP(B17,'Sheet9'!$B$2:$G$191,3,FALSE)</f>
      </c>
      <c r="T17" s="3">
        <f>VLOOKUP(B17,'Sheet9'!$B$2:$G$191,4,FALSE)</f>
      </c>
      <c r="U17" s="3">
        <f>VLOOKUP(B17,'Sheet9'!$B$2:$G$191,5,FALSE)</f>
      </c>
      <c r="V17" s="3" t="str">
        <v>内容投放组</v>
      </c>
      <c r="W17" s="3">
        <f>VLOOKUP(K17,'Sheet11'!$X$2:$AH$279,11,FALSE)</f>
      </c>
      <c r="X17" s="17"/>
      <c r="Y17" s="17" t="str">
        <v>贝果</v>
      </c>
      <c r="Z17" s="12" t="str">
        <v>甘草、清和</v>
      </c>
      <c r="AA17" s="17" t="str">
        <v>账号密码</v>
      </c>
    </row>
    <row r="18">
      <c r="A18" s="11" t="str">
        <v>站外</v>
      </c>
      <c r="B18" s="18" t="str">
        <v>B站起飞加热</v>
      </c>
      <c r="C18" s="3" t="str">
        <v>杭州宜格化妆品有限公司</v>
      </c>
      <c r="D18" s="17" t="str">
        <v>暂停投放</v>
      </c>
      <c r="E18" s="17" t="str">
        <v>B站</v>
      </c>
      <c r="F18" s="11" t="str">
        <v>自投</v>
      </c>
      <c r="G18" s="17" t="str">
        <v>上海无堂网络科技有限公司</v>
      </c>
      <c r="H18" s="12"/>
      <c r="I18" s="12" t="s">
        <v>3</v>
      </c>
      <c r="J18" s="11" t="str">
        <v>kongqing@yige-group.com</v>
      </c>
      <c r="K18" s="17" t="s">
        <v>9</v>
      </c>
      <c r="L18" s="11"/>
      <c r="M18" s="11"/>
      <c r="N18" s="11" t="str">
        <v>否</v>
      </c>
      <c r="O18" s="11" t="str">
        <v>否</v>
      </c>
      <c r="P18" s="17" t="str">
        <v>是</v>
      </c>
      <c r="Q18" s="17" t="str">
        <v>是</v>
      </c>
      <c r="R18" s="17" t="str">
        <v>否</v>
      </c>
      <c r="S18" s="3">
        <f>VLOOKUP(B18,'Sheet9'!$B$2:$G$191,3,FALSE)</f>
      </c>
      <c r="T18" s="3">
        <f>VLOOKUP(B18,'Sheet9'!$B$2:$G$191,4,FALSE)</f>
      </c>
      <c r="U18" s="3">
        <f>VLOOKUP(B18,'Sheet9'!$B$2:$G$191,5,FALSE)</f>
      </c>
      <c r="V18" s="3" t="str">
        <v>内容投放组</v>
      </c>
      <c r="W18" s="3">
        <f>VLOOKUP(K18,'Sheet11'!$X$2:$AH$279,11,FALSE)</f>
      </c>
      <c r="X18" s="17"/>
      <c r="Y18" s="17" t="str">
        <v>贝果</v>
      </c>
      <c r="Z18" s="12" t="str">
        <v>甘草、清和</v>
      </c>
      <c r="AA18" s="17" t="str">
        <v>账号密码</v>
      </c>
    </row>
    <row r="19">
      <c r="A19" s="11" t="str">
        <v>站外</v>
      </c>
      <c r="B19" s="18" t="str">
        <v>B站起飞加热</v>
      </c>
      <c r="C19" s="3" t="str">
        <v>杭州宜格化妆品有限公司</v>
      </c>
      <c r="D19" s="17" t="str">
        <v>暂停投放</v>
      </c>
      <c r="E19" s="17" t="str">
        <v>B站</v>
      </c>
      <c r="F19" s="11" t="str">
        <v>自投</v>
      </c>
      <c r="G19" s="17" t="str">
        <v>北京新线中视文化传播有限公司</v>
      </c>
      <c r="H19" s="12"/>
      <c r="I19" s="12" t="s">
        <v>3</v>
      </c>
      <c r="J19" s="11" t="str">
        <v>gancao@yige-group.com</v>
      </c>
      <c r="K19" s="17" t="s">
        <v>2</v>
      </c>
      <c r="L19" s="11"/>
      <c r="M19" s="11"/>
      <c r="N19" s="11" t="str">
        <v>否</v>
      </c>
      <c r="O19" s="11" t="str">
        <v>否</v>
      </c>
      <c r="P19" s="17" t="str">
        <v>是</v>
      </c>
      <c r="Q19" s="17" t="str">
        <v>是</v>
      </c>
      <c r="R19" s="17" t="str">
        <v>否</v>
      </c>
      <c r="S19" s="3">
        <f>VLOOKUP(B19,'Sheet9'!$B$2:$G$191,3,FALSE)</f>
      </c>
      <c r="T19" s="3">
        <f>VLOOKUP(B19,'Sheet9'!$B$2:$G$191,4,FALSE)</f>
      </c>
      <c r="U19" s="3">
        <f>VLOOKUP(B19,'Sheet9'!$B$2:$G$191,5,FALSE)</f>
      </c>
      <c r="V19" s="3" t="str">
        <v>内容投放组</v>
      </c>
      <c r="W19" s="3">
        <f>VLOOKUP(K19,'Sheet11'!$X$2:$AH$279,11,FALSE)</f>
      </c>
      <c r="X19" s="17"/>
      <c r="Y19" s="17" t="str">
        <v>贝果</v>
      </c>
      <c r="Z19" s="12" t="str">
        <v>甘草、清和</v>
      </c>
      <c r="AA19" s="17" t="str">
        <v>账号密码</v>
      </c>
    </row>
    <row r="20">
      <c r="A20" s="60" t="str">
        <v>站外</v>
      </c>
      <c r="B20" s="58" t="str">
        <v>微博推广</v>
      </c>
      <c r="C20" s="57" t="str">
        <v>杭州宜格化妆品有限公司</v>
      </c>
      <c r="D20" s="57" t="str">
        <v>正常使用</v>
      </c>
      <c r="E20" s="57" t="str">
        <v>微博</v>
      </c>
      <c r="F20" s="57" t="str">
        <v>自投</v>
      </c>
      <c r="G20" s="57" t="str">
        <v>上海宇枫电子商务有限公司</v>
      </c>
      <c r="H20" s="12"/>
      <c r="I20" s="59" t="s">
        <v>28</v>
      </c>
      <c r="J20" s="57" t="str">
        <v>花西子Florasis</v>
      </c>
      <c r="K20" s="57">
        <v>6336556296</v>
      </c>
      <c r="L20" s="57"/>
      <c r="M20" s="57"/>
      <c r="N20" s="57" t="str">
        <v>否</v>
      </c>
      <c r="O20" s="57" t="str">
        <v>否</v>
      </c>
      <c r="P20" s="57" t="str">
        <v>是</v>
      </c>
      <c r="Q20" s="57" t="str">
        <v>否</v>
      </c>
      <c r="R20" s="57" t="str">
        <v>否</v>
      </c>
      <c r="S20" s="56" t="str">
        <v>品牌运营中心</v>
      </c>
      <c r="T20" s="56" t="str">
        <v>运营策略部</v>
      </c>
      <c r="U20" s="56" t="str">
        <v>天猫运营部</v>
      </c>
      <c r="V20" s="56" t="str">
        <v>推广中心组</v>
      </c>
      <c r="W20" s="3">
        <f>VLOOKUP(K20,'Sheet11'!$X$2:$AH$279,11,FALSE)</f>
      </c>
      <c r="X20" s="57"/>
      <c r="Y20" s="57"/>
      <c r="Z20" s="59"/>
      <c r="AA20" s="57"/>
    </row>
    <row customHeight="true" ht="33" r="21">
      <c r="A21" s="60" t="str">
        <v>站外</v>
      </c>
      <c r="B21" s="58" t="str">
        <v>微博推广</v>
      </c>
      <c r="C21" s="57" t="str">
        <v>杭州宜格化妆品有限公司</v>
      </c>
      <c r="D21" s="57" t="str">
        <v>正常使用</v>
      </c>
      <c r="E21" s="57" t="str">
        <v>微博</v>
      </c>
      <c r="F21" s="57" t="str">
        <v>自投</v>
      </c>
      <c r="G21" s="57" t="str">
        <v>上海宇枫电子商务有限公司</v>
      </c>
      <c r="H21" s="12"/>
      <c r="I21" s="59"/>
      <c r="J21" s="57" t="str">
        <v>花西子美妆日记</v>
      </c>
      <c r="K21" s="57">
        <v>6965612965</v>
      </c>
      <c r="L21" s="57"/>
      <c r="M21" s="57"/>
      <c r="N21" s="57" t="str">
        <v>否</v>
      </c>
      <c r="O21" s="57" t="str">
        <v>否</v>
      </c>
      <c r="P21" s="57" t="str">
        <v>是</v>
      </c>
      <c r="Q21" s="57" t="str">
        <v>否</v>
      </c>
      <c r="R21" s="57" t="str">
        <v>否</v>
      </c>
      <c r="S21" s="56" t="str">
        <v>品牌运营中心</v>
      </c>
      <c r="T21" s="56" t="str">
        <v>运营策略部</v>
      </c>
      <c r="U21" s="56" t="str">
        <v>天猫运营部</v>
      </c>
      <c r="V21" s="56" t="str">
        <v>推广中心组</v>
      </c>
      <c r="W21" s="3">
        <f>VLOOKUP(K21,'Sheet11'!$X$2:$AH$279,11,FALSE)</f>
      </c>
      <c r="X21" s="57"/>
      <c r="Y21" s="57"/>
      <c r="Z21" s="59"/>
      <c r="AA21" s="57"/>
    </row>
    <row r="22">
      <c r="A22" s="11" t="str">
        <v>站外</v>
      </c>
      <c r="B22" s="11" t="str">
        <v>AD信息流</v>
      </c>
      <c r="C22" s="11" t="str">
        <v>杭州宜格化妆品有限公司</v>
      </c>
      <c r="D22" s="11" t="str">
        <v>正常使用</v>
      </c>
      <c r="E22" s="11"/>
      <c r="F22" s="11" t="str">
        <v>自投</v>
      </c>
      <c r="G22" s="11" t="str">
        <v>广东省广告集团股份有限公司</v>
      </c>
      <c r="H22" s="12"/>
      <c r="I22" s="3" t="s">
        <v>5</v>
      </c>
      <c r="J22" s="11" t="s">
        <v>18</v>
      </c>
      <c r="K22" s="11" t="s">
        <v>18</v>
      </c>
      <c r="L22" s="11"/>
      <c r="M22" s="11"/>
      <c r="N22" s="11" t="str">
        <v>否</v>
      </c>
      <c r="O22" s="11" t="str">
        <v>否</v>
      </c>
      <c r="P22" s="11" t="str">
        <v>是</v>
      </c>
      <c r="Q22" s="11" t="str">
        <v>是</v>
      </c>
      <c r="R22" s="11" t="str">
        <v>是</v>
      </c>
      <c r="S22" s="14">
        <f>VLOOKUP(B22,'Sheet9'!$B$2:$G$191,3,FALSE)</f>
      </c>
      <c r="T22" s="14">
        <f>VLOOKUP(B22,'Sheet9'!$B$2:$G$191,4,FALSE)</f>
      </c>
      <c r="U22" s="14">
        <f>VLOOKUP(B22,'Sheet9'!$B$2:$G$191,5,FALSE)</f>
      </c>
      <c r="V22" s="14" t="str">
        <v>推广中心组</v>
      </c>
      <c r="W22" s="3">
        <f>VLOOKUP(K22,'Sheet11'!$X$2:$AH$279,11,FALSE)</f>
      </c>
      <c r="X22" s="11"/>
      <c r="Y22" s="11" t="str">
        <v>贝果</v>
      </c>
      <c r="Z22" s="3" t="str">
        <v>白纸、阿布、志文、循安</v>
      </c>
      <c r="AA22" s="11" t="str">
        <v>账号密码</v>
      </c>
    </row>
    <row r="23">
      <c r="A23" s="11" t="str">
        <v>站外</v>
      </c>
      <c r="B23" s="11" t="str">
        <v>AD信息流</v>
      </c>
      <c r="C23" s="11" t="str">
        <v>杭州宜格化妆品有限公司</v>
      </c>
      <c r="D23" s="11" t="str">
        <v>正常使用</v>
      </c>
      <c r="E23" s="11" t="str">
        <v>天猫抖音AD引流</v>
      </c>
      <c r="F23" s="11" t="str">
        <v>自投</v>
      </c>
      <c r="G23" s="11" t="str">
        <v>广东省广告集团股份有限公司</v>
      </c>
      <c r="H23" s="12"/>
      <c r="I23" s="3" t="s">
        <v>5</v>
      </c>
      <c r="J23" s="11" t="s">
        <v>13</v>
      </c>
      <c r="K23" s="11" t="s">
        <v>13</v>
      </c>
      <c r="L23" s="11"/>
      <c r="M23" s="11"/>
      <c r="N23" s="11" t="str">
        <v>否</v>
      </c>
      <c r="O23" s="11" t="str">
        <v>否</v>
      </c>
      <c r="P23" s="11" t="str">
        <v>是</v>
      </c>
      <c r="Q23" s="11" t="str">
        <v>是</v>
      </c>
      <c r="R23" s="11" t="str">
        <v>是</v>
      </c>
      <c r="S23" s="14">
        <f>VLOOKUP(B23,'Sheet9'!$B$2:$G$191,3,FALSE)</f>
      </c>
      <c r="T23" s="14">
        <f>VLOOKUP(B23,'Sheet9'!$B$2:$G$191,4,FALSE)</f>
      </c>
      <c r="U23" s="14">
        <f>VLOOKUP(B23,'Sheet9'!$B$2:$G$191,5,FALSE)</f>
      </c>
      <c r="V23" s="14" t="str">
        <v>推广中心组</v>
      </c>
      <c r="W23" s="3" t="str">
        <v>白纸（张浩霖）</v>
      </c>
      <c r="X23" s="11"/>
      <c r="Y23" s="11" t="str">
        <v>贝果</v>
      </c>
      <c r="Z23" s="3" t="str">
        <v>白纸、阿布、志文、循安</v>
      </c>
      <c r="AA23" s="11" t="str">
        <v>账号密码</v>
      </c>
    </row>
    <row r="24">
      <c r="A24" s="11" t="str">
        <v>站外</v>
      </c>
      <c r="B24" s="11" t="str">
        <v>AD信息流</v>
      </c>
      <c r="C24" s="11" t="str">
        <v>杭州宜格化妆品有限公司</v>
      </c>
      <c r="D24" s="11" t="str">
        <v>正常使用</v>
      </c>
      <c r="E24" s="11" t="str">
        <v>天猫抖音AD引流</v>
      </c>
      <c r="F24" s="11" t="str">
        <v>自投</v>
      </c>
      <c r="G24" s="11" t="str">
        <v>广东省广告集团股份有限公司</v>
      </c>
      <c r="H24" s="12"/>
      <c r="I24" s="3" t="s">
        <v>5</v>
      </c>
      <c r="J24" s="11" t="s">
        <v>10</v>
      </c>
      <c r="K24" s="11" t="s">
        <v>10</v>
      </c>
      <c r="L24" s="11"/>
      <c r="M24" s="11"/>
      <c r="N24" s="11" t="str">
        <v>否</v>
      </c>
      <c r="O24" s="11" t="str">
        <v>否</v>
      </c>
      <c r="P24" s="11" t="str">
        <v>是</v>
      </c>
      <c r="Q24" s="11" t="str">
        <v>是</v>
      </c>
      <c r="R24" s="11" t="str">
        <v>是</v>
      </c>
      <c r="S24" s="14">
        <f>VLOOKUP(B24,'Sheet9'!$B$2:$G$191,3,FALSE)</f>
      </c>
      <c r="T24" s="14">
        <f>VLOOKUP(B24,'Sheet9'!$B$2:$G$191,4,FALSE)</f>
      </c>
      <c r="U24" s="14">
        <f>VLOOKUP(B24,'Sheet9'!$B$2:$G$191,5,FALSE)</f>
      </c>
      <c r="V24" s="14" t="str">
        <v>推广中心组</v>
      </c>
      <c r="W24" s="3">
        <f>VLOOKUP(K24,'Sheet11'!$X$2:$AH$279,11,FALSE)</f>
      </c>
      <c r="X24" s="11"/>
      <c r="Y24" s="11" t="str">
        <v>贝果</v>
      </c>
      <c r="Z24" s="3" t="str">
        <v>白纸、阿布、志文、循安</v>
      </c>
      <c r="AA24" s="11" t="str">
        <v>账号密码</v>
      </c>
    </row>
    <row r="25">
      <c r="A25" s="11" t="str">
        <v>站外</v>
      </c>
      <c r="B25" s="11" t="str">
        <v>AD信息流</v>
      </c>
      <c r="C25" s="11" t="str">
        <v>杭州宜格化妆品有限公司</v>
      </c>
      <c r="D25" s="11" t="str">
        <v>正常使用</v>
      </c>
      <c r="E25" s="11" t="str">
        <v>天猫抖音AD引流</v>
      </c>
      <c r="F25" s="11" t="str">
        <v>自投</v>
      </c>
      <c r="G25" s="11" t="str">
        <v>广东省广告集团股份有限公司</v>
      </c>
      <c r="H25" s="12"/>
      <c r="I25" s="3" t="s">
        <v>5</v>
      </c>
      <c r="J25" s="11" t="s">
        <v>11</v>
      </c>
      <c r="K25" s="11" t="s">
        <v>11</v>
      </c>
      <c r="L25" s="11"/>
      <c r="M25" s="11"/>
      <c r="N25" s="11" t="str">
        <v>否</v>
      </c>
      <c r="O25" s="11" t="str">
        <v>否</v>
      </c>
      <c r="P25" s="11" t="str">
        <v>是</v>
      </c>
      <c r="Q25" s="11" t="str">
        <v>是</v>
      </c>
      <c r="R25" s="11" t="str">
        <v>是</v>
      </c>
      <c r="S25" s="14">
        <f>VLOOKUP(B25,'Sheet9'!$B$2:$G$191,3,FALSE)</f>
      </c>
      <c r="T25" s="14">
        <f>VLOOKUP(B25,'Sheet9'!$B$2:$G$191,4,FALSE)</f>
      </c>
      <c r="U25" s="14">
        <f>VLOOKUP(B25,'Sheet9'!$B$2:$G$191,5,FALSE)</f>
      </c>
      <c r="V25" s="14" t="str">
        <v>推广中心组</v>
      </c>
      <c r="W25" s="3">
        <f>VLOOKUP(K25,'Sheet11'!$X$2:$AH$279,11,FALSE)</f>
      </c>
      <c r="X25" s="11"/>
      <c r="Y25" s="11" t="str">
        <v>贝果</v>
      </c>
      <c r="Z25" s="3" t="str">
        <v>白纸、阿布、志文、循安</v>
      </c>
      <c r="AA25" s="11" t="str">
        <v>账号密码</v>
      </c>
    </row>
    <row r="26">
      <c r="A26" s="11" t="str">
        <v>站外</v>
      </c>
      <c r="B26" s="11" t="str">
        <v>AD信息流</v>
      </c>
      <c r="C26" s="11" t="str">
        <v>杭州宜格化妆品有限公司</v>
      </c>
      <c r="D26" s="11" t="str">
        <v>正常使用</v>
      </c>
      <c r="E26" s="11" t="str">
        <v>天猫抖音AD引流</v>
      </c>
      <c r="F26" s="11" t="str">
        <v>自投</v>
      </c>
      <c r="G26" s="11" t="str">
        <v>广东省广告集团股份有限公司</v>
      </c>
      <c r="H26" s="12"/>
      <c r="I26" s="3" t="s">
        <v>5</v>
      </c>
      <c r="J26" s="11" t="s">
        <v>25</v>
      </c>
      <c r="K26" s="11" t="s">
        <v>25</v>
      </c>
      <c r="L26" s="11"/>
      <c r="M26" s="11"/>
      <c r="N26" s="11" t="str">
        <v>否</v>
      </c>
      <c r="O26" s="11" t="str">
        <v>否</v>
      </c>
      <c r="P26" s="11" t="str">
        <v>是</v>
      </c>
      <c r="Q26" s="11" t="str">
        <v>是</v>
      </c>
      <c r="R26" s="11" t="str">
        <v>是</v>
      </c>
      <c r="S26" s="14">
        <f>VLOOKUP(B26,'Sheet9'!$B$2:$G$191,3,FALSE)</f>
      </c>
      <c r="T26" s="14">
        <f>VLOOKUP(B26,'Sheet9'!$B$2:$G$191,4,FALSE)</f>
      </c>
      <c r="U26" s="14">
        <f>VLOOKUP(B26,'Sheet9'!$B$2:$G$191,5,FALSE)</f>
      </c>
      <c r="V26" s="14" t="str">
        <v>推广中心组</v>
      </c>
      <c r="W26" s="3">
        <f>VLOOKUP(K26,'Sheet11'!$X$2:$AH$279,11,FALSE)</f>
      </c>
      <c r="X26" s="11"/>
      <c r="Y26" s="11" t="str">
        <v>贝果</v>
      </c>
      <c r="Z26" s="3" t="str">
        <v>白纸、阿布、志文、循安</v>
      </c>
      <c r="AA26" s="11" t="str">
        <v>账号密码</v>
      </c>
    </row>
    <row r="27">
      <c r="A27" s="11" t="str">
        <v>站外</v>
      </c>
      <c r="B27" s="11" t="str">
        <v>AD信息流</v>
      </c>
      <c r="C27" s="11" t="str">
        <v>杭州宜格化妆品有限公司</v>
      </c>
      <c r="D27" s="11" t="str">
        <v>正常使用</v>
      </c>
      <c r="E27" s="11" t="str">
        <v>天猫抖音AD引流</v>
      </c>
      <c r="F27" s="11" t="str">
        <v>自投</v>
      </c>
      <c r="G27" s="11" t="str">
        <v>群邑（上海）广告有限公司</v>
      </c>
      <c r="H27" s="12"/>
      <c r="I27" s="3" t="s">
        <v>5</v>
      </c>
      <c r="J27" s="11" t="s">
        <v>35</v>
      </c>
      <c r="K27" s="11" t="s">
        <v>35</v>
      </c>
      <c r="L27" s="11"/>
      <c r="M27" s="11"/>
      <c r="N27" s="11" t="str">
        <v>否</v>
      </c>
      <c r="O27" s="11" t="str">
        <v>否</v>
      </c>
      <c r="P27" s="11" t="str">
        <v>是</v>
      </c>
      <c r="Q27" s="11" t="str">
        <v>是</v>
      </c>
      <c r="R27" s="11" t="str">
        <v>是</v>
      </c>
      <c r="S27" s="14">
        <f>VLOOKUP(B27,'Sheet9'!$B$2:$G$191,3,FALSE)</f>
      </c>
      <c r="T27" s="14">
        <f>VLOOKUP(B27,'Sheet9'!$B$2:$G$191,4,FALSE)</f>
      </c>
      <c r="U27" s="14">
        <f>VLOOKUP(B27,'Sheet9'!$B$2:$G$191,5,FALSE)</f>
      </c>
      <c r="V27" s="14" t="str">
        <v>推广中心组</v>
      </c>
      <c r="W27" s="3">
        <f>VLOOKUP(K27,'Sheet11'!$X$2:$AH$279,11,FALSE)</f>
      </c>
      <c r="X27" s="11"/>
      <c r="Y27" s="11" t="str">
        <v>贝果</v>
      </c>
      <c r="Z27" s="3" t="str">
        <v>白纸、阿布、志文、循安</v>
      </c>
      <c r="AA27" s="11" t="str">
        <v>账号密码</v>
      </c>
    </row>
    <row r="28">
      <c r="A28" s="11" t="str">
        <v>站外</v>
      </c>
      <c r="B28" s="11" t="str">
        <v>AD信息流</v>
      </c>
      <c r="C28" s="11" t="str">
        <v>杭州宜格化妆品有限公司</v>
      </c>
      <c r="D28" s="11" t="str">
        <v>正常使用</v>
      </c>
      <c r="E28" s="11" t="str">
        <v>天猫抖音AD引流</v>
      </c>
      <c r="F28" s="11" t="str">
        <v>自投</v>
      </c>
      <c r="G28" s="11" t="str">
        <v>群邑（上海）广告有限公司</v>
      </c>
      <c r="H28" s="12"/>
      <c r="I28" s="3" t="s">
        <v>5</v>
      </c>
      <c r="J28" s="11" t="s">
        <v>6</v>
      </c>
      <c r="K28" s="11" t="s">
        <v>6</v>
      </c>
      <c r="L28" s="11"/>
      <c r="M28" s="11"/>
      <c r="N28" s="11" t="str">
        <v>否</v>
      </c>
      <c r="O28" s="11" t="str">
        <v>否</v>
      </c>
      <c r="P28" s="11" t="str">
        <v>是</v>
      </c>
      <c r="Q28" s="11" t="str">
        <v>是</v>
      </c>
      <c r="R28" s="11" t="str">
        <v>是</v>
      </c>
      <c r="S28" s="14">
        <f>VLOOKUP(B28,'Sheet9'!$B$2:$G$191,3,FALSE)</f>
      </c>
      <c r="T28" s="14">
        <f>VLOOKUP(B28,'Sheet9'!$B$2:$G$191,4,FALSE)</f>
      </c>
      <c r="U28" s="14">
        <f>VLOOKUP(B28,'Sheet9'!$B$2:$G$191,5,FALSE)</f>
      </c>
      <c r="V28" s="14" t="str">
        <v>推广中心组</v>
      </c>
      <c r="W28" s="3">
        <f>VLOOKUP(K28,'Sheet11'!$X$2:$AH$279,11,FALSE)</f>
      </c>
      <c r="X28" s="11"/>
      <c r="Y28" s="11" t="str">
        <v>贝果</v>
      </c>
      <c r="Z28" s="3" t="str">
        <v>白纸、阿布、志文、循安</v>
      </c>
      <c r="AA28" s="11" t="str">
        <v>账号密码</v>
      </c>
    </row>
    <row r="29">
      <c r="A29" s="11" t="str">
        <v>站外</v>
      </c>
      <c r="B29" s="11" t="str">
        <v>UD信息流</v>
      </c>
      <c r="C29" s="11" t="str">
        <v>杭州宜格化妆品有限公司</v>
      </c>
      <c r="D29" s="11" t="str">
        <v>正常使用</v>
      </c>
      <c r="E29" s="11" t="str">
        <v>UD信息流引流</v>
      </c>
      <c r="F29" s="11" t="str">
        <v>自投</v>
      </c>
      <c r="G29" s="11" t="str">
        <v>北京九合互动文化传播有限公司</v>
      </c>
      <c r="H29" s="12"/>
      <c r="I29" s="3" t="s">
        <v>14</v>
      </c>
      <c r="J29" s="11" t="str">
        <v>tb963892057577</v>
      </c>
      <c r="K29" s="11" t="str">
        <v>tb963892057577</v>
      </c>
      <c r="L29" s="11"/>
      <c r="M29" s="11"/>
      <c r="N29" s="11" t="str">
        <v>否</v>
      </c>
      <c r="O29" s="11" t="str">
        <v>否</v>
      </c>
      <c r="P29" s="11" t="str">
        <v>是</v>
      </c>
      <c r="Q29" s="11" t="str">
        <v>是</v>
      </c>
      <c r="R29" s="11" t="str">
        <v>是</v>
      </c>
      <c r="S29" s="14">
        <f>VLOOKUP(B29,'Sheet9'!$B$2:$G$191,3,FALSE)</f>
      </c>
      <c r="T29" s="14">
        <f>VLOOKUP(B29,'Sheet9'!$B$2:$G$191,4,FALSE)</f>
      </c>
      <c r="U29" s="14">
        <f>VLOOKUP(B29,'Sheet9'!$B$2:$G$191,5,FALSE)</f>
      </c>
      <c r="V29" s="14" t="str">
        <v>推广中心组</v>
      </c>
      <c r="W29" s="3">
        <f>VLOOKUP(K29,'Sheet11'!$X$2:$AH$279,11,FALSE)</f>
      </c>
      <c r="X29" s="11"/>
      <c r="Y29" s="11" t="str">
        <v>贝果</v>
      </c>
      <c r="Z29" s="3" t="str">
        <v>白纸、阿布、志文</v>
      </c>
      <c r="AA29" s="11" t="str">
        <v>账号密码</v>
      </c>
    </row>
    <row r="30">
      <c r="A30" s="17" t="str">
        <v>站外</v>
      </c>
      <c r="B30" s="17"/>
      <c r="C30" s="11" t="str">
        <v>杭州宜格化妆品有限公司</v>
      </c>
      <c r="D30" s="17" t="str">
        <v>暂停投放</v>
      </c>
      <c r="E30" s="17" t="str">
        <v>微博信息流引流</v>
      </c>
      <c r="F30" s="11" t="str">
        <v>自投</v>
      </c>
      <c r="G30" s="11" t="str">
        <v>上海宇枫电子商务有限公司</v>
      </c>
      <c r="H30" s="12"/>
      <c r="I30" s="12" t="s">
        <v>21</v>
      </c>
      <c r="J30" s="17" t="s">
        <v>20</v>
      </c>
      <c r="K30" s="17" t="s">
        <v>20</v>
      </c>
      <c r="L30" s="11"/>
      <c r="M30" s="11"/>
      <c r="N30" s="11" t="str">
        <v>否</v>
      </c>
      <c r="O30" s="11" t="str">
        <v>否</v>
      </c>
      <c r="P30" s="17" t="str">
        <v>是</v>
      </c>
      <c r="Q30" s="17" t="str">
        <v>是</v>
      </c>
      <c r="R30" s="17" t="str">
        <v>是</v>
      </c>
      <c r="S30" s="3"/>
      <c r="T30" s="3"/>
      <c r="U30" s="3"/>
      <c r="V30" s="3"/>
      <c r="W30" s="3">
        <f>VLOOKUP(K30,'Sheet11'!$X$2:$AH$279,11,FALSE)</f>
      </c>
      <c r="X30" s="17"/>
      <c r="Y30" s="17" t="str">
        <v>贝果</v>
      </c>
      <c r="Z30" s="12" t="str">
        <v>白纸、阿布、志文</v>
      </c>
      <c r="AA30" s="17" t="str">
        <v>账号密码</v>
      </c>
    </row>
    <row r="31">
      <c r="A31" s="11" t="str">
        <v>站外</v>
      </c>
      <c r="B31" s="11"/>
      <c r="C31" s="11" t="str">
        <v>杭州宜格化妆品有限公司</v>
      </c>
      <c r="D31" s="11" t="str">
        <v>正常使用</v>
      </c>
      <c r="E31" s="11" t="str">
        <v>百度信息流引流</v>
      </c>
      <c r="F31" s="11" t="str">
        <v>自投</v>
      </c>
      <c r="G31" s="11" t="str">
        <v>北京云锐国际文化传媒有限公司</v>
      </c>
      <c r="H31" s="12"/>
      <c r="I31" s="3" t="s">
        <v>23</v>
      </c>
      <c r="J31" s="11" t="str">
        <v>杭州宜格化妆品有限公司1（shvipyr花西子3）</v>
      </c>
      <c r="K31" s="11" t="str">
        <v>杭州宜格化妆品有限公司1（shvipyr花西子3）</v>
      </c>
      <c r="L31" s="11"/>
      <c r="M31" s="11"/>
      <c r="N31" s="11" t="str">
        <v>否</v>
      </c>
      <c r="O31" s="11" t="str">
        <v>否</v>
      </c>
      <c r="P31" s="11" t="str">
        <v>是</v>
      </c>
      <c r="Q31" s="11" t="str">
        <v>是</v>
      </c>
      <c r="R31" s="11" t="str">
        <v>是</v>
      </c>
      <c r="S31" s="3"/>
      <c r="T31" s="3"/>
      <c r="U31" s="3"/>
      <c r="V31" s="3"/>
      <c r="W31" s="3">
        <f>VLOOKUP(K31,'Sheet11'!$X$2:$AH$279,11,FALSE)</f>
      </c>
      <c r="X31" s="11"/>
      <c r="Y31" s="11" t="str">
        <v>贝果</v>
      </c>
      <c r="Z31" s="3" t="str">
        <v>白纸、阿布、循安</v>
      </c>
      <c r="AA31" s="11" t="str">
        <v>账号密码</v>
      </c>
    </row>
    <row r="32">
      <c r="A32" s="11" t="str">
        <v>站外</v>
      </c>
      <c r="B32" s="18" t="str">
        <v>磁力引擎</v>
      </c>
      <c r="C32" s="11" t="str">
        <v>杭州宜格化妆品有限公司</v>
      </c>
      <c r="D32" s="11" t="str">
        <v>正常使用</v>
      </c>
      <c r="E32" s="11" t="str">
        <v>快手信息流引流</v>
      </c>
      <c r="F32" s="11" t="str">
        <v>自投</v>
      </c>
      <c r="G32" s="11" t="str">
        <v>北京起量文化传媒有限公司</v>
      </c>
      <c r="H32" s="12"/>
      <c r="I32" s="3" t="s">
        <v>29</v>
      </c>
      <c r="J32" s="11">
        <v>13362198950</v>
      </c>
      <c r="K32" s="11">
        <v>13362198950</v>
      </c>
      <c r="L32" s="11"/>
      <c r="M32" s="11"/>
      <c r="N32" s="11" t="str">
        <v>否</v>
      </c>
      <c r="O32" s="11" t="str">
        <v>否</v>
      </c>
      <c r="P32" s="11" t="str">
        <v>是</v>
      </c>
      <c r="Q32" s="11" t="str">
        <v>是</v>
      </c>
      <c r="R32" s="11" t="str">
        <v>是</v>
      </c>
      <c r="S32" s="14">
        <f>VLOOKUP(B32,'Sheet9'!$B$2:$G$191,3,FALSE)</f>
      </c>
      <c r="T32" s="14">
        <f>VLOOKUP(B32,'Sheet9'!$B$2:$G$191,4,FALSE)</f>
      </c>
      <c r="U32" s="14">
        <f>VLOOKUP(B32,'Sheet9'!$B$2:$G$191,5,FALSE)</f>
      </c>
      <c r="V32" s="14" t="str">
        <v>推广中心组</v>
      </c>
      <c r="W32" s="3">
        <f>VLOOKUP(K32,'Sheet11'!$X$2:$AH$279,11,FALSE)</f>
      </c>
      <c r="X32" s="11"/>
      <c r="Y32" s="11" t="str">
        <v>贝果</v>
      </c>
      <c r="Z32" s="3" t="str">
        <v>白纸、羽阳</v>
      </c>
      <c r="AA32" s="11" t="str">
        <v>账号密码</v>
      </c>
    </row>
    <row r="33">
      <c r="A33" s="13" t="str">
        <v>站外</v>
      </c>
      <c r="B33" s="11" t="str">
        <v>磁力金牛</v>
      </c>
      <c r="C33" s="11" t="str">
        <v>杭州宜格化妆品有限公司</v>
      </c>
      <c r="D33" s="11" t="str">
        <v>正常使用</v>
      </c>
      <c r="E33" s="11" t="str">
        <v>快手磁力金牛</v>
      </c>
      <c r="F33" s="11" t="str">
        <v>自投</v>
      </c>
      <c r="G33" s="11" t="str">
        <v>北京起量文化传媒有限公司</v>
      </c>
      <c r="H33" s="12"/>
      <c r="I33" s="3" t="s">
        <v>26</v>
      </c>
      <c r="J33" s="11">
        <v>13396586970</v>
      </c>
      <c r="K33" s="11">
        <v>13396586970</v>
      </c>
      <c r="L33" s="11"/>
      <c r="M33" s="11"/>
      <c r="N33" s="11" t="str">
        <v>否</v>
      </c>
      <c r="O33" s="11" t="str">
        <v>否</v>
      </c>
      <c r="P33" s="11" t="str">
        <v>是</v>
      </c>
      <c r="Q33" s="11" t="str">
        <v>是</v>
      </c>
      <c r="R33" s="11" t="str">
        <v>是</v>
      </c>
      <c r="S33" s="14">
        <f>VLOOKUP(B33,'Sheet9'!$B$2:$G$191,3,FALSE)</f>
      </c>
      <c r="T33" s="14">
        <f>VLOOKUP(B33,'Sheet9'!$B$2:$G$191,4,FALSE)</f>
      </c>
      <c r="U33" s="14">
        <f>VLOOKUP(B33,'Sheet9'!$B$2:$G$191,5,FALSE)</f>
      </c>
      <c r="V33" s="14" t="str">
        <v>推广中心组</v>
      </c>
      <c r="W33" s="3">
        <f>VLOOKUP(K33,'Sheet11'!$X$2:$AH$279,11,FALSE)</f>
      </c>
      <c r="X33" s="11"/>
      <c r="Y33" s="11" t="str">
        <v>贝果</v>
      </c>
      <c r="Z33" s="3" t="str">
        <v>白纸、羽阳</v>
      </c>
      <c r="AA33" s="11" t="str">
        <v>账号密码</v>
      </c>
    </row>
    <row r="34">
      <c r="A34" s="11" t="str">
        <v>站外</v>
      </c>
      <c r="B34" s="37" t="str">
        <v>微信-ADQ推广</v>
      </c>
      <c r="C34" s="11" t="str">
        <v>杭州宜格化妆品有限公司</v>
      </c>
      <c r="D34" s="11" t="str">
        <v>正常使用</v>
      </c>
      <c r="E34" s="11" t="str">
        <v>微信渠道投放</v>
      </c>
      <c r="F34" s="11" t="str">
        <v>自投</v>
      </c>
      <c r="G34" s="3" t="str">
        <v>杭州炬美网络科技有限公司</v>
      </c>
      <c r="H34" s="12"/>
      <c r="I34" s="3" t="s">
        <v>34</v>
      </c>
      <c r="J34" s="11" t="str">
        <v>微信扫码登录</v>
      </c>
      <c r="K34" s="11" t="str">
        <v>微信扫码登录</v>
      </c>
      <c r="L34" s="11"/>
      <c r="M34" s="11"/>
      <c r="N34" s="11" t="str">
        <v>否</v>
      </c>
      <c r="O34" s="11" t="str">
        <v>否</v>
      </c>
      <c r="P34" s="11" t="str">
        <v>是</v>
      </c>
      <c r="Q34" s="11" t="str">
        <v>是</v>
      </c>
      <c r="R34" s="11" t="str">
        <v>是</v>
      </c>
      <c r="S34" s="3">
        <f>VLOOKUP(B34,'Sheet9'!$B$2:$G$191,3,FALSE)</f>
      </c>
      <c r="T34" s="3">
        <f>VLOOKUP(B34,'Sheet9'!$B$2:$G$191,4,FALSE)</f>
      </c>
      <c r="U34" s="3">
        <f>VLOOKUP(B34,'Sheet9'!$B$2:$G$191,5,FALSE)</f>
      </c>
      <c r="V34" s="3" t="str">
        <v>综合渠道推广部</v>
      </c>
      <c r="W34" s="3">
        <f>VLOOKUP(K34,'Sheet11'!$X$2:$AH$279,11,FALSE)</f>
      </c>
      <c r="X34" s="11"/>
      <c r="Y34" s="11" t="str">
        <v>贝果</v>
      </c>
      <c r="Z34" s="3" t="str">
        <v>白纸</v>
      </c>
      <c r="AA34" s="11" t="str">
        <v>账号密码</v>
      </c>
    </row>
    <row r="35">
      <c r="A35" s="13" t="str">
        <v>站外</v>
      </c>
      <c r="B35" s="13" t="str">
        <v>千川信息流</v>
      </c>
      <c r="C35" s="3" t="str">
        <v>杭州宜格化妆品有限公司</v>
      </c>
      <c r="D35" s="3"/>
      <c r="E35" s="3"/>
      <c r="F35" s="3" t="str">
        <v>自投</v>
      </c>
      <c r="G35" s="13" t="str">
        <v>北京云锐国际文化传媒有限公司</v>
      </c>
      <c r="H35" s="12"/>
      <c r="I35" s="3"/>
      <c r="J35" s="11">
        <f>VLOOKUP(K35,'Sheet5'!$J$3:$K$200,2,FALSE)</f>
      </c>
      <c r="K35" s="13" t="str">
        <v>1727265617683469</v>
      </c>
      <c r="L35" s="11"/>
      <c r="M35" s="11"/>
      <c r="N35" s="11" t="str">
        <v>否</v>
      </c>
      <c r="O35" s="3"/>
      <c r="P35" s="3"/>
      <c r="Q35" s="3"/>
      <c r="R35" s="3"/>
      <c r="S35" s="3">
        <f>VLOOKUP(B35,'Sheet9'!$B$2:$G$191,3,FALSE)</f>
      </c>
      <c r="T35" s="3">
        <f>VLOOKUP(B35,'Sheet9'!$B$2:$G$191,4,FALSE)</f>
      </c>
      <c r="U35" s="3">
        <f>VLOOKUP(B35,'Sheet9'!$B$2:$G$191,5,FALSE)</f>
      </c>
      <c r="V35" s="3" t="str">
        <v>抖音推广部</v>
      </c>
      <c r="W35" s="3" t="str">
        <v>兴泉（韩兴泉）、流沙（俞君珠）、奶茶（唐丽）、榴莲（管晓辉）、三喜（王思雨）、白龙（樊苏北）</v>
      </c>
      <c r="X35" s="22"/>
      <c r="Y35" s="3"/>
      <c r="Z35" s="3"/>
      <c r="AA35" s="3"/>
    </row>
    <row r="36">
      <c r="A36" s="13" t="str">
        <v>站外</v>
      </c>
      <c r="B36" s="3" t="str">
        <v>AD信息流</v>
      </c>
      <c r="C36" s="3" t="str">
        <v>杭州宜格化妆品有限公司</v>
      </c>
      <c r="D36" s="3"/>
      <c r="E36" s="3"/>
      <c r="F36" s="3" t="str">
        <v>自投</v>
      </c>
      <c r="G36" s="13" t="str">
        <v>广东省广告集团股份有限公司</v>
      </c>
      <c r="H36" s="12"/>
      <c r="I36" s="3"/>
      <c r="J36" s="11">
        <f>VLOOKUP(K36,'Sheet5'!$J$3:$K$200,2,FALSE)</f>
      </c>
      <c r="K36" s="13" t="str">
        <v>1762866886323341</v>
      </c>
      <c r="L36" s="11"/>
      <c r="M36" s="11"/>
      <c r="N36" s="11" t="str">
        <v>否</v>
      </c>
      <c r="O36" s="3"/>
      <c r="P36" s="3" t="str">
        <v>否</v>
      </c>
      <c r="Q36" s="3" t="str">
        <v>否</v>
      </c>
      <c r="R36" s="3"/>
      <c r="S36" s="14">
        <f>VLOOKUP(B36,'Sheet9'!$B$2:$G$191,3,FALSE)</f>
      </c>
      <c r="T36" s="14">
        <f>VLOOKUP(B36,'Sheet9'!$B$2:$G$191,4,FALSE)</f>
      </c>
      <c r="U36" s="14">
        <f>VLOOKUP(B36,'Sheet9'!$B$2:$G$191,5,FALSE)</f>
      </c>
      <c r="V36" s="14" t="str">
        <v>推广中心组</v>
      </c>
      <c r="W36" s="3">
        <f>VLOOKUP(K36,'Sheet11'!$X$2:$AH$279,11,FALSE)</f>
      </c>
      <c r="X36" s="3"/>
      <c r="Y36" s="3"/>
      <c r="Z36" s="3"/>
      <c r="AA36" s="3"/>
    </row>
    <row r="37">
      <c r="A37" s="13" t="str">
        <v>站外</v>
      </c>
      <c r="B37" s="3" t="str">
        <v>AD信息流</v>
      </c>
      <c r="C37" s="3" t="str">
        <v>杭州宜格化妆品有限公司</v>
      </c>
      <c r="D37" s="3"/>
      <c r="E37" s="3"/>
      <c r="F37" s="3" t="str">
        <v>自投</v>
      </c>
      <c r="G37" s="13" t="str">
        <v>广东省广告集团股份有限公司</v>
      </c>
      <c r="H37" s="12"/>
      <c r="I37" s="3"/>
      <c r="J37" s="11">
        <f>VLOOKUP(K37,'Sheet5'!$J$3:$K$200,2,FALSE)</f>
      </c>
      <c r="K37" s="13" t="str">
        <v>1758638395883534</v>
      </c>
      <c r="L37" s="11"/>
      <c r="M37" s="11"/>
      <c r="N37" s="11" t="str">
        <v>否</v>
      </c>
      <c r="O37" s="3"/>
      <c r="P37" s="3" t="str">
        <v>否</v>
      </c>
      <c r="Q37" s="3" t="str">
        <v>否</v>
      </c>
      <c r="R37" s="3"/>
      <c r="S37" s="14">
        <f>VLOOKUP(B37,'Sheet9'!$B$2:$G$191,3,FALSE)</f>
      </c>
      <c r="T37" s="14">
        <f>VLOOKUP(B37,'Sheet9'!$B$2:$G$191,4,FALSE)</f>
      </c>
      <c r="U37" s="14">
        <f>VLOOKUP(B37,'Sheet9'!$B$2:$G$191,5,FALSE)</f>
      </c>
      <c r="V37" s="14" t="str">
        <v>推广中心组</v>
      </c>
      <c r="W37" s="3">
        <f>VLOOKUP(K37,'Sheet11'!$X$2:$AH$279,11,FALSE)</f>
      </c>
      <c r="X37" s="3"/>
      <c r="Y37" s="3"/>
      <c r="Z37" s="3"/>
      <c r="AA37" s="3"/>
    </row>
    <row r="38">
      <c r="A38" s="13" t="str">
        <v>站外</v>
      </c>
      <c r="B38" s="13" t="str">
        <v>AD信息流</v>
      </c>
      <c r="C38" s="3" t="str">
        <v>杭州宜格化妆品有限公司</v>
      </c>
      <c r="D38" s="3"/>
      <c r="E38" s="3"/>
      <c r="F38" s="3" t="str">
        <v>自投</v>
      </c>
      <c r="G38" s="13" t="str">
        <v>广东省广告集团股份有限公司</v>
      </c>
      <c r="H38" s="12"/>
      <c r="I38" s="3"/>
      <c r="J38" s="11">
        <f>VLOOKUP(K38,'Sheet5'!$J$3:$K$200,2,FALSE)</f>
      </c>
      <c r="K38" s="13" t="str">
        <v>1744729041456135</v>
      </c>
      <c r="L38" s="11"/>
      <c r="M38" s="11"/>
      <c r="N38" s="11" t="str">
        <v>否</v>
      </c>
      <c r="O38" s="3"/>
      <c r="P38" s="3" t="str">
        <v>否</v>
      </c>
      <c r="Q38" s="3" t="str">
        <v>否</v>
      </c>
      <c r="R38" s="3"/>
      <c r="S38" s="14">
        <f>VLOOKUP(B38,'Sheet9'!$B$2:$G$191,3,FALSE)</f>
      </c>
      <c r="T38" s="14">
        <f>VLOOKUP(B38,'Sheet9'!$B$2:$G$191,4,FALSE)</f>
      </c>
      <c r="U38" s="14">
        <f>VLOOKUP(B38,'Sheet9'!$B$2:$G$191,5,FALSE)</f>
      </c>
      <c r="V38" s="14" t="str">
        <v>推广中心组</v>
      </c>
      <c r="W38" s="3">
        <f>VLOOKUP(K38,'Sheet11'!$X$2:$AH$279,11,FALSE)</f>
      </c>
      <c r="X38" s="3"/>
      <c r="Y38" s="3"/>
      <c r="Z38" s="3"/>
      <c r="AA38" s="3"/>
    </row>
    <row r="39">
      <c r="A39" s="13" t="str">
        <v>站外</v>
      </c>
      <c r="B39" s="13" t="str">
        <v>AD信息流</v>
      </c>
      <c r="C39" s="3" t="str">
        <v>杭州宜格化妆品有限公司</v>
      </c>
      <c r="D39" s="3"/>
      <c r="E39" s="3"/>
      <c r="F39" s="3" t="str">
        <v>自投</v>
      </c>
      <c r="G39" s="13" t="str">
        <v>广东省广告集团股份有限公司</v>
      </c>
      <c r="H39" s="12"/>
      <c r="I39" s="3"/>
      <c r="J39" s="11">
        <f>VLOOKUP(K39,'Sheet5'!$J$3:$K$200,2,FALSE)</f>
      </c>
      <c r="K39" s="13" t="str">
        <v>1744631353681928</v>
      </c>
      <c r="L39" s="11"/>
      <c r="M39" s="11"/>
      <c r="N39" s="11" t="str">
        <v>否</v>
      </c>
      <c r="O39" s="3"/>
      <c r="P39" s="3" t="str">
        <v>否</v>
      </c>
      <c r="Q39" s="3" t="str">
        <v>否</v>
      </c>
      <c r="R39" s="3"/>
      <c r="S39" s="14">
        <f>VLOOKUP(B39,'Sheet9'!$B$2:$G$191,3,FALSE)</f>
      </c>
      <c r="T39" s="14">
        <f>VLOOKUP(B39,'Sheet9'!$B$2:$G$191,4,FALSE)</f>
      </c>
      <c r="U39" s="14">
        <f>VLOOKUP(B39,'Sheet9'!$B$2:$G$191,5,FALSE)</f>
      </c>
      <c r="V39" s="14" t="str">
        <v>推广中心组</v>
      </c>
      <c r="W39" s="3">
        <f>VLOOKUP(K39,'Sheet11'!$X$2:$AH$279,11,FALSE)</f>
      </c>
      <c r="X39" s="3"/>
      <c r="Y39" s="3"/>
      <c r="Z39" s="3"/>
      <c r="AA39" s="3"/>
    </row>
    <row r="40">
      <c r="A40" s="13" t="str">
        <v>站外</v>
      </c>
      <c r="B40" s="13" t="str">
        <v>AD信息流</v>
      </c>
      <c r="C40" s="3" t="str">
        <v>杭州宜格化妆品有限公司</v>
      </c>
      <c r="D40" s="3"/>
      <c r="E40" s="3"/>
      <c r="F40" s="3" t="str">
        <v>自投</v>
      </c>
      <c r="G40" s="13" t="str">
        <v>广东省广告集团股份有限公司</v>
      </c>
      <c r="H40" s="12"/>
      <c r="I40" s="3"/>
      <c r="J40" s="11">
        <f>VLOOKUP(K40,'Sheet5'!$J$3:$K$200,2,FALSE)</f>
      </c>
      <c r="K40" s="13" t="str">
        <v>1752335658405895</v>
      </c>
      <c r="L40" s="11"/>
      <c r="M40" s="11"/>
      <c r="N40" s="11" t="str">
        <v>否</v>
      </c>
      <c r="O40" s="3"/>
      <c r="P40" s="3" t="str">
        <v>否</v>
      </c>
      <c r="Q40" s="3" t="str">
        <v>否</v>
      </c>
      <c r="R40" s="3"/>
      <c r="S40" s="14">
        <f>VLOOKUP(B40,'Sheet9'!$B$2:$G$191,3,FALSE)</f>
      </c>
      <c r="T40" s="14">
        <f>VLOOKUP(B40,'Sheet9'!$B$2:$G$191,4,FALSE)</f>
      </c>
      <c r="U40" s="14">
        <f>VLOOKUP(B40,'Sheet9'!$B$2:$G$191,5,FALSE)</f>
      </c>
      <c r="V40" s="14" t="str">
        <v>推广中心组</v>
      </c>
      <c r="W40" s="3">
        <f>VLOOKUP(K40,'Sheet11'!$X$2:$AH$279,11,FALSE)</f>
      </c>
      <c r="X40" s="3"/>
      <c r="Y40" s="3"/>
      <c r="Z40" s="3"/>
      <c r="AA40" s="3"/>
    </row>
    <row r="41">
      <c r="A41" s="13" t="str">
        <v>站外</v>
      </c>
      <c r="B41" s="13" t="str">
        <v>AD信息流</v>
      </c>
      <c r="C41" s="3" t="str">
        <v>杭州宜格化妆品有限公司</v>
      </c>
      <c r="D41" s="3"/>
      <c r="E41" s="3"/>
      <c r="F41" s="3" t="str">
        <v>自投</v>
      </c>
      <c r="G41" s="13" t="str">
        <v>广东省广告集团股份有限公司</v>
      </c>
      <c r="H41" s="12"/>
      <c r="I41" s="3"/>
      <c r="J41" s="11">
        <f>VLOOKUP(K41,'Sheet5'!$J$3:$K$200,2,FALSE)</f>
      </c>
      <c r="K41" s="13" t="str">
        <v>1752335657150542</v>
      </c>
      <c r="L41" s="11"/>
      <c r="M41" s="11"/>
      <c r="N41" s="11" t="str">
        <v>否</v>
      </c>
      <c r="O41" s="3"/>
      <c r="P41" s="3" t="str">
        <v>否</v>
      </c>
      <c r="Q41" s="3" t="str">
        <v>否</v>
      </c>
      <c r="R41" s="3"/>
      <c r="S41" s="14">
        <f>VLOOKUP(B41,'Sheet9'!$B$2:$G$191,3,FALSE)</f>
      </c>
      <c r="T41" s="14">
        <f>VLOOKUP(B41,'Sheet9'!$B$2:$G$191,4,FALSE)</f>
      </c>
      <c r="U41" s="14">
        <f>VLOOKUP(B41,'Sheet9'!$B$2:$G$191,5,FALSE)</f>
      </c>
      <c r="V41" s="14" t="str">
        <v>推广中心组</v>
      </c>
      <c r="W41" s="3">
        <f>VLOOKUP(K41,'Sheet11'!$X$2:$AH$279,11,FALSE)</f>
      </c>
      <c r="X41" s="3"/>
      <c r="Y41" s="3"/>
      <c r="Z41" s="3"/>
      <c r="AA41" s="3"/>
    </row>
    <row r="42">
      <c r="A42" s="13" t="str">
        <v>站外</v>
      </c>
      <c r="B42" s="13" t="str">
        <v>AD信息流</v>
      </c>
      <c r="C42" s="3" t="str">
        <v>杭州宜格化妆品有限公司</v>
      </c>
      <c r="D42" s="3"/>
      <c r="E42" s="3"/>
      <c r="F42" s="3" t="str">
        <v>自投</v>
      </c>
      <c r="G42" s="13" t="str">
        <v>广东省广告集团股份有限公司</v>
      </c>
      <c r="H42" s="12"/>
      <c r="I42" s="3"/>
      <c r="J42" s="11">
        <f>VLOOKUP(K42,'Sheet5'!$J$3:$K$200,2,FALSE)</f>
      </c>
      <c r="K42" s="13" t="str">
        <v>1750901317073991</v>
      </c>
      <c r="L42" s="11"/>
      <c r="M42" s="11"/>
      <c r="N42" s="11" t="str">
        <v>否</v>
      </c>
      <c r="O42" s="3"/>
      <c r="P42" s="3" t="str">
        <v>否</v>
      </c>
      <c r="Q42" s="3" t="str">
        <v>否</v>
      </c>
      <c r="R42" s="3"/>
      <c r="S42" s="14">
        <f>VLOOKUP(B42,'Sheet9'!$B$2:$G$191,3,FALSE)</f>
      </c>
      <c r="T42" s="14">
        <f>VLOOKUP(B42,'Sheet9'!$B$2:$G$191,4,FALSE)</f>
      </c>
      <c r="U42" s="14">
        <f>VLOOKUP(B42,'Sheet9'!$B$2:$G$191,5,FALSE)</f>
      </c>
      <c r="V42" s="14" t="str">
        <v>推广中心组</v>
      </c>
      <c r="W42" s="3">
        <f>VLOOKUP(K42,'Sheet11'!$X$2:$AH$279,11,FALSE)</f>
      </c>
      <c r="X42" s="3"/>
      <c r="Y42" s="3"/>
      <c r="Z42" s="3"/>
      <c r="AA42" s="3"/>
    </row>
    <row r="43">
      <c r="A43" s="13" t="str">
        <v>站外</v>
      </c>
      <c r="B43" s="13" t="str">
        <v>AD信息流</v>
      </c>
      <c r="C43" s="3" t="str">
        <v>杭州宜格化妆品有限公司</v>
      </c>
      <c r="D43" s="3"/>
      <c r="E43" s="3"/>
      <c r="F43" s="3" t="str">
        <v>自投</v>
      </c>
      <c r="G43" s="13" t="str">
        <v>广东省广告集团股份有限公司</v>
      </c>
      <c r="H43" s="12"/>
      <c r="I43" s="3"/>
      <c r="J43" s="11">
        <f>VLOOKUP(K43,'Sheet5'!$J$3:$K$200,2,FALSE)</f>
      </c>
      <c r="K43" s="13" t="str">
        <v>1747107074839566</v>
      </c>
      <c r="L43" s="11"/>
      <c r="M43" s="11"/>
      <c r="N43" s="11" t="str">
        <v>否</v>
      </c>
      <c r="O43" s="3"/>
      <c r="P43" s="3" t="str">
        <v>否</v>
      </c>
      <c r="Q43" s="3" t="str">
        <v>否</v>
      </c>
      <c r="R43" s="3"/>
      <c r="S43" s="14">
        <f>VLOOKUP(B43,'Sheet9'!$B$2:$G$191,3,FALSE)</f>
      </c>
      <c r="T43" s="14">
        <f>VLOOKUP(B43,'Sheet9'!$B$2:$G$191,4,FALSE)</f>
      </c>
      <c r="U43" s="14">
        <f>VLOOKUP(B43,'Sheet9'!$B$2:$G$191,5,FALSE)</f>
      </c>
      <c r="V43" s="14" t="str">
        <v>推广中心组</v>
      </c>
      <c r="W43" s="3">
        <f>VLOOKUP(K43,'Sheet11'!$X$2:$AH$279,11,FALSE)</f>
      </c>
      <c r="X43" s="3"/>
      <c r="Y43" s="3"/>
      <c r="Z43" s="3"/>
      <c r="AA43" s="3"/>
    </row>
    <row r="44">
      <c r="A44" s="13" t="str">
        <v>站外</v>
      </c>
      <c r="B44" s="13" t="str">
        <v>AD信息流</v>
      </c>
      <c r="C44" s="3" t="str">
        <v>杭州宜格化妆品有限公司</v>
      </c>
      <c r="D44" s="3"/>
      <c r="E44" s="3"/>
      <c r="F44" s="3" t="str">
        <v>自投</v>
      </c>
      <c r="G44" s="13" t="str">
        <v>广东省广告集团股份有限公司</v>
      </c>
      <c r="H44" s="12"/>
      <c r="I44" s="3"/>
      <c r="J44" s="11">
        <f>VLOOKUP(K44,'Sheet5'!$J$3:$K$200,2,FALSE)</f>
      </c>
      <c r="K44" s="13" t="str">
        <v>1750901319256072</v>
      </c>
      <c r="L44" s="11"/>
      <c r="M44" s="11"/>
      <c r="N44" s="11" t="str">
        <v>否</v>
      </c>
      <c r="O44" s="3"/>
      <c r="P44" s="3" t="str">
        <v>否</v>
      </c>
      <c r="Q44" s="3" t="str">
        <v>否</v>
      </c>
      <c r="R44" s="3"/>
      <c r="S44" s="14">
        <f>VLOOKUP(B44,'Sheet9'!$B$2:$G$191,3,FALSE)</f>
      </c>
      <c r="T44" s="14">
        <f>VLOOKUP(B44,'Sheet9'!$B$2:$G$191,4,FALSE)</f>
      </c>
      <c r="U44" s="14">
        <f>VLOOKUP(B44,'Sheet9'!$B$2:$G$191,5,FALSE)</f>
      </c>
      <c r="V44" s="14" t="str">
        <v>推广中心组</v>
      </c>
      <c r="W44" s="3">
        <f>VLOOKUP(K44,'Sheet11'!$X$2:$AH$279,11,FALSE)</f>
      </c>
      <c r="X44" s="3"/>
      <c r="Y44" s="3"/>
      <c r="Z44" s="3"/>
      <c r="AA44" s="3"/>
    </row>
    <row r="45">
      <c r="A45" s="13" t="str">
        <v>站外</v>
      </c>
      <c r="B45" s="13" t="str">
        <v>AD信息流</v>
      </c>
      <c r="C45" s="3" t="str">
        <v>杭州宜格化妆品有限公司</v>
      </c>
      <c r="D45" s="3"/>
      <c r="E45" s="3"/>
      <c r="F45" s="3" t="str">
        <v>自投</v>
      </c>
      <c r="G45" s="13" t="str">
        <v>广东省广告集团股份有限公司</v>
      </c>
      <c r="H45" s="12"/>
      <c r="I45" s="3"/>
      <c r="J45" s="11">
        <f>VLOOKUP(K45,'Sheet5'!$J$3:$K$200,2,FALSE)</f>
      </c>
      <c r="K45" s="13" t="str">
        <v>1750901314010184</v>
      </c>
      <c r="L45" s="11"/>
      <c r="M45" s="11"/>
      <c r="N45" s="11" t="str">
        <v>否</v>
      </c>
      <c r="O45" s="3"/>
      <c r="P45" s="3" t="str">
        <v>否</v>
      </c>
      <c r="Q45" s="3" t="str">
        <v>否</v>
      </c>
      <c r="R45" s="3"/>
      <c r="S45" s="14">
        <f>VLOOKUP(B45,'Sheet9'!$B$2:$G$191,3,FALSE)</f>
      </c>
      <c r="T45" s="14">
        <f>VLOOKUP(B45,'Sheet9'!$B$2:$G$191,4,FALSE)</f>
      </c>
      <c r="U45" s="14">
        <f>VLOOKUP(B45,'Sheet9'!$B$2:$G$191,5,FALSE)</f>
      </c>
      <c r="V45" s="14" t="str">
        <v>推广中心组</v>
      </c>
      <c r="W45" s="3">
        <f>VLOOKUP(K45,'Sheet11'!$X$2:$AH$279,11,FALSE)</f>
      </c>
      <c r="X45" s="3"/>
      <c r="Y45" s="3"/>
      <c r="Z45" s="3"/>
      <c r="AA45" s="3"/>
    </row>
    <row r="46">
      <c r="A46" s="13" t="str">
        <v>站外</v>
      </c>
      <c r="B46" s="13" t="str">
        <v>AD信息流</v>
      </c>
      <c r="C46" s="3" t="str">
        <v>杭州宜格化妆品有限公司</v>
      </c>
      <c r="D46" s="3"/>
      <c r="E46" s="3"/>
      <c r="F46" s="3" t="str">
        <v>自投</v>
      </c>
      <c r="G46" s="13" t="str">
        <v>广东省广告集团股份有限公司</v>
      </c>
      <c r="H46" s="12"/>
      <c r="I46" s="3"/>
      <c r="J46" s="11">
        <f>VLOOKUP(K46,'Sheet5'!$J$3:$K$200,2,FALSE)</f>
      </c>
      <c r="K46" s="13" t="str">
        <v>1758638396516360</v>
      </c>
      <c r="L46" s="11"/>
      <c r="M46" s="11"/>
      <c r="N46" s="11" t="str">
        <v>否</v>
      </c>
      <c r="O46" s="3"/>
      <c r="P46" s="3" t="str">
        <v>否</v>
      </c>
      <c r="Q46" s="3" t="str">
        <v>否</v>
      </c>
      <c r="R46" s="3"/>
      <c r="S46" s="14">
        <f>VLOOKUP(B46,'Sheet9'!$B$2:$G$191,3,FALSE)</f>
      </c>
      <c r="T46" s="14">
        <f>VLOOKUP(B46,'Sheet9'!$B$2:$G$191,4,FALSE)</f>
      </c>
      <c r="U46" s="14">
        <f>VLOOKUP(B46,'Sheet9'!$B$2:$G$191,5,FALSE)</f>
      </c>
      <c r="V46" s="14" t="str">
        <v>推广中心组</v>
      </c>
      <c r="W46" s="3">
        <f>VLOOKUP(K46,'Sheet11'!$X$2:$AH$279,11,FALSE)</f>
      </c>
      <c r="X46" s="3"/>
      <c r="Y46" s="3"/>
      <c r="Z46" s="3"/>
      <c r="AA46" s="3"/>
    </row>
    <row r="47">
      <c r="A47" s="13" t="str">
        <v>站外</v>
      </c>
      <c r="B47" s="13" t="str">
        <v>AD信息流</v>
      </c>
      <c r="C47" s="3" t="str">
        <v>杭州宜格化妆品有限公司</v>
      </c>
      <c r="D47" s="3"/>
      <c r="E47" s="3"/>
      <c r="F47" s="3" t="str">
        <v>自投</v>
      </c>
      <c r="G47" s="13" t="str">
        <v>广东省广告集团股份有限公司</v>
      </c>
      <c r="H47" s="12"/>
      <c r="I47" s="3"/>
      <c r="J47" s="11">
        <f>VLOOKUP(K47,'Sheet5'!$J$3:$K$200,2,FALSE)</f>
      </c>
      <c r="K47" s="13" t="str">
        <v>1750901317821447</v>
      </c>
      <c r="L47" s="11"/>
      <c r="M47" s="11"/>
      <c r="N47" s="11" t="str">
        <v>否</v>
      </c>
      <c r="O47" s="3"/>
      <c r="P47" s="3" t="str">
        <v>否</v>
      </c>
      <c r="Q47" s="3" t="str">
        <v>否</v>
      </c>
      <c r="R47" s="3"/>
      <c r="S47" s="14">
        <f>VLOOKUP(B47,'Sheet9'!$B$2:$G$191,3,FALSE)</f>
      </c>
      <c r="T47" s="14">
        <f>VLOOKUP(B47,'Sheet9'!$B$2:$G$191,4,FALSE)</f>
      </c>
      <c r="U47" s="14">
        <f>VLOOKUP(B47,'Sheet9'!$B$2:$G$191,5,FALSE)</f>
      </c>
      <c r="V47" s="14" t="str">
        <v>推广中心组</v>
      </c>
      <c r="W47" s="3">
        <f>VLOOKUP(K47,'Sheet11'!$X$2:$AH$279,11,FALSE)</f>
      </c>
      <c r="X47" s="3"/>
      <c r="Y47" s="3"/>
      <c r="Z47" s="3"/>
      <c r="AA47" s="3"/>
    </row>
    <row r="48">
      <c r="A48" s="13" t="str">
        <v>站外</v>
      </c>
      <c r="B48" s="13" t="str">
        <v>AD信息流</v>
      </c>
      <c r="C48" s="3" t="str">
        <v>杭州宜格化妆品有限公司</v>
      </c>
      <c r="D48" s="3"/>
      <c r="E48" s="3"/>
      <c r="F48" s="3" t="str">
        <v>自投</v>
      </c>
      <c r="G48" s="13" t="str">
        <v>广东省广告集团股份有限公司</v>
      </c>
      <c r="H48" s="12"/>
      <c r="I48" s="3"/>
      <c r="J48" s="11">
        <f>VLOOKUP(K48,'Sheet5'!$J$3:$K$200,2,FALSE)</f>
      </c>
      <c r="K48" s="13" t="str">
        <v>1752335660396552</v>
      </c>
      <c r="L48" s="11"/>
      <c r="M48" s="11"/>
      <c r="N48" s="11" t="str">
        <v>否</v>
      </c>
      <c r="O48" s="3"/>
      <c r="P48" s="3" t="str">
        <v>否</v>
      </c>
      <c r="Q48" s="3" t="str">
        <v>否</v>
      </c>
      <c r="R48" s="3"/>
      <c r="S48" s="14">
        <f>VLOOKUP(B48,'Sheet9'!$B$2:$G$191,3,FALSE)</f>
      </c>
      <c r="T48" s="14">
        <f>VLOOKUP(B48,'Sheet9'!$B$2:$G$191,4,FALSE)</f>
      </c>
      <c r="U48" s="14">
        <f>VLOOKUP(B48,'Sheet9'!$B$2:$G$191,5,FALSE)</f>
      </c>
      <c r="V48" s="14" t="str">
        <v>推广中心组</v>
      </c>
      <c r="W48" s="3">
        <f>VLOOKUP(K48,'Sheet11'!$X$2:$AH$279,11,FALSE)</f>
      </c>
      <c r="X48" s="3"/>
      <c r="Y48" s="3"/>
      <c r="Z48" s="3"/>
      <c r="AA48" s="3"/>
    </row>
    <row r="49">
      <c r="A49" s="13" t="str">
        <v>站外</v>
      </c>
      <c r="B49" s="13" t="str">
        <v>AD信息流</v>
      </c>
      <c r="C49" s="3" t="str">
        <v>杭州宜格化妆品有限公司</v>
      </c>
      <c r="D49" s="3"/>
      <c r="E49" s="3"/>
      <c r="F49" s="3" t="str">
        <v>自投</v>
      </c>
      <c r="G49" s="13" t="str">
        <v>广东省广告集团股份有限公司</v>
      </c>
      <c r="H49" s="12"/>
      <c r="I49" s="3"/>
      <c r="J49" s="11">
        <f>VLOOKUP(K49,'Sheet5'!$J$3:$K$200,2,FALSE)</f>
      </c>
      <c r="K49" s="13" t="str">
        <v>1752335655990285</v>
      </c>
      <c r="L49" s="11"/>
      <c r="M49" s="11"/>
      <c r="N49" s="11" t="str">
        <v>否</v>
      </c>
      <c r="O49" s="3"/>
      <c r="P49" s="3" t="str">
        <v>否</v>
      </c>
      <c r="Q49" s="3" t="str">
        <v>否</v>
      </c>
      <c r="R49" s="3"/>
      <c r="S49" s="14">
        <f>VLOOKUP(B49,'Sheet9'!$B$2:$G$191,3,FALSE)</f>
      </c>
      <c r="T49" s="14">
        <f>VLOOKUP(B49,'Sheet9'!$B$2:$G$191,4,FALSE)</f>
      </c>
      <c r="U49" s="14">
        <f>VLOOKUP(B49,'Sheet9'!$B$2:$G$191,5,FALSE)</f>
      </c>
      <c r="V49" s="14" t="str">
        <v>推广中心组</v>
      </c>
      <c r="W49" s="3">
        <f>VLOOKUP(K49,'Sheet11'!$X$2:$AH$279,11,FALSE)</f>
      </c>
      <c r="X49" s="3"/>
      <c r="Y49" s="3"/>
      <c r="Z49" s="3"/>
      <c r="AA49" s="3"/>
    </row>
    <row r="50">
      <c r="A50" s="13" t="str">
        <v>站外</v>
      </c>
      <c r="B50" s="13" t="str">
        <v>AD信息流</v>
      </c>
      <c r="C50" s="3" t="str">
        <v>杭州宜格化妆品有限公司</v>
      </c>
      <c r="D50" s="3"/>
      <c r="E50" s="3"/>
      <c r="F50" s="3" t="str">
        <v>自投</v>
      </c>
      <c r="G50" s="13" t="str">
        <v>广东省广告集团股份有限公司</v>
      </c>
      <c r="H50" s="12"/>
      <c r="I50" s="3"/>
      <c r="J50" s="11">
        <f>VLOOKUP(K50,'Sheet5'!$J$3:$K$200,2,FALSE)</f>
      </c>
      <c r="K50" s="13" t="str">
        <v>1750901316273160</v>
      </c>
      <c r="L50" s="11"/>
      <c r="M50" s="11"/>
      <c r="N50" s="11" t="str">
        <v>否</v>
      </c>
      <c r="O50" s="3"/>
      <c r="P50" s="3" t="str">
        <v>否</v>
      </c>
      <c r="Q50" s="3" t="str">
        <v>否</v>
      </c>
      <c r="R50" s="3"/>
      <c r="S50" s="14">
        <f>VLOOKUP(B50,'Sheet9'!$B$2:$G$191,3,FALSE)</f>
      </c>
      <c r="T50" s="14">
        <f>VLOOKUP(B50,'Sheet9'!$B$2:$G$191,4,FALSE)</f>
      </c>
      <c r="U50" s="14">
        <f>VLOOKUP(B50,'Sheet9'!$B$2:$G$191,5,FALSE)</f>
      </c>
      <c r="V50" s="14" t="str">
        <v>推广中心组</v>
      </c>
      <c r="W50" s="3">
        <f>VLOOKUP(K50,'Sheet11'!$X$2:$AH$279,11,FALSE)</f>
      </c>
      <c r="X50" s="3"/>
      <c r="Y50" s="3"/>
      <c r="Z50" s="3"/>
      <c r="AA50" s="3"/>
    </row>
    <row r="51">
      <c r="A51" s="13" t="str">
        <v>站外</v>
      </c>
      <c r="B51" s="13" t="str">
        <v>AD信息流</v>
      </c>
      <c r="C51" s="3" t="str">
        <v>杭州宜格化妆品有限公司</v>
      </c>
      <c r="D51" s="3"/>
      <c r="E51" s="3"/>
      <c r="F51" s="3" t="str">
        <v>自投</v>
      </c>
      <c r="G51" s="13" t="str">
        <v>广东省广告集团股份有限公司</v>
      </c>
      <c r="H51" s="12"/>
      <c r="I51" s="3"/>
      <c r="J51" s="11">
        <f>VLOOKUP(K51,'Sheet5'!$J$3:$K$200,2,FALSE)</f>
      </c>
      <c r="K51" s="13" t="str">
        <v>1758638394426375</v>
      </c>
      <c r="L51" s="11"/>
      <c r="M51" s="11"/>
      <c r="N51" s="11" t="str">
        <v>否</v>
      </c>
      <c r="O51" s="3"/>
      <c r="P51" s="3" t="str">
        <v>否</v>
      </c>
      <c r="Q51" s="3" t="str">
        <v>否</v>
      </c>
      <c r="R51" s="3"/>
      <c r="S51" s="14">
        <f>VLOOKUP(B51,'Sheet9'!$B$2:$G$191,3,FALSE)</f>
      </c>
      <c r="T51" s="14">
        <f>VLOOKUP(B51,'Sheet9'!$B$2:$G$191,4,FALSE)</f>
      </c>
      <c r="U51" s="14">
        <f>VLOOKUP(B51,'Sheet9'!$B$2:$G$191,5,FALSE)</f>
      </c>
      <c r="V51" s="14" t="str">
        <v>推广中心组</v>
      </c>
      <c r="W51" s="3">
        <f>VLOOKUP(K51,'Sheet11'!$X$2:$AH$279,11,FALSE)</f>
      </c>
      <c r="X51" s="3"/>
      <c r="Y51" s="3"/>
      <c r="Z51" s="3"/>
      <c r="AA51" s="3"/>
    </row>
    <row r="52">
      <c r="A52" s="13" t="str">
        <v>站外</v>
      </c>
      <c r="B52" s="13" t="str">
        <v>AD信息流</v>
      </c>
      <c r="C52" s="3" t="str">
        <v>杭州宜格化妆品有限公司</v>
      </c>
      <c r="D52" s="3"/>
      <c r="E52" s="3"/>
      <c r="F52" s="3" t="str">
        <v>自投</v>
      </c>
      <c r="G52" s="13" t="str">
        <v>广东省广告集团股份有限公司</v>
      </c>
      <c r="H52" s="12"/>
      <c r="I52" s="3"/>
      <c r="J52" s="11">
        <f>VLOOKUP(K52,'Sheet5'!$J$3:$K$200,2,FALSE)</f>
      </c>
      <c r="K52" s="13" t="str">
        <v>1752335656568839</v>
      </c>
      <c r="L52" s="11"/>
      <c r="M52" s="11"/>
      <c r="N52" s="11" t="str">
        <v>否</v>
      </c>
      <c r="O52" s="3"/>
      <c r="P52" s="3" t="str">
        <v>否</v>
      </c>
      <c r="Q52" s="3" t="str">
        <v>否</v>
      </c>
      <c r="R52" s="3"/>
      <c r="S52" s="14">
        <f>VLOOKUP(B52,'Sheet9'!$B$2:$G$191,3,FALSE)</f>
      </c>
      <c r="T52" s="14">
        <f>VLOOKUP(B52,'Sheet9'!$B$2:$G$191,4,FALSE)</f>
      </c>
      <c r="U52" s="14">
        <f>VLOOKUP(B52,'Sheet9'!$B$2:$G$191,5,FALSE)</f>
      </c>
      <c r="V52" s="14" t="str">
        <v>推广中心组</v>
      </c>
      <c r="W52" s="3">
        <f>VLOOKUP(K52,'Sheet11'!$X$2:$AH$279,11,FALSE)</f>
      </c>
      <c r="X52" s="3"/>
      <c r="Y52" s="3"/>
      <c r="Z52" s="3"/>
      <c r="AA52" s="3"/>
    </row>
    <row r="53">
      <c r="A53" s="13" t="str">
        <v>站外</v>
      </c>
      <c r="B53" s="13" t="str">
        <v>AD信息流</v>
      </c>
      <c r="C53" s="3" t="str">
        <v>杭州宜格化妆品有限公司</v>
      </c>
      <c r="D53" s="3"/>
      <c r="E53" s="3"/>
      <c r="F53" s="3" t="str">
        <v>自投</v>
      </c>
      <c r="G53" s="13" t="str">
        <v>广东省广告集团股份有限公司</v>
      </c>
      <c r="H53" s="12"/>
      <c r="I53" s="3"/>
      <c r="J53" s="11">
        <f>VLOOKUP(K53,'Sheet5'!$J$3:$K$200,2,FALSE)</f>
      </c>
      <c r="K53" s="13" t="str">
        <v>1752335660988424</v>
      </c>
      <c r="L53" s="11"/>
      <c r="M53" s="11"/>
      <c r="N53" s="11" t="str">
        <v>否</v>
      </c>
      <c r="O53" s="3"/>
      <c r="P53" s="3" t="str">
        <v>否</v>
      </c>
      <c r="Q53" s="3" t="str">
        <v>否</v>
      </c>
      <c r="R53" s="3"/>
      <c r="S53" s="14">
        <f>VLOOKUP(B53,'Sheet9'!$B$2:$G$191,3,FALSE)</f>
      </c>
      <c r="T53" s="14">
        <f>VLOOKUP(B53,'Sheet9'!$B$2:$G$191,4,FALSE)</f>
      </c>
      <c r="U53" s="14">
        <f>VLOOKUP(B53,'Sheet9'!$B$2:$G$191,5,FALSE)</f>
      </c>
      <c r="V53" s="14" t="str">
        <v>推广中心组</v>
      </c>
      <c r="W53" s="3">
        <f>VLOOKUP(K53,'Sheet11'!$X$2:$AH$279,11,FALSE)</f>
      </c>
      <c r="X53" s="3"/>
      <c r="Y53" s="3"/>
      <c r="Z53" s="3"/>
      <c r="AA53" s="3"/>
    </row>
    <row r="54">
      <c r="A54" s="13" t="str">
        <v>站外</v>
      </c>
      <c r="B54" s="13" t="str">
        <v>AD信息流</v>
      </c>
      <c r="C54" s="3" t="str">
        <v>杭州宜格化妆品有限公司</v>
      </c>
      <c r="D54" s="3"/>
      <c r="E54" s="3"/>
      <c r="F54" s="3" t="str">
        <v>自投</v>
      </c>
      <c r="G54" s="13" t="str">
        <v>广东省广告集团股份有限公司</v>
      </c>
      <c r="H54" s="12"/>
      <c r="I54" s="3"/>
      <c r="J54" s="11">
        <f>VLOOKUP(K54,'Sheet5'!$J$3:$K$200,2,FALSE)</f>
      </c>
      <c r="K54" s="13" t="str">
        <v>1750818944045070</v>
      </c>
      <c r="L54" s="11"/>
      <c r="M54" s="11"/>
      <c r="N54" s="11" t="str">
        <v>否</v>
      </c>
      <c r="O54" s="3"/>
      <c r="P54" s="3" t="str">
        <v>否</v>
      </c>
      <c r="Q54" s="3" t="str">
        <v>否</v>
      </c>
      <c r="R54" s="3"/>
      <c r="S54" s="14">
        <f>VLOOKUP(B54,'Sheet9'!$B$2:$G$191,3,FALSE)</f>
      </c>
      <c r="T54" s="14">
        <f>VLOOKUP(B54,'Sheet9'!$B$2:$G$191,4,FALSE)</f>
      </c>
      <c r="U54" s="14">
        <f>VLOOKUP(B54,'Sheet9'!$B$2:$G$191,5,FALSE)</f>
      </c>
      <c r="V54" s="14" t="str">
        <v>推广中心组</v>
      </c>
      <c r="W54" s="3">
        <f>VLOOKUP(K54,'Sheet11'!$X$2:$AH$279,11,FALSE)</f>
      </c>
      <c r="X54" s="3"/>
      <c r="Y54" s="3"/>
      <c r="Z54" s="3"/>
      <c r="AA54" s="3"/>
    </row>
    <row r="55">
      <c r="A55" s="13" t="str">
        <v>站外</v>
      </c>
      <c r="B55" s="13" t="str">
        <v>AD信息流</v>
      </c>
      <c r="C55" s="3" t="str">
        <v>杭州宜格化妆品有限公司</v>
      </c>
      <c r="D55" s="3"/>
      <c r="E55" s="3"/>
      <c r="F55" s="3" t="str">
        <v>自投</v>
      </c>
      <c r="G55" s="13" t="str">
        <v>广东省广告集团股份有限公司</v>
      </c>
      <c r="H55" s="12"/>
      <c r="I55" s="3"/>
      <c r="J55" s="11">
        <f>VLOOKUP(K55,'Sheet5'!$J$3:$K$200,2,FALSE)</f>
      </c>
      <c r="K55" s="13" t="str">
        <v>1752335659719688</v>
      </c>
      <c r="L55" s="11"/>
      <c r="M55" s="11"/>
      <c r="N55" s="11" t="str">
        <v>否</v>
      </c>
      <c r="O55" s="3"/>
      <c r="P55" s="3" t="str">
        <v>否</v>
      </c>
      <c r="Q55" s="3" t="str">
        <v>否</v>
      </c>
      <c r="R55" s="3"/>
      <c r="S55" s="14">
        <f>VLOOKUP(B55,'Sheet9'!$B$2:$G$191,3,FALSE)</f>
      </c>
      <c r="T55" s="14">
        <f>VLOOKUP(B55,'Sheet9'!$B$2:$G$191,4,FALSE)</f>
      </c>
      <c r="U55" s="14">
        <f>VLOOKUP(B55,'Sheet9'!$B$2:$G$191,5,FALSE)</f>
      </c>
      <c r="V55" s="14" t="str">
        <v>推广中心组</v>
      </c>
      <c r="W55" s="3">
        <f>VLOOKUP(K55,'Sheet11'!$X$2:$AH$279,11,FALSE)</f>
      </c>
      <c r="X55" s="3"/>
      <c r="Y55" s="3"/>
      <c r="Z55" s="3"/>
      <c r="AA55" s="3"/>
    </row>
    <row r="56">
      <c r="A56" s="13" t="str">
        <v>站外</v>
      </c>
      <c r="B56" s="13" t="str">
        <v>AD信息流</v>
      </c>
      <c r="C56" s="3" t="str">
        <v>杭州宜格化妆品有限公司</v>
      </c>
      <c r="D56" s="3"/>
      <c r="E56" s="3"/>
      <c r="F56" s="3" t="str">
        <v>自投</v>
      </c>
      <c r="G56" s="13" t="str">
        <v>广东省广告集团股份有限公司</v>
      </c>
      <c r="H56" s="12"/>
      <c r="I56" s="3"/>
      <c r="J56" s="11">
        <f>VLOOKUP(K56,'Sheet5'!$J$3:$K$200,2,FALSE)</f>
      </c>
      <c r="K56" s="13" t="str">
        <v>1750901315529741</v>
      </c>
      <c r="L56" s="11"/>
      <c r="M56" s="11"/>
      <c r="N56" s="11" t="str">
        <v>否</v>
      </c>
      <c r="O56" s="3"/>
      <c r="P56" s="3" t="str">
        <v>否</v>
      </c>
      <c r="Q56" s="3" t="str">
        <v>否</v>
      </c>
      <c r="R56" s="3"/>
      <c r="S56" s="14">
        <f>VLOOKUP(B56,'Sheet9'!$B$2:$G$191,3,FALSE)</f>
      </c>
      <c r="T56" s="14">
        <f>VLOOKUP(B56,'Sheet9'!$B$2:$G$191,4,FALSE)</f>
      </c>
      <c r="U56" s="14">
        <f>VLOOKUP(B56,'Sheet9'!$B$2:$G$191,5,FALSE)</f>
      </c>
      <c r="V56" s="14" t="str">
        <v>推广中心组</v>
      </c>
      <c r="W56" s="3">
        <f>VLOOKUP(K56,'Sheet11'!$X$2:$AH$279,11,FALSE)</f>
      </c>
      <c r="X56" s="3"/>
      <c r="Y56" s="3"/>
      <c r="Z56" s="3"/>
      <c r="AA56" s="3"/>
    </row>
    <row r="57">
      <c r="A57" s="13" t="str">
        <v>站外</v>
      </c>
      <c r="B57" s="13" t="str">
        <v>AD信息流</v>
      </c>
      <c r="C57" s="3" t="str">
        <v>杭州宜格化妆品有限公司</v>
      </c>
      <c r="D57" s="3"/>
      <c r="E57" s="3"/>
      <c r="F57" s="3" t="str">
        <v>自投</v>
      </c>
      <c r="G57" s="13" t="str">
        <v>广东省广告集团股份有限公司</v>
      </c>
      <c r="H57" s="12"/>
      <c r="I57" s="3"/>
      <c r="J57" s="11">
        <f>VLOOKUP(K57,'Sheet5'!$J$3:$K$200,2,FALSE)</f>
      </c>
      <c r="K57" s="13" t="str">
        <v>1752335655402510</v>
      </c>
      <c r="L57" s="11"/>
      <c r="M57" s="11"/>
      <c r="N57" s="11" t="str">
        <v>否</v>
      </c>
      <c r="O57" s="3"/>
      <c r="P57" s="3" t="str">
        <v>否</v>
      </c>
      <c r="Q57" s="3" t="str">
        <v>否</v>
      </c>
      <c r="R57" s="3"/>
      <c r="S57" s="14">
        <f>VLOOKUP(B57,'Sheet9'!$B$2:$G$191,3,FALSE)</f>
      </c>
      <c r="T57" s="14">
        <f>VLOOKUP(B57,'Sheet9'!$B$2:$G$191,4,FALSE)</f>
      </c>
      <c r="U57" s="14">
        <f>VLOOKUP(B57,'Sheet9'!$B$2:$G$191,5,FALSE)</f>
      </c>
      <c r="V57" s="14" t="str">
        <v>推广中心组</v>
      </c>
      <c r="W57" s="3">
        <f>VLOOKUP(K57,'Sheet11'!$X$2:$AH$279,11,FALSE)</f>
      </c>
      <c r="X57" s="3"/>
      <c r="Y57" s="3"/>
      <c r="Z57" s="3"/>
      <c r="AA57" s="3"/>
    </row>
    <row r="58">
      <c r="A58" s="13" t="str">
        <v>站外</v>
      </c>
      <c r="B58" s="13" t="str">
        <v>AD信息流</v>
      </c>
      <c r="C58" s="3" t="str">
        <v>杭州宜格化妆品有限公司</v>
      </c>
      <c r="D58" s="3"/>
      <c r="E58" s="3"/>
      <c r="F58" s="3" t="str">
        <v>自投</v>
      </c>
      <c r="G58" s="13" t="str">
        <v>广东省广告集团股份有限公司</v>
      </c>
      <c r="H58" s="12"/>
      <c r="I58" s="3"/>
      <c r="J58" s="11">
        <f>VLOOKUP(K58,'Sheet5'!$J$3:$K$200,2,FALSE)</f>
      </c>
      <c r="K58" s="13" t="str">
        <v>1752335657794574</v>
      </c>
      <c r="L58" s="11"/>
      <c r="M58" s="11"/>
      <c r="N58" s="11" t="str">
        <v>否</v>
      </c>
      <c r="O58" s="3"/>
      <c r="P58" s="3" t="str">
        <v>否</v>
      </c>
      <c r="Q58" s="3" t="str">
        <v>否</v>
      </c>
      <c r="R58" s="3"/>
      <c r="S58" s="14">
        <f>VLOOKUP(B58,'Sheet9'!$B$2:$G$191,3,FALSE)</f>
      </c>
      <c r="T58" s="14">
        <f>VLOOKUP(B58,'Sheet9'!$B$2:$G$191,4,FALSE)</f>
      </c>
      <c r="U58" s="14">
        <f>VLOOKUP(B58,'Sheet9'!$B$2:$G$191,5,FALSE)</f>
      </c>
      <c r="V58" s="14" t="str">
        <v>推广中心组</v>
      </c>
      <c r="W58" s="3">
        <f>VLOOKUP(K58,'Sheet11'!$X$2:$AH$279,11,FALSE)</f>
      </c>
      <c r="X58" s="3"/>
      <c r="Y58" s="3"/>
      <c r="Z58" s="3"/>
      <c r="AA58" s="3"/>
    </row>
    <row r="59">
      <c r="A59" s="13" t="str">
        <v>站外</v>
      </c>
      <c r="B59" s="13" t="str">
        <v>AD信息流</v>
      </c>
      <c r="C59" s="3" t="str">
        <v>杭州宜格化妆品有限公司</v>
      </c>
      <c r="D59" s="3"/>
      <c r="E59" s="3"/>
      <c r="F59" s="3" t="str">
        <v>自投</v>
      </c>
      <c r="G59" s="13" t="str">
        <v>广东省广告集团股份有限公司</v>
      </c>
      <c r="H59" s="12"/>
      <c r="I59" s="3"/>
      <c r="J59" s="11">
        <f>VLOOKUP(K59,'Sheet5'!$J$3:$K$200,2,FALSE)</f>
      </c>
      <c r="K59" s="13" t="str">
        <v>1761603636183048</v>
      </c>
      <c r="L59" s="11"/>
      <c r="M59" s="11"/>
      <c r="N59" s="11" t="str">
        <v>否</v>
      </c>
      <c r="O59" s="3"/>
      <c r="P59" s="3" t="str">
        <v>否</v>
      </c>
      <c r="Q59" s="3" t="str">
        <v>否</v>
      </c>
      <c r="R59" s="3"/>
      <c r="S59" s="14">
        <f>VLOOKUP(B59,'Sheet9'!$B$2:$G$191,3,FALSE)</f>
      </c>
      <c r="T59" s="14">
        <f>VLOOKUP(B59,'Sheet9'!$B$2:$G$191,4,FALSE)</f>
      </c>
      <c r="U59" s="14">
        <f>VLOOKUP(B59,'Sheet9'!$B$2:$G$191,5,FALSE)</f>
      </c>
      <c r="V59" s="14" t="str">
        <v>推广中心组</v>
      </c>
      <c r="W59" s="3">
        <f>VLOOKUP(K59,'Sheet11'!$X$2:$AH$279,11,FALSE)</f>
      </c>
      <c r="X59" s="3"/>
      <c r="Y59" s="3"/>
      <c r="Z59" s="3"/>
      <c r="AA59" s="3"/>
    </row>
    <row r="60">
      <c r="A60" s="13" t="str">
        <v>站外</v>
      </c>
      <c r="B60" s="13" t="str">
        <v>AD信息流</v>
      </c>
      <c r="C60" s="3" t="str">
        <v>杭州宜格化妆品有限公司</v>
      </c>
      <c r="D60" s="3"/>
      <c r="E60" s="3"/>
      <c r="F60" s="3" t="str">
        <v>自投</v>
      </c>
      <c r="G60" s="13" t="str">
        <v>广东省广告集团股份有限公司</v>
      </c>
      <c r="H60" s="12"/>
      <c r="I60" s="3"/>
      <c r="J60" s="11">
        <f>VLOOKUP(K60,'Sheet5'!$J$3:$K$200,2,FALSE)</f>
      </c>
      <c r="K60" s="13" t="str">
        <v>1758638397286413</v>
      </c>
      <c r="L60" s="11"/>
      <c r="M60" s="11"/>
      <c r="N60" s="11" t="str">
        <v>否</v>
      </c>
      <c r="O60" s="3"/>
      <c r="P60" s="3" t="str">
        <v>否</v>
      </c>
      <c r="Q60" s="3" t="str">
        <v>否</v>
      </c>
      <c r="R60" s="3"/>
      <c r="S60" s="14">
        <f>VLOOKUP(B60,'Sheet9'!$B$2:$G$191,3,FALSE)</f>
      </c>
      <c r="T60" s="14">
        <f>VLOOKUP(B60,'Sheet9'!$B$2:$G$191,4,FALSE)</f>
      </c>
      <c r="U60" s="14">
        <f>VLOOKUP(B60,'Sheet9'!$B$2:$G$191,5,FALSE)</f>
      </c>
      <c r="V60" s="14" t="str">
        <v>推广中心组</v>
      </c>
      <c r="W60" s="3">
        <f>VLOOKUP(K60,'Sheet11'!$X$2:$AH$279,11,FALSE)</f>
      </c>
      <c r="X60" s="3"/>
      <c r="Y60" s="3"/>
      <c r="Z60" s="3"/>
      <c r="AA60" s="3"/>
    </row>
    <row r="61">
      <c r="A61" s="13" t="str">
        <v>站外</v>
      </c>
      <c r="B61" s="13" t="str">
        <v>AD信息流</v>
      </c>
      <c r="C61" s="3" t="str">
        <v>杭州宜格化妆品有限公司</v>
      </c>
      <c r="D61" s="3"/>
      <c r="E61" s="3"/>
      <c r="F61" s="3" t="str">
        <v>自投</v>
      </c>
      <c r="G61" s="13" t="str">
        <v>广东省广告集团股份有限公司</v>
      </c>
      <c r="H61" s="12"/>
      <c r="I61" s="3"/>
      <c r="J61" s="11">
        <f>VLOOKUP(K61,'Sheet5'!$J$3:$K$200,2,FALSE)</f>
      </c>
      <c r="K61" s="13" t="str">
        <v>1731500988171336</v>
      </c>
      <c r="L61" s="11"/>
      <c r="M61" s="11"/>
      <c r="N61" s="11" t="str">
        <v>否</v>
      </c>
      <c r="O61" s="3"/>
      <c r="P61" s="3" t="str">
        <v>否</v>
      </c>
      <c r="Q61" s="3" t="str">
        <v>否</v>
      </c>
      <c r="R61" s="3"/>
      <c r="S61" s="14">
        <f>VLOOKUP(B61,'Sheet9'!$B$2:$G$191,3,FALSE)</f>
      </c>
      <c r="T61" s="14">
        <f>VLOOKUP(B61,'Sheet9'!$B$2:$G$191,4,FALSE)</f>
      </c>
      <c r="U61" s="14">
        <f>VLOOKUP(B61,'Sheet9'!$B$2:$G$191,5,FALSE)</f>
      </c>
      <c r="V61" s="14" t="str">
        <v>推广中心组</v>
      </c>
      <c r="W61" s="3">
        <f>VLOOKUP(K61,'Sheet11'!$X$2:$AH$279,11,FALSE)</f>
      </c>
      <c r="X61" s="3"/>
      <c r="Y61" s="3"/>
      <c r="Z61" s="3"/>
      <c r="AA61" s="3"/>
    </row>
    <row r="62">
      <c r="A62" s="13" t="str">
        <v>站外</v>
      </c>
      <c r="B62" s="13" t="str">
        <v>AD信息流</v>
      </c>
      <c r="C62" s="3" t="str">
        <v>杭州宜格化妆品有限公司</v>
      </c>
      <c r="D62" s="3"/>
      <c r="E62" s="3"/>
      <c r="F62" s="3" t="str">
        <v>自投</v>
      </c>
      <c r="G62" s="13" t="str">
        <v>广东省广告集团股份有限公司</v>
      </c>
      <c r="H62" s="12"/>
      <c r="I62" s="3"/>
      <c r="J62" s="11">
        <f>VLOOKUP(K62,'Sheet5'!$J$3:$K$200,2,FALSE)</f>
      </c>
      <c r="K62" s="13" t="str">
        <v>1728523273383949</v>
      </c>
      <c r="L62" s="11"/>
      <c r="M62" s="11"/>
      <c r="N62" s="11" t="str">
        <v>否</v>
      </c>
      <c r="O62" s="3"/>
      <c r="P62" s="3" t="str">
        <v>否</v>
      </c>
      <c r="Q62" s="3" t="str">
        <v>否</v>
      </c>
      <c r="R62" s="3"/>
      <c r="S62" s="14">
        <f>VLOOKUP(B62,'Sheet9'!$B$2:$G$191,3,FALSE)</f>
      </c>
      <c r="T62" s="14">
        <f>VLOOKUP(B62,'Sheet9'!$B$2:$G$191,4,FALSE)</f>
      </c>
      <c r="U62" s="14">
        <f>VLOOKUP(B62,'Sheet9'!$B$2:$G$191,5,FALSE)</f>
      </c>
      <c r="V62" s="14" t="str">
        <v>推广中心组</v>
      </c>
      <c r="W62" s="3">
        <f>VLOOKUP(K62,'Sheet11'!$X$2:$AH$279,11,FALSE)</f>
      </c>
      <c r="X62" s="3"/>
      <c r="Y62" s="3"/>
      <c r="Z62" s="3"/>
      <c r="AA62" s="3"/>
    </row>
    <row r="63">
      <c r="A63" s="13" t="str">
        <v>站外</v>
      </c>
      <c r="B63" s="13" t="str">
        <v>AD信息流</v>
      </c>
      <c r="C63" s="3" t="str">
        <v>杭州宜格化妆品有限公司</v>
      </c>
      <c r="D63" s="3"/>
      <c r="E63" s="3"/>
      <c r="F63" s="3" t="str">
        <v>自投</v>
      </c>
      <c r="G63" s="13" t="str">
        <v>广东省广告集团股份有限公司</v>
      </c>
      <c r="H63" s="12"/>
      <c r="I63" s="3"/>
      <c r="J63" s="11">
        <f>VLOOKUP(K63,'Sheet5'!$J$3:$K$200,2,FALSE)</f>
      </c>
      <c r="K63" s="13" t="str">
        <v>1728523268627592</v>
      </c>
      <c r="L63" s="11"/>
      <c r="M63" s="11"/>
      <c r="N63" s="11" t="str">
        <v>否</v>
      </c>
      <c r="O63" s="3"/>
      <c r="P63" s="3" t="str">
        <v>否</v>
      </c>
      <c r="Q63" s="3" t="str">
        <v>否</v>
      </c>
      <c r="R63" s="3"/>
      <c r="S63" s="14">
        <f>VLOOKUP(B63,'Sheet9'!$B$2:$G$191,3,FALSE)</f>
      </c>
      <c r="T63" s="14">
        <f>VLOOKUP(B63,'Sheet9'!$B$2:$G$191,4,FALSE)</f>
      </c>
      <c r="U63" s="14">
        <f>VLOOKUP(B63,'Sheet9'!$B$2:$G$191,5,FALSE)</f>
      </c>
      <c r="V63" s="14" t="str">
        <v>推广中心组</v>
      </c>
      <c r="W63" s="3">
        <f>VLOOKUP(K63,'Sheet11'!$X$2:$AH$279,11,FALSE)</f>
      </c>
      <c r="X63" s="3"/>
      <c r="Y63" s="3"/>
      <c r="Z63" s="3"/>
      <c r="AA63" s="3"/>
    </row>
    <row r="64">
      <c r="A64" s="13" t="str">
        <v>站外</v>
      </c>
      <c r="B64" s="13" t="str">
        <v>AD信息流</v>
      </c>
      <c r="C64" s="3" t="str">
        <v>杭州宜格化妆品有限公司</v>
      </c>
      <c r="D64" s="3"/>
      <c r="E64" s="3"/>
      <c r="F64" s="3" t="str">
        <v>自投</v>
      </c>
      <c r="G64" s="13" t="str">
        <v>广东省广告集团股份有限公司</v>
      </c>
      <c r="H64" s="12"/>
      <c r="I64" s="3"/>
      <c r="J64" s="11">
        <f>VLOOKUP(K64,'Sheet5'!$J$3:$K$200,2,FALSE)</f>
      </c>
      <c r="K64" s="13" t="str">
        <v>1731351048920072</v>
      </c>
      <c r="L64" s="11"/>
      <c r="M64" s="11"/>
      <c r="N64" s="11" t="str">
        <v>否</v>
      </c>
      <c r="O64" s="3"/>
      <c r="P64" s="3" t="str">
        <v>否</v>
      </c>
      <c r="Q64" s="3" t="str">
        <v>否</v>
      </c>
      <c r="R64" s="3"/>
      <c r="S64" s="14">
        <f>VLOOKUP(B64,'Sheet9'!$B$2:$G$191,3,FALSE)</f>
      </c>
      <c r="T64" s="14">
        <f>VLOOKUP(B64,'Sheet9'!$B$2:$G$191,4,FALSE)</f>
      </c>
      <c r="U64" s="14">
        <f>VLOOKUP(B64,'Sheet9'!$B$2:$G$191,5,FALSE)</f>
      </c>
      <c r="V64" s="14" t="str">
        <v>推广中心组</v>
      </c>
      <c r="W64" s="3">
        <f>VLOOKUP(K64,'Sheet11'!$X$2:$AH$279,11,FALSE)</f>
      </c>
      <c r="X64" s="3"/>
      <c r="Y64" s="3"/>
      <c r="Z64" s="3"/>
      <c r="AA64" s="3"/>
    </row>
    <row r="65">
      <c r="A65" s="13" t="str">
        <v>站外</v>
      </c>
      <c r="B65" s="13" t="str">
        <v>AD信息流</v>
      </c>
      <c r="C65" s="3" t="str">
        <v>杭州宜格化妆品有限公司</v>
      </c>
      <c r="D65" s="3"/>
      <c r="E65" s="3"/>
      <c r="F65" s="3" t="str">
        <v>自投</v>
      </c>
      <c r="G65" s="13" t="str">
        <v>广东省广告集团股份有限公司</v>
      </c>
      <c r="H65" s="12"/>
      <c r="I65" s="3"/>
      <c r="J65" s="11">
        <f>VLOOKUP(K65,'Sheet5'!$J$3:$K$200,2,FALSE)</f>
      </c>
      <c r="K65" s="13" t="str">
        <v>1735143036523527</v>
      </c>
      <c r="L65" s="11"/>
      <c r="M65" s="11"/>
      <c r="N65" s="11" t="str">
        <v>否</v>
      </c>
      <c r="O65" s="3"/>
      <c r="P65" s="3" t="str">
        <v>否</v>
      </c>
      <c r="Q65" s="3" t="str">
        <v>否</v>
      </c>
      <c r="R65" s="3"/>
      <c r="S65" s="14">
        <f>VLOOKUP(B65,'Sheet9'!$B$2:$G$191,3,FALSE)</f>
      </c>
      <c r="T65" s="14">
        <f>VLOOKUP(B65,'Sheet9'!$B$2:$G$191,4,FALSE)</f>
      </c>
      <c r="U65" s="14">
        <f>VLOOKUP(B65,'Sheet9'!$B$2:$G$191,5,FALSE)</f>
      </c>
      <c r="V65" s="14" t="str">
        <v>推广中心组</v>
      </c>
      <c r="W65" s="3">
        <f>VLOOKUP(K65,'Sheet11'!$X$2:$AH$279,11,FALSE)</f>
      </c>
      <c r="X65" s="3"/>
      <c r="Y65" s="3"/>
      <c r="Z65" s="3"/>
      <c r="AA65" s="3"/>
    </row>
    <row r="66">
      <c r="A66" s="13" t="str">
        <v>站外</v>
      </c>
      <c r="B66" s="13" t="str">
        <v>AD信息流</v>
      </c>
      <c r="C66" s="3" t="str">
        <v>杭州宜格化妆品有限公司</v>
      </c>
      <c r="D66" s="3"/>
      <c r="E66" s="3"/>
      <c r="F66" s="3" t="str">
        <v>自投</v>
      </c>
      <c r="G66" s="13" t="str">
        <v>广东省广告集团股份有限公司</v>
      </c>
      <c r="H66" s="12"/>
      <c r="I66" s="3"/>
      <c r="J66" s="11">
        <f>VLOOKUP(K66,'Sheet5'!$J$3:$K$200,2,FALSE)</f>
      </c>
      <c r="K66" s="13" t="str">
        <v>1750901314800648</v>
      </c>
      <c r="L66" s="11"/>
      <c r="M66" s="11"/>
      <c r="N66" s="11" t="str">
        <v>否</v>
      </c>
      <c r="O66" s="3"/>
      <c r="P66" s="3" t="str">
        <v>否</v>
      </c>
      <c r="Q66" s="3" t="str">
        <v>否</v>
      </c>
      <c r="R66" s="3"/>
      <c r="S66" s="14">
        <f>VLOOKUP(B66,'Sheet9'!$B$2:$G$191,3,FALSE)</f>
      </c>
      <c r="T66" s="14">
        <f>VLOOKUP(B66,'Sheet9'!$B$2:$G$191,4,FALSE)</f>
      </c>
      <c r="U66" s="14">
        <f>VLOOKUP(B66,'Sheet9'!$B$2:$G$191,5,FALSE)</f>
      </c>
      <c r="V66" s="14" t="str">
        <v>推广中心组</v>
      </c>
      <c r="W66" s="3">
        <f>VLOOKUP(K66,'Sheet11'!$X$2:$AH$279,11,FALSE)</f>
      </c>
      <c r="X66" s="3"/>
      <c r="Y66" s="3"/>
      <c r="Z66" s="3"/>
      <c r="AA66" s="3"/>
    </row>
    <row r="67">
      <c r="A67" s="13" t="str">
        <v>站外</v>
      </c>
      <c r="B67" s="13" t="str">
        <v>AD信息流</v>
      </c>
      <c r="C67" s="3" t="str">
        <v>杭州宜格化妆品有限公司</v>
      </c>
      <c r="D67" s="3"/>
      <c r="E67" s="3"/>
      <c r="F67" s="3" t="str">
        <v>自投</v>
      </c>
      <c r="G67" s="13" t="str">
        <v>广东省广告集团股份有限公司</v>
      </c>
      <c r="H67" s="12"/>
      <c r="I67" s="3"/>
      <c r="J67" s="11">
        <f>VLOOKUP(K67,'Sheet5'!$J$3:$K$200,2,FALSE)</f>
      </c>
      <c r="K67" s="13" t="str">
        <v>1735143038500877</v>
      </c>
      <c r="L67" s="11"/>
      <c r="M67" s="11"/>
      <c r="N67" s="11" t="str">
        <v>否</v>
      </c>
      <c r="O67" s="3"/>
      <c r="P67" s="3" t="str">
        <v>否</v>
      </c>
      <c r="Q67" s="3" t="str">
        <v>否</v>
      </c>
      <c r="R67" s="3"/>
      <c r="S67" s="14">
        <f>VLOOKUP(B67,'Sheet9'!$B$2:$G$191,3,FALSE)</f>
      </c>
      <c r="T67" s="14">
        <f>VLOOKUP(B67,'Sheet9'!$B$2:$G$191,4,FALSE)</f>
      </c>
      <c r="U67" s="14">
        <f>VLOOKUP(B67,'Sheet9'!$B$2:$G$191,5,FALSE)</f>
      </c>
      <c r="V67" s="14" t="str">
        <v>推广中心组</v>
      </c>
      <c r="W67" s="3">
        <f>VLOOKUP(K67,'Sheet11'!$X$2:$AH$279,11,FALSE)</f>
      </c>
      <c r="X67" s="3"/>
      <c r="Y67" s="3"/>
      <c r="Z67" s="3"/>
      <c r="AA67" s="3"/>
    </row>
    <row r="68">
      <c r="A68" s="13" t="str">
        <v>站外</v>
      </c>
      <c r="B68" s="13" t="str">
        <v>AD信息流</v>
      </c>
      <c r="C68" s="3" t="str">
        <v>杭州宜格化妆品有限公司</v>
      </c>
      <c r="D68" s="3"/>
      <c r="E68" s="3"/>
      <c r="F68" s="3" t="str">
        <v>自投</v>
      </c>
      <c r="G68" s="13" t="str">
        <v>广东省广告集团股份有限公司</v>
      </c>
      <c r="H68" s="12"/>
      <c r="I68" s="3"/>
      <c r="J68" s="11">
        <f>VLOOKUP(K68,'Sheet5'!$J$3:$K$200,2,FALSE)</f>
      </c>
      <c r="K68" s="13" t="str">
        <v>1758638395143181</v>
      </c>
      <c r="L68" s="11"/>
      <c r="M68" s="11"/>
      <c r="N68" s="11" t="str">
        <v>否</v>
      </c>
      <c r="O68" s="3"/>
      <c r="P68" s="3" t="str">
        <v>否</v>
      </c>
      <c r="Q68" s="3" t="str">
        <v>否</v>
      </c>
      <c r="R68" s="3"/>
      <c r="S68" s="14">
        <f>VLOOKUP(B68,'Sheet9'!$B$2:$G$191,3,FALSE)</f>
      </c>
      <c r="T68" s="14">
        <f>VLOOKUP(B68,'Sheet9'!$B$2:$G$191,4,FALSE)</f>
      </c>
      <c r="U68" s="14">
        <f>VLOOKUP(B68,'Sheet9'!$B$2:$G$191,5,FALSE)</f>
      </c>
      <c r="V68" s="14" t="str">
        <v>推广中心组</v>
      </c>
      <c r="W68" s="3">
        <f>VLOOKUP(K68,'Sheet11'!$X$2:$AH$279,11,FALSE)</f>
      </c>
      <c r="X68" s="3"/>
      <c r="Y68" s="3"/>
      <c r="Z68" s="3"/>
      <c r="AA68" s="3"/>
    </row>
    <row r="69">
      <c r="A69" s="13" t="str">
        <v>站外</v>
      </c>
      <c r="B69" s="13" t="str">
        <v>千川信息流</v>
      </c>
      <c r="C69" s="3" t="str">
        <v>杭州宜格化妆品有限公司</v>
      </c>
      <c r="D69" s="15"/>
      <c r="E69" s="3"/>
      <c r="F69" s="3" t="str">
        <v>自投</v>
      </c>
      <c r="G69" s="13" t="str">
        <v>广东省广告集团股份有限公司</v>
      </c>
      <c r="H69" s="12"/>
      <c r="I69" s="3"/>
      <c r="J69" s="11">
        <f>VLOOKUP(K69,'Sheet5'!$J$3:$K$200,2,FALSE)</f>
      </c>
      <c r="K69" s="13" t="str">
        <v>1727435690629127</v>
      </c>
      <c r="L69" s="11"/>
      <c r="M69" s="11"/>
      <c r="N69" s="11" t="str">
        <v>否</v>
      </c>
      <c r="O69" s="3"/>
      <c r="P69" s="3"/>
      <c r="Q69" s="3"/>
      <c r="R69" s="3"/>
      <c r="S69" s="3">
        <f>VLOOKUP(B69,'Sheet9'!$B$2:$G$191,3,FALSE)</f>
      </c>
      <c r="T69" s="3">
        <f>VLOOKUP(B69,'Sheet9'!$B$2:$G$191,4,FALSE)</f>
      </c>
      <c r="U69" s="3">
        <f>VLOOKUP(B69,'Sheet9'!$B$2:$G$191,5,FALSE)</f>
      </c>
      <c r="V69" s="3" t="str">
        <v>抖音推广部</v>
      </c>
      <c r="W69" s="3" t="str">
        <v>兴泉（韩兴泉）、流沙（俞君珠）、奶茶（唐丽）、榴莲（管晓辉）、三喜（王思雨）、白龙（樊苏北）</v>
      </c>
      <c r="X69" s="22"/>
      <c r="Y69" s="3"/>
      <c r="Z69" s="3"/>
      <c r="AA69" s="3"/>
    </row>
    <row r="70">
      <c r="A70" s="13" t="str">
        <v>站外</v>
      </c>
      <c r="B70" s="36" t="str">
        <v>矩阵号千川信息流</v>
      </c>
      <c r="C70" s="3" t="str">
        <v>杭州宜格化妆品有限公司</v>
      </c>
      <c r="D70" s="15"/>
      <c r="E70" s="3"/>
      <c r="F70" s="3" t="str">
        <v>自投</v>
      </c>
      <c r="G70" s="13" t="str">
        <v>广东省广告集团股份有限公司</v>
      </c>
      <c r="H70" s="12"/>
      <c r="I70" s="3"/>
      <c r="J70" s="11">
        <f>VLOOKUP(K70,'Sheet5'!$J$3:$K$200,2,FALSE)</f>
      </c>
      <c r="K70" s="13" t="str">
        <v>1747734628974605</v>
      </c>
      <c r="L70" s="11"/>
      <c r="M70" s="11"/>
      <c r="N70" s="11" t="str">
        <v>否</v>
      </c>
      <c r="O70" s="3"/>
      <c r="P70" s="3"/>
      <c r="Q70" s="3"/>
      <c r="R70" s="3"/>
      <c r="S70" s="3">
        <f>VLOOKUP(B70,'Sheet9'!$B$2:$G$191,3,FALSE)</f>
      </c>
      <c r="T70" s="3">
        <f>VLOOKUP(B70,'Sheet9'!$B$2:$G$191,4,FALSE)</f>
      </c>
      <c r="U70" s="3">
        <f>VLOOKUP(B70,'Sheet9'!$B$2:$G$191,5,FALSE)</f>
      </c>
      <c r="V70" s="3" t="str">
        <v>矩阵运营部</v>
      </c>
      <c r="W70" s="3" t="str">
        <v>兴泉（韩兴泉）、可乐（周许颖）、意琳（肖意琳）、皮卡（王岑）</v>
      </c>
      <c r="X70" s="22"/>
      <c r="Y70" s="3"/>
      <c r="Z70" s="3"/>
      <c r="AA70" s="3"/>
    </row>
    <row r="71">
      <c r="A71" s="16" t="str">
        <v>站外</v>
      </c>
      <c r="B71" s="13" t="str">
        <v>小红书加热</v>
      </c>
      <c r="C71" s="3" t="str">
        <v>杭州宜格化妆品有限公司</v>
      </c>
      <c r="D71" s="15"/>
      <c r="E71" s="16" t="str">
        <v>小红书(TFPT08)</v>
      </c>
      <c r="F71" s="16" t="str">
        <v>自投</v>
      </c>
      <c r="G71" s="16" t="str">
        <v>上海博观瑞思传媒科技有限公司(VEN02000)</v>
      </c>
      <c r="H71" s="12"/>
      <c r="I71" s="3"/>
      <c r="J71" s="16" t="str">
        <v>博观-花西子-3</v>
      </c>
      <c r="K71" s="16">
        <v>307497</v>
      </c>
      <c r="L71" s="11"/>
      <c r="M71" s="11"/>
      <c r="N71" s="11"/>
      <c r="O71" s="3"/>
      <c r="P71" s="16"/>
      <c r="Q71" s="16"/>
      <c r="R71" s="16" t="str">
        <v>否</v>
      </c>
      <c r="S71" s="3">
        <f>VLOOKUP(B71,'Sheet9'!$B$2:$G$191,3,FALSE)</f>
      </c>
      <c r="T71" s="3">
        <f>VLOOKUP(B71,'Sheet9'!$B$2:$G$191,4,FALSE)</f>
      </c>
      <c r="U71" s="3">
        <f>VLOOKUP(B71,'Sheet9'!$B$2:$G$191,5,FALSE)</f>
      </c>
      <c r="V71" s="3" t="str">
        <v>内容投放组</v>
      </c>
      <c r="W71" s="3">
        <f>VLOOKUP(K71,'Sheet11'!$X$2:$AH$279,11,FALSE)</f>
      </c>
      <c r="X71" s="3"/>
      <c r="Y71" s="3"/>
      <c r="Z71" s="3"/>
      <c r="AA71" s="3"/>
    </row>
    <row r="72">
      <c r="A72" s="16" t="str">
        <v>站外</v>
      </c>
      <c r="B72" s="13" t="str">
        <v>小红书加热</v>
      </c>
      <c r="C72" s="3" t="str">
        <v>杭州宜格化妆品有限公司</v>
      </c>
      <c r="D72" s="15"/>
      <c r="E72" s="16" t="str">
        <v>小红书(TFPT08)</v>
      </c>
      <c r="F72" s="16" t="str">
        <v>自投</v>
      </c>
      <c r="G72" s="16" t="str">
        <v>上海剧星传媒股份有限公司(VEN00363)</v>
      </c>
      <c r="H72" s="12"/>
      <c r="I72" s="3"/>
      <c r="J72" s="16" t="str">
        <v>剧星小红书投放账户</v>
      </c>
      <c r="K72" s="16" t="s">
        <v>17</v>
      </c>
      <c r="L72" s="11"/>
      <c r="M72" s="11"/>
      <c r="N72" s="11"/>
      <c r="O72" s="3"/>
      <c r="P72" s="16"/>
      <c r="Q72" s="16"/>
      <c r="R72" s="16" t="str">
        <v>否</v>
      </c>
      <c r="S72" s="3">
        <f>VLOOKUP(B72,'Sheet9'!$B$2:$G$191,3,FALSE)</f>
      </c>
      <c r="T72" s="3">
        <f>VLOOKUP(B72,'Sheet9'!$B$2:$G$191,4,FALSE)</f>
      </c>
      <c r="U72" s="3">
        <f>VLOOKUP(B72,'Sheet9'!$B$2:$G$191,5,FALSE)</f>
      </c>
      <c r="V72" s="3" t="str">
        <v>内容投放组</v>
      </c>
      <c r="W72" s="3">
        <f>VLOOKUP(K72,'Sheet11'!$X$2:$AH$279,11,FALSE)</f>
      </c>
      <c r="X72" s="3"/>
      <c r="Y72" s="3"/>
      <c r="Z72" s="3"/>
      <c r="AA72" s="3"/>
    </row>
    <row r="73">
      <c r="A73" s="16" t="str">
        <v>站外</v>
      </c>
      <c r="B73" s="13" t="str">
        <v>小红书加热</v>
      </c>
      <c r="C73" s="3" t="str">
        <v>杭州宜格化妆品有限公司</v>
      </c>
      <c r="D73" s="15"/>
      <c r="E73" s="16" t="str">
        <v>小红书(TFPT08)</v>
      </c>
      <c r="F73" s="16" t="str">
        <v>代投</v>
      </c>
      <c r="G73" s="16" t="str">
        <v>上海博观瑞思传媒科技有限公司(VEN02000)</v>
      </c>
      <c r="H73" s="12"/>
      <c r="I73" s="3"/>
      <c r="J73" s="16" t="str">
        <v>博观-花西子</v>
      </c>
      <c r="K73" s="16">
        <v>263697</v>
      </c>
      <c r="L73" s="11"/>
      <c r="M73" s="11"/>
      <c r="N73" s="11"/>
      <c r="O73" s="3"/>
      <c r="P73" s="16"/>
      <c r="Q73" s="16"/>
      <c r="R73" s="16" t="str">
        <v>否</v>
      </c>
      <c r="S73" s="3">
        <f>VLOOKUP(B73,'Sheet9'!$B$2:$G$191,3,FALSE)</f>
      </c>
      <c r="T73" s="3">
        <f>VLOOKUP(B73,'Sheet9'!$B$2:$G$191,4,FALSE)</f>
      </c>
      <c r="U73" s="3">
        <f>VLOOKUP(B73,'Sheet9'!$B$2:$G$191,5,FALSE)</f>
      </c>
      <c r="V73" s="3" t="str">
        <v>内容投放组</v>
      </c>
      <c r="W73" s="3">
        <f>VLOOKUP(K73,'Sheet11'!$X$2:$AH$279,11,FALSE)</f>
      </c>
      <c r="X73" s="3"/>
      <c r="Y73" s="3"/>
      <c r="Z73" s="3"/>
      <c r="AA73" s="3"/>
    </row>
    <row r="74">
      <c r="A74" s="13" t="str">
        <v>站外</v>
      </c>
      <c r="B74" s="3" t="str">
        <v>磁力金牛</v>
      </c>
      <c r="C74" s="3" t="str">
        <v>杭州宜格化妆品有限公司</v>
      </c>
      <c r="D74" s="15"/>
      <c r="E74" s="3"/>
      <c r="F74" s="3" t="str">
        <v>自投</v>
      </c>
      <c r="G74" s="50" t="str">
        <v>北京起量文化传媒有限公司</v>
      </c>
      <c r="H74" s="12"/>
      <c r="I74" s="3"/>
      <c r="J74" s="11">
        <f>VLOOKUP(K74,'Sheet5'!$J$3:$K$200,2,FALSE)</f>
      </c>
      <c r="K74" s="3">
        <v>17230613</v>
      </c>
      <c r="L74" s="11"/>
      <c r="M74" s="11"/>
      <c r="N74" s="11" t="str">
        <v>否</v>
      </c>
      <c r="O74" s="3"/>
      <c r="P74" s="3"/>
      <c r="Q74" s="3"/>
      <c r="R74" s="3"/>
      <c r="S74" s="14">
        <f>VLOOKUP(B74,'Sheet9'!$B$2:$G$191,3,FALSE)</f>
      </c>
      <c r="T74" s="38" t="str">
        <v>快手部</v>
      </c>
      <c r="U74" s="38" t="str">
        <v>快手运营推广部</v>
      </c>
      <c r="V74" s="14"/>
      <c r="W74" s="3">
        <f>VLOOKUP(K74,'Sheet11'!$X$2:$AH$279,11,FALSE)</f>
      </c>
      <c r="X74" s="3"/>
      <c r="Y74" s="3"/>
      <c r="Z74" s="3"/>
      <c r="AA74" s="3"/>
    </row>
    <row r="75">
      <c r="A75" s="13" t="str">
        <v>站外</v>
      </c>
      <c r="B75" s="13" t="str">
        <v>AD信息流</v>
      </c>
      <c r="C75" s="3" t="str">
        <v>杭州宜格化妆品有限公司</v>
      </c>
      <c r="D75" s="3"/>
      <c r="E75" s="3"/>
      <c r="F75" s="3" t="str">
        <v>自投</v>
      </c>
      <c r="G75" s="13" t="str">
        <v>群邑（上海）广告有限公司</v>
      </c>
      <c r="H75" s="12"/>
      <c r="I75" s="3"/>
      <c r="J75" s="11">
        <f>VLOOKUP(K75,'Sheet5'!$J$3:$K$200,2,FALSE)</f>
      </c>
      <c r="K75" s="13" t="str">
        <v>1754167001896968</v>
      </c>
      <c r="L75" s="11"/>
      <c r="M75" s="11"/>
      <c r="N75" s="11" t="str">
        <v>否</v>
      </c>
      <c r="O75" s="3"/>
      <c r="P75" s="3" t="str">
        <v>否</v>
      </c>
      <c r="Q75" s="3" t="str">
        <v>否</v>
      </c>
      <c r="R75" s="3"/>
      <c r="S75" s="14">
        <f>VLOOKUP(B75,'Sheet9'!$B$2:$G$191,3,FALSE)</f>
      </c>
      <c r="T75" s="14">
        <f>VLOOKUP(B75,'Sheet9'!$B$2:$G$191,4,FALSE)</f>
      </c>
      <c r="U75" s="14">
        <f>VLOOKUP(B75,'Sheet9'!$B$2:$G$191,5,FALSE)</f>
      </c>
      <c r="V75" s="14" t="str">
        <v>推广中心组</v>
      </c>
      <c r="W75" s="3">
        <f>VLOOKUP(K75,'Sheet11'!$X$2:$AH$279,11,FALSE)</f>
      </c>
      <c r="X75" s="3"/>
      <c r="Y75" s="3"/>
      <c r="Z75" s="3"/>
      <c r="AA75" s="3"/>
    </row>
    <row r="76">
      <c r="A76" s="13" t="str">
        <v>站外</v>
      </c>
      <c r="B76" s="13" t="str">
        <v>AD信息流</v>
      </c>
      <c r="C76" s="3" t="str">
        <v>杭州宜格化妆品有限公司</v>
      </c>
      <c r="D76" s="3"/>
      <c r="E76" s="3"/>
      <c r="F76" s="3" t="str">
        <v>自投</v>
      </c>
      <c r="G76" s="13" t="str">
        <v>群邑（上海）广告有限公司</v>
      </c>
      <c r="H76" s="12"/>
      <c r="I76" s="3"/>
      <c r="J76" s="11">
        <f>VLOOKUP(K76,'Sheet5'!$J$3:$K$200,2,FALSE)</f>
      </c>
      <c r="K76" s="13" t="str">
        <v>1744649914765325</v>
      </c>
      <c r="L76" s="11"/>
      <c r="M76" s="11"/>
      <c r="N76" s="11" t="str">
        <v>否</v>
      </c>
      <c r="O76" s="3"/>
      <c r="P76" s="3" t="str">
        <v>否</v>
      </c>
      <c r="Q76" s="3" t="str">
        <v>否</v>
      </c>
      <c r="R76" s="3"/>
      <c r="S76" s="14">
        <f>VLOOKUP(B76,'Sheet9'!$B$2:$G$191,3,FALSE)</f>
      </c>
      <c r="T76" s="14">
        <f>VLOOKUP(B76,'Sheet9'!$B$2:$G$191,4,FALSE)</f>
      </c>
      <c r="U76" s="14">
        <f>VLOOKUP(B76,'Sheet9'!$B$2:$G$191,5,FALSE)</f>
      </c>
      <c r="V76" s="14" t="str">
        <v>推广中心组</v>
      </c>
      <c r="W76" s="3">
        <f>VLOOKUP(K76,'Sheet11'!$X$2:$AH$279,11,FALSE)</f>
      </c>
      <c r="X76" s="3"/>
      <c r="Y76" s="3"/>
      <c r="Z76" s="3"/>
      <c r="AA76" s="3"/>
    </row>
    <row r="77">
      <c r="A77" s="13" t="str">
        <v>站外</v>
      </c>
      <c r="B77" s="13" t="str">
        <v>AD信息流</v>
      </c>
      <c r="C77" s="3" t="str">
        <v>杭州宜格化妆品有限公司</v>
      </c>
      <c r="D77" s="3"/>
      <c r="E77" s="3"/>
      <c r="F77" s="3" t="str">
        <v>自投</v>
      </c>
      <c r="G77" s="13" t="str">
        <v>群邑（上海）广告有限公司</v>
      </c>
      <c r="H77" s="12"/>
      <c r="I77" s="3"/>
      <c r="J77" s="11">
        <f>VLOOKUP(K77,'Sheet5'!$J$3:$K$200,2,FALSE)</f>
      </c>
      <c r="K77" s="13" t="str">
        <v>1754167001310215</v>
      </c>
      <c r="L77" s="11"/>
      <c r="M77" s="11"/>
      <c r="N77" s="11" t="str">
        <v>否</v>
      </c>
      <c r="O77" s="3"/>
      <c r="P77" s="3" t="str">
        <v>否</v>
      </c>
      <c r="Q77" s="3" t="str">
        <v>否</v>
      </c>
      <c r="R77" s="3"/>
      <c r="S77" s="14">
        <f>VLOOKUP(B77,'Sheet9'!$B$2:$G$191,3,FALSE)</f>
      </c>
      <c r="T77" s="14">
        <f>VLOOKUP(B77,'Sheet9'!$B$2:$G$191,4,FALSE)</f>
      </c>
      <c r="U77" s="14">
        <f>VLOOKUP(B77,'Sheet9'!$B$2:$G$191,5,FALSE)</f>
      </c>
      <c r="V77" s="14" t="str">
        <v>推广中心组</v>
      </c>
      <c r="W77" s="3">
        <f>VLOOKUP(K77,'Sheet11'!$X$2:$AH$279,11,FALSE)</f>
      </c>
      <c r="X77" s="3"/>
      <c r="Y77" s="3"/>
      <c r="Z77" s="3"/>
      <c r="AA77" s="3"/>
    </row>
    <row r="78">
      <c r="A78" s="13" t="str">
        <v>站外</v>
      </c>
      <c r="B78" s="13" t="str">
        <v>AD信息流</v>
      </c>
      <c r="C78" s="3" t="str">
        <v>杭州宜格化妆品有限公司</v>
      </c>
      <c r="D78" s="3"/>
      <c r="E78" s="3"/>
      <c r="F78" s="3" t="str">
        <v>自投</v>
      </c>
      <c r="G78" s="13" t="str">
        <v>群邑（上海）广告有限公司</v>
      </c>
      <c r="H78" s="12"/>
      <c r="I78" s="3"/>
      <c r="J78" s="11">
        <f>VLOOKUP(K78,'Sheet5'!$J$3:$K$200,2,FALSE)</f>
      </c>
      <c r="K78" s="13" t="str">
        <v>1761579156325383</v>
      </c>
      <c r="L78" s="11"/>
      <c r="M78" s="11"/>
      <c r="N78" s="11" t="str">
        <v>否</v>
      </c>
      <c r="O78" s="3"/>
      <c r="P78" s="3" t="str">
        <v>否</v>
      </c>
      <c r="Q78" s="3" t="str">
        <v>否</v>
      </c>
      <c r="R78" s="3"/>
      <c r="S78" s="14">
        <f>VLOOKUP(B78,'Sheet9'!$B$2:$G$191,3,FALSE)</f>
      </c>
      <c r="T78" s="14">
        <f>VLOOKUP(B78,'Sheet9'!$B$2:$G$191,4,FALSE)</f>
      </c>
      <c r="U78" s="14">
        <f>VLOOKUP(B78,'Sheet9'!$B$2:$G$191,5,FALSE)</f>
      </c>
      <c r="V78" s="14" t="str">
        <v>推广中心组</v>
      </c>
      <c r="W78" s="3">
        <f>VLOOKUP(K78,'Sheet11'!$X$2:$AH$279,11,FALSE)</f>
      </c>
      <c r="X78" s="3"/>
      <c r="Y78" s="3"/>
      <c r="Z78" s="3"/>
      <c r="AA78" s="3"/>
    </row>
    <row r="79">
      <c r="A79" s="13" t="str">
        <v>站外</v>
      </c>
      <c r="B79" s="13" t="str">
        <v>AD信息流</v>
      </c>
      <c r="C79" s="3" t="str">
        <v>杭州宜格化妆品有限公司</v>
      </c>
      <c r="D79" s="3"/>
      <c r="E79" s="3"/>
      <c r="F79" s="3" t="str">
        <v>自投</v>
      </c>
      <c r="G79" s="13" t="str">
        <v>群邑（上海）广告有限公司</v>
      </c>
      <c r="H79" s="12"/>
      <c r="I79" s="3"/>
      <c r="J79" s="11">
        <f>VLOOKUP(K79,'Sheet5'!$J$3:$K$200,2,FALSE)</f>
      </c>
      <c r="K79" s="13" t="str">
        <v>1761579155761230</v>
      </c>
      <c r="L79" s="11"/>
      <c r="M79" s="11"/>
      <c r="N79" s="11" t="str">
        <v>否</v>
      </c>
      <c r="O79" s="3"/>
      <c r="P79" s="3" t="str">
        <v>否</v>
      </c>
      <c r="Q79" s="3" t="str">
        <v>否</v>
      </c>
      <c r="R79" s="3"/>
      <c r="S79" s="14">
        <f>VLOOKUP(B79,'Sheet9'!$B$2:$G$191,3,FALSE)</f>
      </c>
      <c r="T79" s="14">
        <f>VLOOKUP(B79,'Sheet9'!$B$2:$G$191,4,FALSE)</f>
      </c>
      <c r="U79" s="14">
        <f>VLOOKUP(B79,'Sheet9'!$B$2:$G$191,5,FALSE)</f>
      </c>
      <c r="V79" s="14" t="str">
        <v>推广中心组</v>
      </c>
      <c r="W79" s="3">
        <f>VLOOKUP(K79,'Sheet11'!$X$2:$AH$279,11,FALSE)</f>
      </c>
      <c r="X79" s="3"/>
      <c r="Y79" s="3"/>
      <c r="Z79" s="3"/>
      <c r="AA79" s="3"/>
    </row>
    <row r="80">
      <c r="A80" s="13" t="str">
        <v>站外</v>
      </c>
      <c r="B80" s="13" t="str">
        <v>AD信息流</v>
      </c>
      <c r="C80" s="3" t="str">
        <v>杭州宜格化妆品有限公司</v>
      </c>
      <c r="D80" s="3"/>
      <c r="E80" s="3"/>
      <c r="F80" s="3" t="str">
        <v>自投</v>
      </c>
      <c r="G80" s="13" t="str">
        <v>群邑（上海）广告有限公司</v>
      </c>
      <c r="H80" s="12"/>
      <c r="I80" s="3"/>
      <c r="J80" s="11">
        <f>VLOOKUP(K80,'Sheet5'!$J$3:$K$200,2,FALSE)</f>
      </c>
      <c r="K80" s="13" t="str">
        <v>1761579155066888</v>
      </c>
      <c r="L80" s="11"/>
      <c r="M80" s="11"/>
      <c r="N80" s="11" t="str">
        <v>否</v>
      </c>
      <c r="O80" s="3"/>
      <c r="P80" s="3" t="str">
        <v>否</v>
      </c>
      <c r="Q80" s="3" t="str">
        <v>否</v>
      </c>
      <c r="R80" s="3"/>
      <c r="S80" s="14">
        <f>VLOOKUP(B80,'Sheet9'!$B$2:$G$191,3,FALSE)</f>
      </c>
      <c r="T80" s="14">
        <f>VLOOKUP(B80,'Sheet9'!$B$2:$G$191,4,FALSE)</f>
      </c>
      <c r="U80" s="14">
        <f>VLOOKUP(B80,'Sheet9'!$B$2:$G$191,5,FALSE)</f>
      </c>
      <c r="V80" s="14" t="str">
        <v>推广中心组</v>
      </c>
      <c r="W80" s="3">
        <f>VLOOKUP(K80,'Sheet11'!$X$2:$AH$279,11,FALSE)</f>
      </c>
      <c r="X80" s="3"/>
      <c r="Y80" s="3"/>
      <c r="Z80" s="3"/>
      <c r="AA80" s="3"/>
    </row>
    <row r="81">
      <c r="A81" s="13" t="str">
        <v>站外</v>
      </c>
      <c r="B81" s="13" t="str">
        <v>AD信息流</v>
      </c>
      <c r="C81" s="3" t="str">
        <v>杭州宜格化妆品有限公司</v>
      </c>
      <c r="D81" s="3"/>
      <c r="E81" s="3"/>
      <c r="F81" s="3" t="str">
        <v>自投</v>
      </c>
      <c r="G81" s="13" t="str">
        <v>群邑（上海）广告有限公司</v>
      </c>
      <c r="H81" s="12"/>
      <c r="I81" s="3"/>
      <c r="J81" s="11">
        <f>VLOOKUP(K81,'Sheet5'!$J$3:$K$200,2,FALSE)</f>
      </c>
      <c r="K81" s="13" t="str">
        <v>1754167002455111</v>
      </c>
      <c r="L81" s="11"/>
      <c r="M81" s="11"/>
      <c r="N81" s="11" t="str">
        <v>否</v>
      </c>
      <c r="O81" s="3"/>
      <c r="P81" s="3" t="str">
        <v>否</v>
      </c>
      <c r="Q81" s="3" t="str">
        <v>否</v>
      </c>
      <c r="R81" s="3"/>
      <c r="S81" s="14">
        <f>VLOOKUP(B81,'Sheet9'!$B$2:$G$191,3,FALSE)</f>
      </c>
      <c r="T81" s="14">
        <f>VLOOKUP(B81,'Sheet9'!$B$2:$G$191,4,FALSE)</f>
      </c>
      <c r="U81" s="14">
        <f>VLOOKUP(B81,'Sheet9'!$B$2:$G$191,5,FALSE)</f>
      </c>
      <c r="V81" s="14" t="str">
        <v>推广中心组</v>
      </c>
      <c r="W81" s="3">
        <f>VLOOKUP(K81,'Sheet11'!$X$2:$AH$279,11,FALSE)</f>
      </c>
      <c r="X81" s="3"/>
      <c r="Y81" s="3"/>
      <c r="Z81" s="3"/>
      <c r="AA81" s="3"/>
    </row>
    <row r="82">
      <c r="A82" s="13" t="str">
        <v>站外</v>
      </c>
      <c r="B82" s="13" t="str">
        <v>AD信息流</v>
      </c>
      <c r="C82" s="3" t="str">
        <v>杭州宜格化妆品有限公司</v>
      </c>
      <c r="D82" s="3"/>
      <c r="E82" s="3"/>
      <c r="F82" s="3" t="str">
        <v>自投</v>
      </c>
      <c r="G82" s="13" t="str">
        <v>群邑（上海）广告有限公司</v>
      </c>
      <c r="H82" s="12"/>
      <c r="I82" s="3"/>
      <c r="J82" s="11">
        <f>VLOOKUP(K82,'Sheet5'!$J$3:$K$200,2,FALSE)</f>
      </c>
      <c r="K82" s="13" t="str">
        <v>1754167000735758</v>
      </c>
      <c r="L82" s="11"/>
      <c r="M82" s="11"/>
      <c r="N82" s="11" t="str">
        <v>否</v>
      </c>
      <c r="O82" s="3"/>
      <c r="P82" s="3" t="str">
        <v>否</v>
      </c>
      <c r="Q82" s="3" t="str">
        <v>否</v>
      </c>
      <c r="R82" s="3"/>
      <c r="S82" s="14">
        <f>VLOOKUP(B82,'Sheet9'!$B$2:$G$191,3,FALSE)</f>
      </c>
      <c r="T82" s="14">
        <f>VLOOKUP(B82,'Sheet9'!$B$2:$G$191,4,FALSE)</f>
      </c>
      <c r="U82" s="14">
        <f>VLOOKUP(B82,'Sheet9'!$B$2:$G$191,5,FALSE)</f>
      </c>
      <c r="V82" s="14" t="str">
        <v>推广中心组</v>
      </c>
      <c r="W82" s="3">
        <f>VLOOKUP(K82,'Sheet11'!$X$2:$AH$279,11,FALSE)</f>
      </c>
      <c r="X82" s="3"/>
      <c r="Y82" s="3"/>
      <c r="Z82" s="3"/>
      <c r="AA82" s="3"/>
    </row>
    <row r="83">
      <c r="A83" s="13" t="str">
        <v>站外</v>
      </c>
      <c r="B83" s="13" t="str">
        <v>AD信息流</v>
      </c>
      <c r="C83" s="3" t="str">
        <v>杭州宜格化妆品有限公司</v>
      </c>
      <c r="D83" s="3"/>
      <c r="E83" s="3"/>
      <c r="F83" s="3" t="str">
        <v>自投</v>
      </c>
      <c r="G83" s="13" t="str">
        <v>群邑（上海）广告有限公司</v>
      </c>
      <c r="H83" s="12"/>
      <c r="I83" s="3"/>
      <c r="J83" s="11">
        <f>VLOOKUP(K83,'Sheet5'!$J$3:$K$200,2,FALSE)</f>
      </c>
      <c r="K83" s="13" t="str">
        <v>1734408229378061</v>
      </c>
      <c r="L83" s="11"/>
      <c r="M83" s="11"/>
      <c r="N83" s="11" t="str">
        <v>否</v>
      </c>
      <c r="O83" s="3"/>
      <c r="P83" s="3" t="str">
        <v>否</v>
      </c>
      <c r="Q83" s="3" t="str">
        <v>否</v>
      </c>
      <c r="R83" s="3"/>
      <c r="S83" s="14">
        <f>VLOOKUP(B83,'Sheet9'!$B$2:$G$191,3,FALSE)</f>
      </c>
      <c r="T83" s="14">
        <f>VLOOKUP(B83,'Sheet9'!$B$2:$G$191,4,FALSE)</f>
      </c>
      <c r="U83" s="14">
        <f>VLOOKUP(B83,'Sheet9'!$B$2:$G$191,5,FALSE)</f>
      </c>
      <c r="V83" s="14" t="str">
        <v>推广中心组</v>
      </c>
      <c r="W83" s="3">
        <f>VLOOKUP(K83,'Sheet11'!$X$2:$AH$279,11,FALSE)</f>
      </c>
      <c r="X83" s="3"/>
      <c r="Y83" s="3"/>
      <c r="Z83" s="3"/>
      <c r="AA83" s="3"/>
    </row>
    <row r="84">
      <c r="A84" s="13" t="str">
        <v>站外</v>
      </c>
      <c r="B84" s="13" t="str">
        <v>AD信息流</v>
      </c>
      <c r="C84" s="3" t="str">
        <v>杭州宜格化妆品有限公司</v>
      </c>
      <c r="D84" s="3"/>
      <c r="E84" s="3"/>
      <c r="F84" s="3" t="str">
        <v>自投</v>
      </c>
      <c r="G84" s="13" t="str">
        <v>群邑（上海）广告有限公司</v>
      </c>
      <c r="H84" s="12"/>
      <c r="I84" s="3"/>
      <c r="J84" s="11">
        <f>VLOOKUP(K84,'Sheet5'!$J$3:$K$200,2,FALSE)</f>
      </c>
      <c r="K84" s="13" t="str">
        <v>1727635338328078</v>
      </c>
      <c r="L84" s="11"/>
      <c r="M84" s="11"/>
      <c r="N84" s="11" t="str">
        <v>否</v>
      </c>
      <c r="O84" s="3"/>
      <c r="P84" s="3" t="str">
        <v>否</v>
      </c>
      <c r="Q84" s="3" t="str">
        <v>否</v>
      </c>
      <c r="R84" s="3"/>
      <c r="S84" s="14">
        <f>VLOOKUP(B84,'Sheet9'!$B$2:$G$191,3,FALSE)</f>
      </c>
      <c r="T84" s="14">
        <f>VLOOKUP(B84,'Sheet9'!$B$2:$G$191,4,FALSE)</f>
      </c>
      <c r="U84" s="14">
        <f>VLOOKUP(B84,'Sheet9'!$B$2:$G$191,5,FALSE)</f>
      </c>
      <c r="V84" s="14" t="str">
        <v>推广中心组</v>
      </c>
      <c r="W84" s="3">
        <f>VLOOKUP(K84,'Sheet11'!$X$2:$AH$279,11,FALSE)</f>
      </c>
      <c r="X84" s="3"/>
      <c r="Y84" s="3"/>
      <c r="Z84" s="3"/>
      <c r="AA84" s="3"/>
    </row>
    <row r="85">
      <c r="A85" s="13" t="str">
        <v>站外</v>
      </c>
      <c r="B85" s="13" t="str">
        <v>千川信息流</v>
      </c>
      <c r="C85" s="3" t="str">
        <v>杭州宜格化妆品有限公司</v>
      </c>
      <c r="D85" s="15"/>
      <c r="E85" s="3"/>
      <c r="F85" s="3" t="str">
        <v>自投</v>
      </c>
      <c r="G85" s="13" t="str">
        <v>群邑（上海）广告有限公司</v>
      </c>
      <c r="H85" s="12"/>
      <c r="I85" s="3"/>
      <c r="J85" s="11">
        <f>VLOOKUP(K85,'Sheet5'!$J$3:$K$200,2,FALSE)</f>
      </c>
      <c r="K85" s="13" t="str">
        <v>1727535271575630</v>
      </c>
      <c r="L85" s="11"/>
      <c r="M85" s="11"/>
      <c r="N85" s="11" t="str">
        <v>否</v>
      </c>
      <c r="O85" s="3"/>
      <c r="P85" s="3"/>
      <c r="Q85" s="3"/>
      <c r="R85" s="3"/>
      <c r="S85" s="3">
        <f>VLOOKUP(B85,'Sheet9'!$B$2:$G$191,3,FALSE)</f>
      </c>
      <c r="T85" s="3">
        <f>VLOOKUP(B85,'Sheet9'!$B$2:$G$191,4,FALSE)</f>
      </c>
      <c r="U85" s="3">
        <f>VLOOKUP(B85,'Sheet9'!$B$2:$G$191,5,FALSE)</f>
      </c>
      <c r="V85" s="3" t="str">
        <v>抖音推广部</v>
      </c>
      <c r="W85" s="3" t="str">
        <v>兴泉（韩兴泉）、流沙（俞君珠）、奶茶（唐丽）、榴莲（管晓辉）、三喜（王思雨）、白龙（樊苏北）</v>
      </c>
      <c r="X85" s="22"/>
      <c r="Y85" s="3"/>
      <c r="Z85" s="3"/>
      <c r="AA85" s="3"/>
    </row>
    <row r="86">
      <c r="A86" s="13" t="str">
        <v>站外</v>
      </c>
      <c r="B86" s="13" t="str">
        <v>磁力引擎</v>
      </c>
      <c r="C86" s="3" t="str">
        <v>杭州宜格化妆品有限公司</v>
      </c>
      <c r="D86" s="3"/>
      <c r="E86" s="3"/>
      <c r="F86" s="3" t="str">
        <v>自投</v>
      </c>
      <c r="G86" s="13" t="str">
        <v>群邑（上海）广告有限公司</v>
      </c>
      <c r="H86" s="12"/>
      <c r="I86" s="3"/>
      <c r="J86" s="11">
        <f>VLOOKUP(K86,'Sheet5'!$J$3:$K$200,2,FALSE)</f>
      </c>
      <c r="K86" s="23">
        <v>17029747</v>
      </c>
      <c r="L86" s="11"/>
      <c r="M86" s="11"/>
      <c r="N86" s="11" t="str">
        <v>否</v>
      </c>
      <c r="O86" s="3"/>
      <c r="P86" s="3" t="str">
        <v>否</v>
      </c>
      <c r="Q86" s="3" t="str">
        <v>否</v>
      </c>
      <c r="R86" s="3"/>
      <c r="S86" s="14">
        <f>VLOOKUP(B86,'Sheet9'!$B$2:$G$191,3,FALSE)</f>
      </c>
      <c r="T86" s="14">
        <f>VLOOKUP(B86,'Sheet9'!$B$2:$G$191,4,FALSE)</f>
      </c>
      <c r="U86" s="14">
        <f>VLOOKUP(B86,'Sheet9'!$B$2:$G$191,5,FALSE)</f>
      </c>
      <c r="V86" s="14" t="str">
        <v>推广中心组</v>
      </c>
      <c r="W86" s="3">
        <f>VLOOKUP(K86,'Sheet11'!$X$2:$AH$279,11,FALSE)</f>
      </c>
      <c r="X86" s="3"/>
      <c r="Y86" s="3"/>
      <c r="Z86" s="3"/>
      <c r="AA86" s="3"/>
    </row>
    <row r="87">
      <c r="A87" s="13" t="str">
        <v>站外</v>
      </c>
      <c r="B87" s="13" t="str">
        <v>磁力引擎</v>
      </c>
      <c r="C87" s="3" t="str">
        <v>杭州宜格化妆品有限公司</v>
      </c>
      <c r="D87" s="3"/>
      <c r="E87" s="3"/>
      <c r="F87" s="3" t="str">
        <v>自投</v>
      </c>
      <c r="G87" s="13" t="str">
        <v>群邑（上海）广告有限公司</v>
      </c>
      <c r="H87" s="12"/>
      <c r="I87" s="3"/>
      <c r="J87" s="11">
        <f>VLOOKUP(K87,'Sheet5'!$J$3:$K$200,2,FALSE)</f>
      </c>
      <c r="K87" s="23">
        <v>17029746</v>
      </c>
      <c r="L87" s="11"/>
      <c r="M87" s="11"/>
      <c r="N87" s="11" t="str">
        <v>否</v>
      </c>
      <c r="O87" s="3"/>
      <c r="P87" s="3" t="str">
        <v>否</v>
      </c>
      <c r="Q87" s="3" t="str">
        <v>否</v>
      </c>
      <c r="R87" s="3"/>
      <c r="S87" s="14">
        <f>VLOOKUP(B87,'Sheet9'!$B$2:$G$191,3,FALSE)</f>
      </c>
      <c r="T87" s="14">
        <f>VLOOKUP(B87,'Sheet9'!$B$2:$G$191,4,FALSE)</f>
      </c>
      <c r="U87" s="14">
        <f>VLOOKUP(B87,'Sheet9'!$B$2:$G$191,5,FALSE)</f>
      </c>
      <c r="V87" s="14" t="str">
        <v>推广中心组</v>
      </c>
      <c r="W87" s="3">
        <f>VLOOKUP(K87,'Sheet11'!$X$2:$AH$279,11,FALSE)</f>
      </c>
      <c r="X87" s="3"/>
      <c r="Y87" s="3"/>
      <c r="Z87" s="3"/>
      <c r="AA87" s="3"/>
    </row>
    <row r="88">
      <c r="A88" s="13" t="str">
        <v>站外</v>
      </c>
      <c r="B88" s="13" t="str">
        <v>磁力引擎</v>
      </c>
      <c r="C88" s="3" t="str">
        <v>杭州宜格化妆品有限公司</v>
      </c>
      <c r="D88" s="3"/>
      <c r="E88" s="3"/>
      <c r="F88" s="3" t="str">
        <v>自投</v>
      </c>
      <c r="G88" s="13" t="str">
        <v>群邑（上海）广告有限公司</v>
      </c>
      <c r="H88" s="12"/>
      <c r="I88" s="3"/>
      <c r="J88" s="11">
        <f>VLOOKUP(K88,'Sheet5'!$J$3:$K$200,2,FALSE)</f>
      </c>
      <c r="K88" s="13">
        <v>17029745</v>
      </c>
      <c r="L88" s="11"/>
      <c r="M88" s="11"/>
      <c r="N88" s="11" t="str">
        <v>否</v>
      </c>
      <c r="O88" s="3"/>
      <c r="P88" s="3" t="str">
        <v>否</v>
      </c>
      <c r="Q88" s="3" t="str">
        <v>否</v>
      </c>
      <c r="R88" s="3"/>
      <c r="S88" s="14">
        <f>VLOOKUP(B88,'Sheet9'!$B$2:$G$191,3,FALSE)</f>
      </c>
      <c r="T88" s="14">
        <f>VLOOKUP(B88,'Sheet9'!$B$2:$G$191,4,FALSE)</f>
      </c>
      <c r="U88" s="14">
        <f>VLOOKUP(B88,'Sheet9'!$B$2:$G$191,5,FALSE)</f>
      </c>
      <c r="V88" s="14" t="str">
        <v>推广中心组</v>
      </c>
      <c r="W88" s="3">
        <f>VLOOKUP(K88,'Sheet11'!$X$2:$AH$279,11,FALSE)</f>
      </c>
      <c r="X88" s="3"/>
      <c r="Y88" s="3"/>
      <c r="Z88" s="3"/>
      <c r="AA88" s="3"/>
    </row>
    <row r="89">
      <c r="A89" s="13" t="str">
        <v>站外</v>
      </c>
      <c r="B89" s="13" t="str">
        <v>磁力引擎</v>
      </c>
      <c r="C89" s="3" t="str">
        <v>杭州宜格化妆品有限公司</v>
      </c>
      <c r="D89" s="3"/>
      <c r="E89" s="3"/>
      <c r="F89" s="3" t="str">
        <v>自投</v>
      </c>
      <c r="G89" s="13" t="str">
        <v>群邑（上海）广告有限公司</v>
      </c>
      <c r="H89" s="12"/>
      <c r="I89" s="3"/>
      <c r="J89" s="11">
        <f>VLOOKUP(K89,'Sheet5'!$J$3:$K$200,2,FALSE)</f>
      </c>
      <c r="K89" s="23">
        <v>17029744</v>
      </c>
      <c r="L89" s="11"/>
      <c r="M89" s="11"/>
      <c r="N89" s="11" t="str">
        <v>否</v>
      </c>
      <c r="O89" s="3"/>
      <c r="P89" s="3" t="str">
        <v>否</v>
      </c>
      <c r="Q89" s="3" t="str">
        <v>否</v>
      </c>
      <c r="R89" s="3"/>
      <c r="S89" s="14">
        <f>VLOOKUP(B89,'Sheet9'!$B$2:$G$191,3,FALSE)</f>
      </c>
      <c r="T89" s="14">
        <f>VLOOKUP(B89,'Sheet9'!$B$2:$G$191,4,FALSE)</f>
      </c>
      <c r="U89" s="14">
        <f>VLOOKUP(B89,'Sheet9'!$B$2:$G$191,5,FALSE)</f>
      </c>
      <c r="V89" s="14" t="str">
        <v>推广中心组</v>
      </c>
      <c r="W89" s="3">
        <f>VLOOKUP(K89,'Sheet11'!$X$2:$AH$279,11,FALSE)</f>
      </c>
      <c r="X89" s="3"/>
      <c r="Y89" s="3"/>
      <c r="Z89" s="3"/>
      <c r="AA89" s="3"/>
    </row>
    <row r="90">
      <c r="A90" s="13" t="str">
        <v>站外</v>
      </c>
      <c r="B90" s="13" t="str">
        <v>磁力引擎</v>
      </c>
      <c r="C90" s="3" t="str">
        <v>杭州宜格化妆品有限公司</v>
      </c>
      <c r="D90" s="3"/>
      <c r="E90" s="3"/>
      <c r="F90" s="3" t="str">
        <v>自投</v>
      </c>
      <c r="G90" s="13" t="str">
        <v>群邑（上海）广告有限公司</v>
      </c>
      <c r="H90" s="12"/>
      <c r="I90" s="3"/>
      <c r="J90" s="11">
        <f>VLOOKUP(K90,'Sheet5'!$J$3:$K$200,2,FALSE)</f>
      </c>
      <c r="K90" s="23">
        <v>17029743</v>
      </c>
      <c r="L90" s="11"/>
      <c r="M90" s="11"/>
      <c r="N90" s="11" t="str">
        <v>否</v>
      </c>
      <c r="O90" s="3"/>
      <c r="P90" s="3" t="str">
        <v>否</v>
      </c>
      <c r="Q90" s="3" t="str">
        <v>否</v>
      </c>
      <c r="R90" s="3"/>
      <c r="S90" s="14">
        <f>VLOOKUP(B90,'Sheet9'!$B$2:$G$191,3,FALSE)</f>
      </c>
      <c r="T90" s="14">
        <f>VLOOKUP(B90,'Sheet9'!$B$2:$G$191,4,FALSE)</f>
      </c>
      <c r="U90" s="14">
        <f>VLOOKUP(B90,'Sheet9'!$B$2:$G$191,5,FALSE)</f>
      </c>
      <c r="V90" s="14" t="str">
        <v>推广中心组</v>
      </c>
      <c r="W90" s="3">
        <f>VLOOKUP(K90,'Sheet11'!$X$2:$AH$279,11,FALSE)</f>
      </c>
      <c r="X90" s="3"/>
      <c r="Y90" s="3"/>
      <c r="Z90" s="3"/>
      <c r="AA90" s="3"/>
    </row>
    <row r="91">
      <c r="A91" s="13" t="str">
        <v>站外</v>
      </c>
      <c r="B91" s="13" t="str">
        <v>磁力引擎</v>
      </c>
      <c r="C91" s="3" t="str">
        <v>杭州宜格化妆品有限公司</v>
      </c>
      <c r="D91" s="3"/>
      <c r="E91" s="3"/>
      <c r="F91" s="3" t="str">
        <v>自投</v>
      </c>
      <c r="G91" s="13" t="str">
        <v>群邑（上海）广告有限公司</v>
      </c>
      <c r="H91" s="12"/>
      <c r="I91" s="3"/>
      <c r="J91" s="11">
        <f>VLOOKUP(K91,'Sheet5'!$J$3:$K$200,2,FALSE)</f>
      </c>
      <c r="K91" s="13">
        <v>17029742</v>
      </c>
      <c r="L91" s="11"/>
      <c r="M91" s="11"/>
      <c r="N91" s="11" t="str">
        <v>否</v>
      </c>
      <c r="O91" s="3"/>
      <c r="P91" s="3" t="str">
        <v>否</v>
      </c>
      <c r="Q91" s="3" t="str">
        <v>否</v>
      </c>
      <c r="R91" s="3"/>
      <c r="S91" s="14">
        <f>VLOOKUP(B91,'Sheet9'!$B$2:$G$191,3,FALSE)</f>
      </c>
      <c r="T91" s="14">
        <f>VLOOKUP(B91,'Sheet9'!$B$2:$G$191,4,FALSE)</f>
      </c>
      <c r="U91" s="14">
        <f>VLOOKUP(B91,'Sheet9'!$B$2:$G$191,5,FALSE)</f>
      </c>
      <c r="V91" s="14" t="str">
        <v>推广中心组</v>
      </c>
      <c r="W91" s="3">
        <f>VLOOKUP(K91,'Sheet11'!$X$2:$AH$279,11,FALSE)</f>
      </c>
      <c r="X91" s="3"/>
      <c r="Y91" s="3"/>
      <c r="Z91" s="3"/>
      <c r="AA91" s="3"/>
    </row>
    <row r="92">
      <c r="A92" s="13" t="str">
        <v>站外</v>
      </c>
      <c r="B92" s="13" t="str">
        <v>磁力引擎</v>
      </c>
      <c r="C92" s="3" t="str">
        <v>杭州宜格化妆品有限公司</v>
      </c>
      <c r="D92" s="3"/>
      <c r="E92" s="3"/>
      <c r="F92" s="3" t="str">
        <v>自投</v>
      </c>
      <c r="G92" s="13" t="str">
        <v>群邑（上海）广告有限公司</v>
      </c>
      <c r="H92" s="12"/>
      <c r="I92" s="3"/>
      <c r="J92" s="11">
        <f>VLOOKUP(K92,'Sheet5'!$J$3:$K$200,2,FALSE)</f>
      </c>
      <c r="K92" s="23">
        <v>17029741</v>
      </c>
      <c r="L92" s="11"/>
      <c r="M92" s="11"/>
      <c r="N92" s="11" t="str">
        <v>否</v>
      </c>
      <c r="O92" s="3"/>
      <c r="P92" s="3" t="str">
        <v>否</v>
      </c>
      <c r="Q92" s="3" t="str">
        <v>否</v>
      </c>
      <c r="R92" s="3"/>
      <c r="S92" s="14">
        <f>VLOOKUP(B92,'Sheet9'!$B$2:$G$191,3,FALSE)</f>
      </c>
      <c r="T92" s="14">
        <f>VLOOKUP(B92,'Sheet9'!$B$2:$G$191,4,FALSE)</f>
      </c>
      <c r="U92" s="14">
        <f>VLOOKUP(B92,'Sheet9'!$B$2:$G$191,5,FALSE)</f>
      </c>
      <c r="V92" s="14" t="str">
        <v>推广中心组</v>
      </c>
      <c r="W92" s="3">
        <f>VLOOKUP(K92,'Sheet11'!$X$2:$AH$279,11,FALSE)</f>
      </c>
      <c r="X92" s="3"/>
      <c r="Y92" s="3"/>
      <c r="Z92" s="3"/>
      <c r="AA92" s="3"/>
    </row>
    <row r="93">
      <c r="A93" s="13" t="str">
        <v>站外</v>
      </c>
      <c r="B93" s="13" t="str">
        <v>磁力引擎</v>
      </c>
      <c r="C93" s="3" t="str">
        <v>杭州宜格化妆品有限公司</v>
      </c>
      <c r="D93" s="3"/>
      <c r="E93" s="3"/>
      <c r="F93" s="3" t="str">
        <v>自投</v>
      </c>
      <c r="G93" s="13" t="str">
        <v>群邑（上海）广告有限公司</v>
      </c>
      <c r="H93" s="12"/>
      <c r="I93" s="3"/>
      <c r="J93" s="11">
        <f>VLOOKUP(K93,'Sheet5'!$J$3:$K$200,2,FALSE)</f>
      </c>
      <c r="K93" s="13">
        <v>17029740</v>
      </c>
      <c r="L93" s="11"/>
      <c r="M93" s="11"/>
      <c r="N93" s="11" t="str">
        <v>否</v>
      </c>
      <c r="O93" s="3"/>
      <c r="P93" s="3" t="str">
        <v>否</v>
      </c>
      <c r="Q93" s="3" t="str">
        <v>否</v>
      </c>
      <c r="R93" s="3"/>
      <c r="S93" s="14">
        <f>VLOOKUP(B93,'Sheet9'!$B$2:$G$191,3,FALSE)</f>
      </c>
      <c r="T93" s="14">
        <f>VLOOKUP(B93,'Sheet9'!$B$2:$G$191,4,FALSE)</f>
      </c>
      <c r="U93" s="14">
        <f>VLOOKUP(B93,'Sheet9'!$B$2:$G$191,5,FALSE)</f>
      </c>
      <c r="V93" s="14" t="str">
        <v>推广中心组</v>
      </c>
      <c r="W93" s="3">
        <f>VLOOKUP(K93,'Sheet11'!$X$2:$AH$279,11,FALSE)</f>
      </c>
      <c r="X93" s="3"/>
      <c r="Y93" s="3"/>
      <c r="Z93" s="3"/>
      <c r="AA93" s="3"/>
    </row>
    <row r="94">
      <c r="A94" s="13" t="str">
        <v>站外</v>
      </c>
      <c r="B94" s="13" t="str">
        <v>磁力引擎</v>
      </c>
      <c r="C94" s="3" t="str">
        <v>杭州宜格化妆品有限公司</v>
      </c>
      <c r="D94" s="3"/>
      <c r="E94" s="3"/>
      <c r="F94" s="3" t="str">
        <v>自投</v>
      </c>
      <c r="G94" s="13" t="str">
        <v>群邑（上海）广告有限公司</v>
      </c>
      <c r="H94" s="12"/>
      <c r="I94" s="3"/>
      <c r="J94" s="11">
        <f>VLOOKUP(K94,'Sheet5'!$J$3:$K$200,2,FALSE)</f>
      </c>
      <c r="K94" s="13">
        <v>17029739</v>
      </c>
      <c r="L94" s="11"/>
      <c r="M94" s="11"/>
      <c r="N94" s="11" t="str">
        <v>否</v>
      </c>
      <c r="O94" s="3"/>
      <c r="P94" s="3" t="str">
        <v>否</v>
      </c>
      <c r="Q94" s="3" t="str">
        <v>否</v>
      </c>
      <c r="R94" s="3"/>
      <c r="S94" s="14">
        <f>VLOOKUP(B94,'Sheet9'!$B$2:$G$191,3,FALSE)</f>
      </c>
      <c r="T94" s="14">
        <f>VLOOKUP(B94,'Sheet9'!$B$2:$G$191,4,FALSE)</f>
      </c>
      <c r="U94" s="14">
        <f>VLOOKUP(B94,'Sheet9'!$B$2:$G$191,5,FALSE)</f>
      </c>
      <c r="V94" s="14" t="str">
        <v>推广中心组</v>
      </c>
      <c r="W94" s="3">
        <f>VLOOKUP(K94,'Sheet11'!$X$2:$AH$279,11,FALSE)</f>
      </c>
      <c r="X94" s="3"/>
      <c r="Y94" s="3"/>
      <c r="Z94" s="3"/>
      <c r="AA94" s="3"/>
    </row>
    <row r="95">
      <c r="A95" s="13" t="str">
        <v>站外</v>
      </c>
      <c r="B95" s="13" t="str">
        <v>磁力引擎</v>
      </c>
      <c r="C95" s="3" t="str">
        <v>杭州宜格化妆品有限公司</v>
      </c>
      <c r="D95" s="3"/>
      <c r="E95" s="3"/>
      <c r="F95" s="3" t="str">
        <v>自投</v>
      </c>
      <c r="G95" s="13" t="str">
        <v>群邑（上海）广告有限公司</v>
      </c>
      <c r="H95" s="12"/>
      <c r="I95" s="3"/>
      <c r="J95" s="11">
        <f>VLOOKUP(K95,'Sheet5'!$J$3:$K$200,2,FALSE)</f>
      </c>
      <c r="K95" s="13">
        <v>17026499</v>
      </c>
      <c r="L95" s="11"/>
      <c r="M95" s="11"/>
      <c r="N95" s="11" t="str">
        <v>否</v>
      </c>
      <c r="O95" s="3"/>
      <c r="P95" s="3" t="str">
        <v>否</v>
      </c>
      <c r="Q95" s="3" t="str">
        <v>否</v>
      </c>
      <c r="R95" s="3"/>
      <c r="S95" s="14">
        <f>VLOOKUP(B95,'Sheet9'!$B$2:$G$191,3,FALSE)</f>
      </c>
      <c r="T95" s="14">
        <f>VLOOKUP(B95,'Sheet9'!$B$2:$G$191,4,FALSE)</f>
      </c>
      <c r="U95" s="14">
        <f>VLOOKUP(B95,'Sheet9'!$B$2:$G$191,5,FALSE)</f>
      </c>
      <c r="V95" s="14" t="str">
        <v>推广中心组</v>
      </c>
      <c r="W95" s="3">
        <f>VLOOKUP(K95,'Sheet11'!$X$2:$AH$279,11,FALSE)</f>
      </c>
      <c r="X95" s="3"/>
      <c r="Y95" s="3"/>
      <c r="Z95" s="3"/>
      <c r="AA95" s="3"/>
    </row>
    <row r="96">
      <c r="A96" s="13" t="str">
        <v>站外</v>
      </c>
      <c r="B96" s="13" t="str">
        <v>磁力引擎</v>
      </c>
      <c r="C96" s="3" t="str">
        <v>杭州宜格化妆品有限公司</v>
      </c>
      <c r="D96" s="3"/>
      <c r="E96" s="3"/>
      <c r="F96" s="3" t="str">
        <v>自投</v>
      </c>
      <c r="G96" s="13" t="str">
        <v>群邑（上海）广告有限公司</v>
      </c>
      <c r="H96" s="12"/>
      <c r="I96" s="3"/>
      <c r="J96" s="11">
        <f>VLOOKUP(K96,'Sheet5'!$J$3:$K$200,2,FALSE)</f>
      </c>
      <c r="K96" s="23">
        <v>16901306</v>
      </c>
      <c r="L96" s="11"/>
      <c r="M96" s="11"/>
      <c r="N96" s="11" t="str">
        <v>否</v>
      </c>
      <c r="O96" s="3"/>
      <c r="P96" s="3" t="str">
        <v>否</v>
      </c>
      <c r="Q96" s="3" t="str">
        <v>否</v>
      </c>
      <c r="R96" s="3"/>
      <c r="S96" s="14">
        <f>VLOOKUP(B96,'Sheet9'!$B$2:$G$191,3,FALSE)</f>
      </c>
      <c r="T96" s="14">
        <f>VLOOKUP(B96,'Sheet9'!$B$2:$G$191,4,FALSE)</f>
      </c>
      <c r="U96" s="14">
        <f>VLOOKUP(B96,'Sheet9'!$B$2:$G$191,5,FALSE)</f>
      </c>
      <c r="V96" s="14" t="str">
        <v>推广中心组</v>
      </c>
      <c r="W96" s="3">
        <f>VLOOKUP(K96,'Sheet11'!$X$2:$AH$279,11,FALSE)</f>
      </c>
      <c r="X96" s="3"/>
      <c r="Y96" s="3"/>
      <c r="Z96" s="3"/>
      <c r="AA96" s="3"/>
    </row>
    <row r="97">
      <c r="A97" s="13" t="str">
        <v>站外</v>
      </c>
      <c r="B97" s="13" t="str">
        <v>磁力引擎</v>
      </c>
      <c r="C97" s="3" t="str">
        <v>杭州宜格化妆品有限公司</v>
      </c>
      <c r="D97" s="3"/>
      <c r="E97" s="3"/>
      <c r="F97" s="3" t="str">
        <v>自投</v>
      </c>
      <c r="G97" s="13" t="str">
        <v>群邑（上海）广告有限公司</v>
      </c>
      <c r="H97" s="12"/>
      <c r="I97" s="3"/>
      <c r="J97" s="11">
        <f>VLOOKUP(K97,'Sheet5'!$J$3:$K$200,2,FALSE)</f>
      </c>
      <c r="K97" s="23">
        <v>16901305</v>
      </c>
      <c r="L97" s="11"/>
      <c r="M97" s="11"/>
      <c r="N97" s="11" t="str">
        <v>否</v>
      </c>
      <c r="O97" s="3"/>
      <c r="P97" s="3" t="str">
        <v>否</v>
      </c>
      <c r="Q97" s="3" t="str">
        <v>否</v>
      </c>
      <c r="R97" s="3"/>
      <c r="S97" s="14">
        <f>VLOOKUP(B97,'Sheet9'!$B$2:$G$191,3,FALSE)</f>
      </c>
      <c r="T97" s="14">
        <f>VLOOKUP(B97,'Sheet9'!$B$2:$G$191,4,FALSE)</f>
      </c>
      <c r="U97" s="14">
        <f>VLOOKUP(B97,'Sheet9'!$B$2:$G$191,5,FALSE)</f>
      </c>
      <c r="V97" s="14" t="str">
        <v>推广中心组</v>
      </c>
      <c r="W97" s="3">
        <f>VLOOKUP(K97,'Sheet11'!$X$2:$AH$279,11,FALSE)</f>
      </c>
      <c r="X97" s="3"/>
      <c r="Y97" s="3"/>
      <c r="Z97" s="3"/>
      <c r="AA97" s="3"/>
    </row>
    <row r="98">
      <c r="A98" s="13" t="str">
        <v>站外</v>
      </c>
      <c r="B98" s="13" t="str">
        <v>磁力引擎</v>
      </c>
      <c r="C98" s="3" t="str">
        <v>杭州宜格化妆品有限公司</v>
      </c>
      <c r="D98" s="3"/>
      <c r="E98" s="3"/>
      <c r="F98" s="3" t="str">
        <v>自投</v>
      </c>
      <c r="G98" s="13" t="str">
        <v>群邑（上海）广告有限公司</v>
      </c>
      <c r="H98" s="12"/>
      <c r="I98" s="3"/>
      <c r="J98" s="11">
        <f>VLOOKUP(K98,'Sheet5'!$J$3:$K$200,2,FALSE)</f>
      </c>
      <c r="K98" s="13">
        <v>16901304</v>
      </c>
      <c r="L98" s="11"/>
      <c r="M98" s="11"/>
      <c r="N98" s="11" t="str">
        <v>否</v>
      </c>
      <c r="O98" s="3"/>
      <c r="P98" s="3" t="str">
        <v>否</v>
      </c>
      <c r="Q98" s="3" t="str">
        <v>否</v>
      </c>
      <c r="R98" s="3"/>
      <c r="S98" s="14">
        <f>VLOOKUP(B98,'Sheet9'!$B$2:$G$191,3,FALSE)</f>
      </c>
      <c r="T98" s="14">
        <f>VLOOKUP(B98,'Sheet9'!$B$2:$G$191,4,FALSE)</f>
      </c>
      <c r="U98" s="14">
        <f>VLOOKUP(B98,'Sheet9'!$B$2:$G$191,5,FALSE)</f>
      </c>
      <c r="V98" s="14" t="str">
        <v>推广中心组</v>
      </c>
      <c r="W98" s="3">
        <f>VLOOKUP(K98,'Sheet11'!$X$2:$AH$279,11,FALSE)</f>
      </c>
      <c r="X98" s="3"/>
      <c r="Y98" s="3"/>
      <c r="Z98" s="3"/>
      <c r="AA98" s="3"/>
    </row>
    <row r="99">
      <c r="A99" s="13" t="str">
        <v>站外</v>
      </c>
      <c r="B99" s="13" t="str">
        <v>磁力引擎</v>
      </c>
      <c r="C99" s="3" t="str">
        <v>杭州宜格化妆品有限公司</v>
      </c>
      <c r="D99" s="3"/>
      <c r="E99" s="3"/>
      <c r="F99" s="3" t="str">
        <v>自投</v>
      </c>
      <c r="G99" s="13" t="str">
        <v>群邑（上海）广告有限公司</v>
      </c>
      <c r="H99" s="12"/>
      <c r="I99" s="3"/>
      <c r="J99" s="11">
        <f>VLOOKUP(K99,'Sheet5'!$J$3:$K$200,2,FALSE)</f>
      </c>
      <c r="K99" s="13">
        <v>16901303</v>
      </c>
      <c r="L99" s="11"/>
      <c r="M99" s="11"/>
      <c r="N99" s="11" t="str">
        <v>否</v>
      </c>
      <c r="O99" s="3"/>
      <c r="P99" s="3" t="str">
        <v>否</v>
      </c>
      <c r="Q99" s="3" t="str">
        <v>否</v>
      </c>
      <c r="R99" s="3"/>
      <c r="S99" s="14">
        <f>VLOOKUP(B99,'Sheet9'!$B$2:$G$191,3,FALSE)</f>
      </c>
      <c r="T99" s="14">
        <f>VLOOKUP(B99,'Sheet9'!$B$2:$G$191,4,FALSE)</f>
      </c>
      <c r="U99" s="14">
        <f>VLOOKUP(B99,'Sheet9'!$B$2:$G$191,5,FALSE)</f>
      </c>
      <c r="V99" s="14" t="str">
        <v>推广中心组</v>
      </c>
      <c r="W99" s="3">
        <f>VLOOKUP(K99,'Sheet11'!$X$2:$AH$279,11,FALSE)</f>
      </c>
      <c r="X99" s="3"/>
      <c r="Y99" s="3"/>
      <c r="Z99" s="3"/>
      <c r="AA99" s="3"/>
    </row>
    <row r="100">
      <c r="A100" s="13" t="str">
        <v>站外</v>
      </c>
      <c r="B100" s="13" t="str">
        <v>磁力引擎</v>
      </c>
      <c r="C100" s="3" t="str">
        <v>杭州宜格化妆品有限公司</v>
      </c>
      <c r="D100" s="3"/>
      <c r="E100" s="3"/>
      <c r="F100" s="3" t="str">
        <v>自投</v>
      </c>
      <c r="G100" s="13" t="str">
        <v>群邑（上海）广告有限公司</v>
      </c>
      <c r="H100" s="12"/>
      <c r="I100" s="3"/>
      <c r="J100" s="11">
        <f>VLOOKUP(K100,'Sheet5'!$J$3:$K$200,2,FALSE)</f>
      </c>
      <c r="K100" s="13">
        <v>16901302</v>
      </c>
      <c r="L100" s="11"/>
      <c r="M100" s="11"/>
      <c r="N100" s="11" t="str">
        <v>否</v>
      </c>
      <c r="O100" s="3"/>
      <c r="P100" s="3" t="str">
        <v>否</v>
      </c>
      <c r="Q100" s="3" t="str">
        <v>否</v>
      </c>
      <c r="R100" s="3"/>
      <c r="S100" s="14">
        <f>VLOOKUP(B100,'Sheet9'!$B$2:$G$191,3,FALSE)</f>
      </c>
      <c r="T100" s="14">
        <f>VLOOKUP(B100,'Sheet9'!$B$2:$G$191,4,FALSE)</f>
      </c>
      <c r="U100" s="14">
        <f>VLOOKUP(B100,'Sheet9'!$B$2:$G$191,5,FALSE)</f>
      </c>
      <c r="V100" s="14" t="str">
        <v>推广中心组</v>
      </c>
      <c r="W100" s="3">
        <f>VLOOKUP(K100,'Sheet11'!$X$2:$AH$279,11,FALSE)</f>
      </c>
      <c r="X100" s="3"/>
      <c r="Y100" s="3"/>
      <c r="Z100" s="3"/>
      <c r="AA100" s="3"/>
    </row>
    <row r="101">
      <c r="A101" s="13" t="str">
        <v>站外</v>
      </c>
      <c r="B101" s="13" t="str">
        <v>磁力引擎</v>
      </c>
      <c r="C101" s="3" t="str">
        <v>杭州宜格化妆品有限公司</v>
      </c>
      <c r="D101" s="3"/>
      <c r="E101" s="3"/>
      <c r="F101" s="3" t="str">
        <v>自投</v>
      </c>
      <c r="G101" s="13" t="str">
        <v>群邑（上海）广告有限公司</v>
      </c>
      <c r="H101" s="12"/>
      <c r="I101" s="3"/>
      <c r="J101" s="11">
        <f>VLOOKUP(K101,'Sheet5'!$J$3:$K$200,2,FALSE)</f>
      </c>
      <c r="K101" s="13">
        <v>16901301</v>
      </c>
      <c r="L101" s="11"/>
      <c r="M101" s="11"/>
      <c r="N101" s="11" t="str">
        <v>否</v>
      </c>
      <c r="O101" s="3"/>
      <c r="P101" s="3" t="str">
        <v>否</v>
      </c>
      <c r="Q101" s="3" t="str">
        <v>否</v>
      </c>
      <c r="R101" s="3"/>
      <c r="S101" s="14">
        <f>VLOOKUP(B101,'Sheet9'!$B$2:$G$191,3,FALSE)</f>
      </c>
      <c r="T101" s="14">
        <f>VLOOKUP(B101,'Sheet9'!$B$2:$G$191,4,FALSE)</f>
      </c>
      <c r="U101" s="14">
        <f>VLOOKUP(B101,'Sheet9'!$B$2:$G$191,5,FALSE)</f>
      </c>
      <c r="V101" s="14" t="str">
        <v>推广中心组</v>
      </c>
      <c r="W101" s="3">
        <f>VLOOKUP(K101,'Sheet11'!$X$2:$AH$279,11,FALSE)</f>
      </c>
      <c r="X101" s="3"/>
      <c r="Y101" s="3"/>
      <c r="Z101" s="3"/>
      <c r="AA101" s="3"/>
    </row>
    <row r="102">
      <c r="A102" s="13" t="str">
        <v>站外</v>
      </c>
      <c r="B102" s="13" t="str">
        <v>磁力引擎</v>
      </c>
      <c r="C102" s="3" t="str">
        <v>杭州宜格化妆品有限公司</v>
      </c>
      <c r="D102" s="3"/>
      <c r="E102" s="3"/>
      <c r="F102" s="3" t="str">
        <v>自投</v>
      </c>
      <c r="G102" s="13" t="str">
        <v>群邑（上海）广告有限公司</v>
      </c>
      <c r="H102" s="12"/>
      <c r="I102" s="3"/>
      <c r="J102" s="11">
        <f>VLOOKUP(K102,'Sheet5'!$J$3:$K$200,2,FALSE)</f>
      </c>
      <c r="K102" s="13">
        <v>16901300</v>
      </c>
      <c r="L102" s="11"/>
      <c r="M102" s="11"/>
      <c r="N102" s="11" t="str">
        <v>否</v>
      </c>
      <c r="O102" s="3"/>
      <c r="P102" s="3" t="str">
        <v>否</v>
      </c>
      <c r="Q102" s="3" t="str">
        <v>否</v>
      </c>
      <c r="R102" s="3"/>
      <c r="S102" s="14">
        <f>VLOOKUP(B102,'Sheet9'!$B$2:$G$191,3,FALSE)</f>
      </c>
      <c r="T102" s="14">
        <f>VLOOKUP(B102,'Sheet9'!$B$2:$G$191,4,FALSE)</f>
      </c>
      <c r="U102" s="14">
        <f>VLOOKUP(B102,'Sheet9'!$B$2:$G$191,5,FALSE)</f>
      </c>
      <c r="V102" s="14" t="str">
        <v>推广中心组</v>
      </c>
      <c r="W102" s="3">
        <f>VLOOKUP(K102,'Sheet11'!$X$2:$AH$279,11,FALSE)</f>
      </c>
      <c r="X102" s="3"/>
      <c r="Y102" s="3"/>
      <c r="Z102" s="3"/>
      <c r="AA102" s="3"/>
    </row>
    <row r="103">
      <c r="A103" s="13" t="str">
        <v>站外</v>
      </c>
      <c r="B103" s="13" t="str">
        <v>磁力引擎</v>
      </c>
      <c r="C103" s="3" t="str">
        <v>杭州宜格化妆品有限公司</v>
      </c>
      <c r="D103" s="3"/>
      <c r="E103" s="3"/>
      <c r="F103" s="3" t="str">
        <v>自投</v>
      </c>
      <c r="G103" s="13" t="str">
        <v>群邑（上海）广告有限公司</v>
      </c>
      <c r="H103" s="12"/>
      <c r="I103" s="3"/>
      <c r="J103" s="11">
        <f>VLOOKUP(K103,'Sheet5'!$J$3:$K$200,2,FALSE)</f>
      </c>
      <c r="K103" s="13">
        <v>16901299</v>
      </c>
      <c r="L103" s="11"/>
      <c r="M103" s="11"/>
      <c r="N103" s="11" t="str">
        <v>否</v>
      </c>
      <c r="O103" s="3"/>
      <c r="P103" s="3" t="str">
        <v>否</v>
      </c>
      <c r="Q103" s="3" t="str">
        <v>否</v>
      </c>
      <c r="R103" s="3"/>
      <c r="S103" s="14">
        <f>VLOOKUP(B103,'Sheet9'!$B$2:$G$191,3,FALSE)</f>
      </c>
      <c r="T103" s="14">
        <f>VLOOKUP(B103,'Sheet9'!$B$2:$G$191,4,FALSE)</f>
      </c>
      <c r="U103" s="14">
        <f>VLOOKUP(B103,'Sheet9'!$B$2:$G$191,5,FALSE)</f>
      </c>
      <c r="V103" s="14" t="str">
        <v>推广中心组</v>
      </c>
      <c r="W103" s="3">
        <f>VLOOKUP(K103,'Sheet11'!$X$2:$AH$279,11,FALSE)</f>
      </c>
      <c r="X103" s="3"/>
      <c r="Y103" s="3"/>
      <c r="Z103" s="3"/>
      <c r="AA103" s="3"/>
    </row>
    <row r="104">
      <c r="A104" s="13" t="str">
        <v>站外</v>
      </c>
      <c r="B104" s="13" t="str">
        <v>磁力引擎</v>
      </c>
      <c r="C104" s="3" t="str">
        <v>杭州宜格化妆品有限公司</v>
      </c>
      <c r="D104" s="3"/>
      <c r="E104" s="3"/>
      <c r="F104" s="3" t="str">
        <v>自投</v>
      </c>
      <c r="G104" s="13" t="str">
        <v>群邑（上海）广告有限公司</v>
      </c>
      <c r="H104" s="12"/>
      <c r="I104" s="3"/>
      <c r="J104" s="11">
        <f>VLOOKUP(K104,'Sheet5'!$J$3:$K$200,2,FALSE)</f>
      </c>
      <c r="K104" s="13">
        <v>16901298</v>
      </c>
      <c r="L104" s="11"/>
      <c r="M104" s="11"/>
      <c r="N104" s="11" t="str">
        <v>否</v>
      </c>
      <c r="O104" s="3"/>
      <c r="P104" s="3" t="str">
        <v>否</v>
      </c>
      <c r="Q104" s="3" t="str">
        <v>否</v>
      </c>
      <c r="R104" s="3"/>
      <c r="S104" s="14">
        <f>VLOOKUP(B104,'Sheet9'!$B$2:$G$191,3,FALSE)</f>
      </c>
      <c r="T104" s="14">
        <f>VLOOKUP(B104,'Sheet9'!$B$2:$G$191,4,FALSE)</f>
      </c>
      <c r="U104" s="14">
        <f>VLOOKUP(B104,'Sheet9'!$B$2:$G$191,5,FALSE)</f>
      </c>
      <c r="V104" s="14" t="str">
        <v>推广中心组</v>
      </c>
      <c r="W104" s="3">
        <f>VLOOKUP(K104,'Sheet11'!$X$2:$AH$279,11,FALSE)</f>
      </c>
      <c r="X104" s="3"/>
      <c r="Y104" s="3"/>
      <c r="Z104" s="3"/>
      <c r="AA104" s="3"/>
    </row>
    <row r="105">
      <c r="A105" s="13" t="str">
        <v>站外</v>
      </c>
      <c r="B105" s="13" t="str">
        <v>磁力引擎</v>
      </c>
      <c r="C105" s="3" t="str">
        <v>杭州宜格化妆品有限公司</v>
      </c>
      <c r="D105" s="3"/>
      <c r="E105" s="3"/>
      <c r="F105" s="3" t="str">
        <v>自投</v>
      </c>
      <c r="G105" s="13" t="str">
        <v>群邑（上海）广告有限公司</v>
      </c>
      <c r="H105" s="12"/>
      <c r="I105" s="3"/>
      <c r="J105" s="11">
        <f>VLOOKUP(K105,'Sheet5'!$J$3:$K$200,2,FALSE)</f>
      </c>
      <c r="K105" s="13">
        <v>16896876</v>
      </c>
      <c r="L105" s="11"/>
      <c r="M105" s="11"/>
      <c r="N105" s="11" t="str">
        <v>否</v>
      </c>
      <c r="O105" s="3"/>
      <c r="P105" s="3" t="str">
        <v>否</v>
      </c>
      <c r="Q105" s="3" t="str">
        <v>否</v>
      </c>
      <c r="R105" s="3"/>
      <c r="S105" s="14">
        <f>VLOOKUP(B105,'Sheet9'!$B$2:$G$191,3,FALSE)</f>
      </c>
      <c r="T105" s="14">
        <f>VLOOKUP(B105,'Sheet9'!$B$2:$G$191,4,FALSE)</f>
      </c>
      <c r="U105" s="14">
        <f>VLOOKUP(B105,'Sheet9'!$B$2:$G$191,5,FALSE)</f>
      </c>
      <c r="V105" s="14" t="str">
        <v>推广中心组</v>
      </c>
      <c r="W105" s="3">
        <f>VLOOKUP(K105,'Sheet11'!$X$2:$AH$279,11,FALSE)</f>
      </c>
      <c r="X105" s="3"/>
      <c r="Y105" s="3"/>
      <c r="Z105" s="3"/>
      <c r="AA105" s="3"/>
    </row>
    <row r="106">
      <c r="A106" s="13" t="str">
        <v>站外</v>
      </c>
      <c r="B106" s="3" t="str">
        <v>磁力金牛</v>
      </c>
      <c r="C106" s="3" t="str">
        <v>杭州宜格化妆品有限公司</v>
      </c>
      <c r="D106" s="15"/>
      <c r="E106" s="3"/>
      <c r="F106" s="3" t="str">
        <v>自投</v>
      </c>
      <c r="G106" s="3" t="str">
        <v>群邑（上海）广告有限公司</v>
      </c>
      <c r="H106" s="12"/>
      <c r="I106" s="3"/>
      <c r="J106" s="11">
        <f>VLOOKUP(K106,'Sheet5'!$J$3:$K$200,2,FALSE)</f>
      </c>
      <c r="K106" s="3">
        <v>16909142</v>
      </c>
      <c r="L106" s="11"/>
      <c r="M106" s="11"/>
      <c r="N106" s="11" t="str">
        <v>否</v>
      </c>
      <c r="O106" s="3"/>
      <c r="P106" s="3"/>
      <c r="Q106" s="3"/>
      <c r="R106" s="3"/>
      <c r="S106" s="14">
        <f>VLOOKUP(B106,'Sheet9'!$B$2:$G$191,3,FALSE)</f>
      </c>
      <c r="T106" s="38" t="str">
        <v>快手部</v>
      </c>
      <c r="U106" s="38" t="str">
        <v>快手运营推广部</v>
      </c>
      <c r="V106" s="14"/>
      <c r="W106" s="3">
        <f>VLOOKUP(K106,'Sheet11'!$X$2:$AH$279,11,FALSE)</f>
      </c>
      <c r="X106" s="3"/>
      <c r="Y106" s="3"/>
      <c r="Z106" s="3"/>
      <c r="AA106" s="3"/>
    </row>
    <row r="107">
      <c r="A107" s="13" t="str">
        <v>站外</v>
      </c>
      <c r="B107" s="3" t="str">
        <v>磁力金牛</v>
      </c>
      <c r="C107" s="3" t="str">
        <v>杭州宜格化妆品有限公司</v>
      </c>
      <c r="D107" s="15"/>
      <c r="E107" s="3"/>
      <c r="F107" s="3" t="str">
        <v>自投</v>
      </c>
      <c r="G107" s="3" t="str">
        <v>群邑（上海）广告有限公司</v>
      </c>
      <c r="H107" s="12"/>
      <c r="I107" s="3"/>
      <c r="J107" s="11">
        <f>VLOOKUP(K107,'Sheet5'!$J$3:$K$200,2,FALSE)</f>
      </c>
      <c r="K107" s="3">
        <v>16907921</v>
      </c>
      <c r="L107" s="11"/>
      <c r="M107" s="11"/>
      <c r="N107" s="11" t="str">
        <v>否</v>
      </c>
      <c r="O107" s="3"/>
      <c r="P107" s="3"/>
      <c r="Q107" s="3"/>
      <c r="R107" s="3"/>
      <c r="S107" s="14">
        <f>VLOOKUP(B107,'Sheet9'!$B$2:$G$191,3,FALSE)</f>
      </c>
      <c r="T107" s="38" t="str">
        <v>快手部</v>
      </c>
      <c r="U107" s="38" t="str">
        <v>快手运营推广部</v>
      </c>
      <c r="V107" s="14"/>
      <c r="W107" s="3">
        <f>VLOOKUP(K107,'Sheet11'!$X$2:$AH$279,11,FALSE)</f>
      </c>
      <c r="X107" s="3"/>
      <c r="Y107" s="3"/>
      <c r="Z107" s="3"/>
      <c r="AA107" s="3"/>
    </row>
    <row r="108">
      <c r="A108" s="13" t="str">
        <v>站外</v>
      </c>
      <c r="B108" s="3" t="str">
        <v>磁力金牛</v>
      </c>
      <c r="C108" s="3" t="str">
        <v>杭州宜格化妆品有限公司</v>
      </c>
      <c r="D108" s="15"/>
      <c r="E108" s="3"/>
      <c r="F108" s="3" t="str">
        <v>自投</v>
      </c>
      <c r="G108" s="3" t="str">
        <v>群邑（上海）广告有限公司</v>
      </c>
      <c r="H108" s="12"/>
      <c r="I108" s="3"/>
      <c r="J108" s="11">
        <f>VLOOKUP(K108,'Sheet5'!$J$3:$K$200,2,FALSE)</f>
      </c>
      <c r="K108" s="3">
        <v>16909145</v>
      </c>
      <c r="L108" s="11"/>
      <c r="M108" s="11"/>
      <c r="N108" s="11" t="str">
        <v>否</v>
      </c>
      <c r="O108" s="3"/>
      <c r="P108" s="3"/>
      <c r="Q108" s="3"/>
      <c r="R108" s="3"/>
      <c r="S108" s="14">
        <f>VLOOKUP(B108,'Sheet9'!$B$2:$G$191,3,FALSE)</f>
      </c>
      <c r="T108" s="38" t="str">
        <v>快手部</v>
      </c>
      <c r="U108" s="38" t="str">
        <v>快手运营推广部</v>
      </c>
      <c r="V108" s="14"/>
      <c r="W108" s="3">
        <f>VLOOKUP(K108,'Sheet11'!$X$2:$AH$279,11,FALSE)</f>
      </c>
      <c r="X108" s="3"/>
      <c r="Y108" s="3"/>
      <c r="Z108" s="3"/>
      <c r="AA108" s="3"/>
    </row>
    <row r="109">
      <c r="A109" s="13" t="str">
        <v>站外</v>
      </c>
      <c r="B109" s="3" t="str">
        <v>千川信息流</v>
      </c>
      <c r="C109" s="3" t="str">
        <v>杭州宜格化妆品有限公司</v>
      </c>
      <c r="D109" s="15"/>
      <c r="E109" s="3"/>
      <c r="F109" s="3" t="str">
        <v>自投</v>
      </c>
      <c r="G109" s="13" t="str">
        <v>上海博观瑞思传媒科技有限公司</v>
      </c>
      <c r="H109" s="12"/>
      <c r="I109" s="3"/>
      <c r="J109" s="11">
        <f>VLOOKUP(K109,'Sheet5'!$J$3:$K$200,2,FALSE)</f>
      </c>
      <c r="K109" s="13" t="str">
        <v>1695557841246222</v>
      </c>
      <c r="L109" s="11"/>
      <c r="M109" s="11"/>
      <c r="N109" s="11" t="str">
        <v>否</v>
      </c>
      <c r="O109" s="3"/>
      <c r="P109" s="3"/>
      <c r="Q109" s="3"/>
      <c r="R109" s="3"/>
      <c r="S109" s="3">
        <f>VLOOKUP(B109,'Sheet9'!$B$2:$G$191,3,FALSE)</f>
      </c>
      <c r="T109" s="3">
        <f>VLOOKUP(B109,'Sheet9'!$B$2:$G$191,4,FALSE)</f>
      </c>
      <c r="U109" s="3">
        <f>VLOOKUP(B109,'Sheet9'!$B$2:$G$191,5,FALSE)</f>
      </c>
      <c r="V109" s="3" t="str">
        <v>抖音推广部</v>
      </c>
      <c r="W109" s="3" t="str">
        <v>兴泉（韩兴泉）、流沙（俞君珠）、奶茶（唐丽）、榴莲（管晓辉）、三喜（王思雨）、白龙（樊苏北）</v>
      </c>
      <c r="X109" s="22"/>
      <c r="Y109" s="3"/>
      <c r="Z109" s="3"/>
      <c r="AA109" s="3"/>
    </row>
    <row r="110">
      <c r="A110" s="13" t="str">
        <v>站外</v>
      </c>
      <c r="B110" s="3" t="str">
        <v>千川信息流</v>
      </c>
      <c r="C110" s="3" t="str">
        <v>杭州宜格化妆品有限公司</v>
      </c>
      <c r="D110" s="15"/>
      <c r="E110" s="3"/>
      <c r="F110" s="3" t="str">
        <v>自投</v>
      </c>
      <c r="G110" s="13" t="str">
        <v>上海博观瑞思传媒科技有限公司</v>
      </c>
      <c r="H110" s="12"/>
      <c r="I110" s="3"/>
      <c r="J110" s="11">
        <f>VLOOKUP(K110,'Sheet5'!$J$3:$K$200,2,FALSE)</f>
      </c>
      <c r="K110" s="13" t="str">
        <v>1760222811427847</v>
      </c>
      <c r="L110" s="11"/>
      <c r="M110" s="11"/>
      <c r="N110" s="11" t="str">
        <v>否</v>
      </c>
      <c r="O110" s="3"/>
      <c r="P110" s="3"/>
      <c r="Q110" s="3"/>
      <c r="R110" s="3"/>
      <c r="S110" s="3">
        <f>VLOOKUP(B110,'Sheet9'!$B$2:$G$191,3,FALSE)</f>
      </c>
      <c r="T110" s="3">
        <f>VLOOKUP(B110,'Sheet9'!$B$2:$G$191,4,FALSE)</f>
      </c>
      <c r="U110" s="3">
        <f>VLOOKUP(B110,'Sheet9'!$B$2:$G$191,5,FALSE)</f>
      </c>
      <c r="V110" s="3" t="str">
        <v>抖音推广部</v>
      </c>
      <c r="W110" s="3" t="str">
        <v>兴泉（韩兴泉）、三喜（王思雨）</v>
      </c>
      <c r="X110" s="22"/>
      <c r="Y110" s="3"/>
      <c r="Z110" s="3"/>
      <c r="AA110" s="3"/>
    </row>
    <row r="111">
      <c r="A111" s="13" t="str">
        <v>站外</v>
      </c>
      <c r="B111" s="3" t="str">
        <v>千川信息流</v>
      </c>
      <c r="C111" s="3" t="str">
        <v>杭州宜格化妆品有限公司</v>
      </c>
      <c r="D111" s="15"/>
      <c r="E111" s="3"/>
      <c r="F111" s="3" t="str">
        <v>自投</v>
      </c>
      <c r="G111" s="13" t="str">
        <v>知定堂文化传媒（上海）有限公司</v>
      </c>
      <c r="H111" s="12"/>
      <c r="I111" s="3"/>
      <c r="J111" s="11" t="str">
        <v>凯丽隆-商品卡</v>
      </c>
      <c r="K111" s="13" t="str">
        <v>1761146745368653</v>
      </c>
      <c r="L111" s="11"/>
      <c r="M111" s="11"/>
      <c r="N111" s="11" t="str">
        <v>否</v>
      </c>
      <c r="O111" s="3"/>
      <c r="P111" s="3"/>
      <c r="Q111" s="3"/>
      <c r="R111" s="3"/>
      <c r="S111" s="3">
        <f>VLOOKUP(B111,'Sheet9'!$B$2:$G$191,3,FALSE)</f>
      </c>
      <c r="T111" s="3">
        <f>VLOOKUP(B111,'Sheet9'!$B$2:$G$191,4,FALSE)</f>
      </c>
      <c r="U111" s="3">
        <f>VLOOKUP(B111,'Sheet9'!$B$2:$G$191,5,FALSE)</f>
      </c>
      <c r="V111" s="3" t="str">
        <v>抖音推广部</v>
      </c>
      <c r="W111" s="3" t="str">
        <v>兴泉（韩兴泉）、三喜（王思雨）</v>
      </c>
      <c r="X111" s="22"/>
      <c r="Y111" s="3"/>
      <c r="Z111" s="3"/>
      <c r="AA111" s="3"/>
    </row>
    <row r="112">
      <c r="A112" s="13" t="str">
        <v>站外</v>
      </c>
      <c r="B112" s="13" t="str">
        <v>矩阵号千川信息流</v>
      </c>
      <c r="C112" s="3" t="str">
        <v>杭州宜格化妆品有限公司</v>
      </c>
      <c r="D112" s="15"/>
      <c r="E112" s="3"/>
      <c r="F112" s="3" t="str">
        <v>自投</v>
      </c>
      <c r="G112" s="13" t="str">
        <v>上海博观瑞思传媒科技有限公司</v>
      </c>
      <c r="H112" s="12"/>
      <c r="I112" s="3"/>
      <c r="J112" s="11">
        <f>VLOOKUP(K112,'Sheet5'!$J$3:$K$200,2,FALSE)</f>
      </c>
      <c r="K112" s="13" t="str">
        <v>1760519144208525</v>
      </c>
      <c r="L112" s="11"/>
      <c r="M112" s="11"/>
      <c r="N112" s="11" t="str">
        <v>否</v>
      </c>
      <c r="O112" s="3"/>
      <c r="P112" s="3"/>
      <c r="Q112" s="3"/>
      <c r="R112" s="3"/>
      <c r="S112" s="3">
        <f>VLOOKUP(B112,'Sheet9'!$B$2:$G$191,3,FALSE)</f>
      </c>
      <c r="T112" s="3">
        <f>VLOOKUP(B112,'Sheet9'!$B$2:$G$191,4,FALSE)</f>
      </c>
      <c r="U112" s="3">
        <f>VLOOKUP(B112,'Sheet9'!$B$2:$G$191,5,FALSE)</f>
      </c>
      <c r="V112" s="3" t="str">
        <v>矩阵运营部</v>
      </c>
      <c r="W112" s="3" t="str">
        <v>兴泉（韩兴泉）、可乐（周许颖）、意琳（肖意琳）、皮卡（王岑）</v>
      </c>
      <c r="X112" s="3"/>
      <c r="Y112" s="3"/>
      <c r="Z112" s="3"/>
      <c r="AA112" s="3"/>
    </row>
    <row r="113">
      <c r="A113" s="16" t="str">
        <v>站外</v>
      </c>
      <c r="B113" s="13" t="str">
        <v>小红书加热</v>
      </c>
      <c r="C113" s="3" t="str">
        <v>杭州宜格化妆品有限公司</v>
      </c>
      <c r="D113" s="15"/>
      <c r="E113" s="16" t="str">
        <v>小红书(TFPT08)</v>
      </c>
      <c r="F113" s="16" t="str">
        <v>代投</v>
      </c>
      <c r="G113" s="16" t="str">
        <v>上海剧星传媒股份有限公司(VEN00363)</v>
      </c>
      <c r="H113" s="12"/>
      <c r="I113" s="3"/>
      <c r="J113" s="16" t="str">
        <v>剧星小红书投放账户</v>
      </c>
      <c r="K113" s="16">
        <v>283885</v>
      </c>
      <c r="L113" s="11"/>
      <c r="M113" s="11"/>
      <c r="N113" s="11"/>
      <c r="O113" s="3"/>
      <c r="P113" s="16" t="str">
        <v>否(NO)</v>
      </c>
      <c r="Q113" s="16" t="str">
        <v>是(YES)</v>
      </c>
      <c r="R113" s="16" t="str">
        <v>否</v>
      </c>
      <c r="S113" s="3">
        <f>VLOOKUP(B113,'Sheet9'!$B$2:$G$191,3,FALSE)</f>
      </c>
      <c r="T113" s="3">
        <f>VLOOKUP(B113,'Sheet9'!$B$2:$G$191,4,FALSE)</f>
      </c>
      <c r="U113" s="3">
        <f>VLOOKUP(B113,'Sheet9'!$B$2:$G$191,5,FALSE)</f>
      </c>
      <c r="V113" s="3" t="str">
        <v>内容投放组</v>
      </c>
      <c r="W113" s="3">
        <f>VLOOKUP(K113,'Sheet11'!$X$2:$AH$279,11,FALSE)</f>
      </c>
      <c r="X113" s="3"/>
      <c r="Y113" s="3"/>
      <c r="Z113" s="3"/>
      <c r="AA113" s="3"/>
    </row>
    <row r="114">
      <c r="A114" s="13" t="str">
        <v>站外</v>
      </c>
      <c r="B114" s="3" t="str">
        <v>AD信息流</v>
      </c>
      <c r="C114" s="3" t="str">
        <v>杭州宜格化妆品有限公司</v>
      </c>
      <c r="D114" s="3"/>
      <c r="E114" s="3"/>
      <c r="F114" s="3" t="str">
        <v>自投</v>
      </c>
      <c r="G114" s="13" t="str">
        <v>上海聚胜万合广告有限公司</v>
      </c>
      <c r="H114" s="12"/>
      <c r="I114" s="3"/>
      <c r="J114" s="11">
        <f>VLOOKUP(K114,'Sheet5'!$J$3:$K$200,2,FALSE)</f>
      </c>
      <c r="K114" s="13" t="str">
        <v>1761595756097614</v>
      </c>
      <c r="L114" s="11"/>
      <c r="M114" s="11"/>
      <c r="N114" s="11" t="str">
        <v>否</v>
      </c>
      <c r="O114" s="3"/>
      <c r="P114" s="3" t="str">
        <v>否</v>
      </c>
      <c r="Q114" s="3" t="str">
        <v>否</v>
      </c>
      <c r="R114" s="3"/>
      <c r="S114" s="14">
        <f>VLOOKUP(B114,'Sheet9'!$B$2:$G$191,3,FALSE)</f>
      </c>
      <c r="T114" s="14">
        <f>VLOOKUP(B114,'Sheet9'!$B$2:$G$191,4,FALSE)</f>
      </c>
      <c r="U114" s="14">
        <f>VLOOKUP(B114,'Sheet9'!$B$2:$G$191,5,FALSE)</f>
      </c>
      <c r="V114" s="14" t="str">
        <v>推广中心组</v>
      </c>
      <c r="W114" s="3">
        <f>VLOOKUP(K114,'Sheet11'!$X$2:$AH$279,11,FALSE)</f>
      </c>
      <c r="X114" s="3"/>
      <c r="Y114" s="3"/>
      <c r="Z114" s="3"/>
      <c r="AA114" s="3"/>
    </row>
    <row r="115">
      <c r="A115" s="13" t="str">
        <v>站外</v>
      </c>
      <c r="B115" s="3" t="str">
        <v>AD信息流</v>
      </c>
      <c r="C115" s="3" t="str">
        <v>杭州宜格化妆品有限公司</v>
      </c>
      <c r="D115" s="3"/>
      <c r="E115" s="3"/>
      <c r="F115" s="3" t="str">
        <v>自投</v>
      </c>
      <c r="G115" s="13" t="str">
        <v>上海聚胜万合广告有限公司</v>
      </c>
      <c r="H115" s="12"/>
      <c r="I115" s="3"/>
      <c r="J115" s="11">
        <f>VLOOKUP(K115,'Sheet5'!$J$3:$K$200,2,FALSE)</f>
      </c>
      <c r="K115" s="13" t="str">
        <v>1761595755440142</v>
      </c>
      <c r="L115" s="11"/>
      <c r="M115" s="11"/>
      <c r="N115" s="11" t="str">
        <v>否</v>
      </c>
      <c r="O115" s="3"/>
      <c r="P115" s="3" t="str">
        <v>否</v>
      </c>
      <c r="Q115" s="3" t="str">
        <v>否</v>
      </c>
      <c r="R115" s="3"/>
      <c r="S115" s="14">
        <f>VLOOKUP(B115,'Sheet9'!$B$2:$G$191,3,FALSE)</f>
      </c>
      <c r="T115" s="14">
        <f>VLOOKUP(B115,'Sheet9'!$B$2:$G$191,4,FALSE)</f>
      </c>
      <c r="U115" s="14">
        <f>VLOOKUP(B115,'Sheet9'!$B$2:$G$191,5,FALSE)</f>
      </c>
      <c r="V115" s="14" t="str">
        <v>推广中心组</v>
      </c>
      <c r="W115" s="3">
        <f>VLOOKUP(K115,'Sheet11'!$X$2:$AH$279,11,FALSE)</f>
      </c>
      <c r="X115" s="3"/>
      <c r="Y115" s="3"/>
      <c r="Z115" s="3"/>
      <c r="AA115" s="3"/>
    </row>
    <row r="116">
      <c r="A116" s="13" t="str">
        <v>站外</v>
      </c>
      <c r="B116" s="3" t="str">
        <v>AD信息流</v>
      </c>
      <c r="C116" s="3" t="str">
        <v>杭州宜格化妆品有限公司</v>
      </c>
      <c r="D116" s="3"/>
      <c r="E116" s="3"/>
      <c r="F116" s="3" t="str">
        <v>自投</v>
      </c>
      <c r="G116" s="13" t="str">
        <v>上海聚胜万合广告有限公司</v>
      </c>
      <c r="H116" s="12"/>
      <c r="I116" s="3"/>
      <c r="J116" s="11">
        <f>VLOOKUP(K116,'Sheet5'!$J$3:$K$200,2,FALSE)</f>
      </c>
      <c r="K116" s="13" t="str">
        <v>1761595754924045</v>
      </c>
      <c r="L116" s="11"/>
      <c r="M116" s="11"/>
      <c r="N116" s="11" t="str">
        <v>否</v>
      </c>
      <c r="O116" s="3"/>
      <c r="P116" s="3" t="str">
        <v>否</v>
      </c>
      <c r="Q116" s="3" t="str">
        <v>否</v>
      </c>
      <c r="R116" s="3"/>
      <c r="S116" s="14">
        <f>VLOOKUP(B116,'Sheet9'!$B$2:$G$191,3,FALSE)</f>
      </c>
      <c r="T116" s="14">
        <f>VLOOKUP(B116,'Sheet9'!$B$2:$G$191,4,FALSE)</f>
      </c>
      <c r="U116" s="14">
        <f>VLOOKUP(B116,'Sheet9'!$B$2:$G$191,5,FALSE)</f>
      </c>
      <c r="V116" s="14" t="str">
        <v>推广中心组</v>
      </c>
      <c r="W116" s="3">
        <f>VLOOKUP(K116,'Sheet11'!$X$2:$AH$279,11,FALSE)</f>
      </c>
      <c r="X116" s="3"/>
      <c r="Y116" s="3"/>
      <c r="Z116" s="3"/>
      <c r="AA116" s="3"/>
    </row>
    <row r="117">
      <c r="A117" s="13" t="str">
        <v>站外</v>
      </c>
      <c r="B117" s="3" t="str">
        <v>AD信息流</v>
      </c>
      <c r="C117" s="3" t="str">
        <v>杭州宜格化妆品有限公司</v>
      </c>
      <c r="D117" s="3"/>
      <c r="E117" s="3"/>
      <c r="F117" s="3" t="str">
        <v>自投</v>
      </c>
      <c r="G117" s="13" t="str">
        <v>上海聚胜万合广告有限公司</v>
      </c>
      <c r="H117" s="12"/>
      <c r="I117" s="3"/>
      <c r="J117" s="11">
        <f>VLOOKUP(K117,'Sheet5'!$J$3:$K$200,2,FALSE)</f>
      </c>
      <c r="K117" s="13" t="str">
        <v>1761595756647431</v>
      </c>
      <c r="L117" s="11"/>
      <c r="M117" s="11"/>
      <c r="N117" s="11" t="str">
        <v>否</v>
      </c>
      <c r="O117" s="3"/>
      <c r="P117" s="3" t="str">
        <v>否</v>
      </c>
      <c r="Q117" s="3" t="str">
        <v>否</v>
      </c>
      <c r="R117" s="3"/>
      <c r="S117" s="14">
        <f>VLOOKUP(B117,'Sheet9'!$B$2:$G$191,3,FALSE)</f>
      </c>
      <c r="T117" s="14">
        <f>VLOOKUP(B117,'Sheet9'!$B$2:$G$191,4,FALSE)</f>
      </c>
      <c r="U117" s="14">
        <f>VLOOKUP(B117,'Sheet9'!$B$2:$G$191,5,FALSE)</f>
      </c>
      <c r="V117" s="14" t="str">
        <v>推广中心组</v>
      </c>
      <c r="W117" s="3">
        <f>VLOOKUP(K117,'Sheet11'!$X$2:$AH$279,11,FALSE)</f>
      </c>
      <c r="X117" s="3"/>
      <c r="Y117" s="3"/>
      <c r="Z117" s="3"/>
      <c r="AA117" s="3"/>
    </row>
    <row r="118">
      <c r="A118" s="13" t="str">
        <v>站外</v>
      </c>
      <c r="B118" s="3" t="str">
        <v>AD信息流</v>
      </c>
      <c r="C118" s="3" t="str">
        <v>杭州宜格化妆品有限公司</v>
      </c>
      <c r="D118" s="3"/>
      <c r="E118" s="3"/>
      <c r="F118" s="3" t="str">
        <v>自投</v>
      </c>
      <c r="G118" s="13" t="str">
        <v>上海聚胜万合广告有限公司</v>
      </c>
      <c r="H118" s="12"/>
      <c r="I118" s="3"/>
      <c r="J118" s="11">
        <f>VLOOKUP(K118,'Sheet5'!$J$3:$K$200,2,FALSE)</f>
      </c>
      <c r="K118" s="13" t="str">
        <v>1761595754386509</v>
      </c>
      <c r="L118" s="11"/>
      <c r="M118" s="11"/>
      <c r="N118" s="11" t="str">
        <v>否</v>
      </c>
      <c r="O118" s="3"/>
      <c r="P118" s="3" t="str">
        <v>否</v>
      </c>
      <c r="Q118" s="3" t="str">
        <v>否</v>
      </c>
      <c r="R118" s="3"/>
      <c r="S118" s="14">
        <f>VLOOKUP(B118,'Sheet9'!$B$2:$G$191,3,FALSE)</f>
      </c>
      <c r="T118" s="14">
        <f>VLOOKUP(B118,'Sheet9'!$B$2:$G$191,4,FALSE)</f>
      </c>
      <c r="U118" s="14">
        <f>VLOOKUP(B118,'Sheet9'!$B$2:$G$191,5,FALSE)</f>
      </c>
      <c r="V118" s="14" t="str">
        <v>推广中心组</v>
      </c>
      <c r="W118" s="3">
        <f>VLOOKUP(K118,'Sheet11'!$X$2:$AH$279,11,FALSE)</f>
      </c>
      <c r="X118" s="3"/>
      <c r="Y118" s="3"/>
      <c r="Z118" s="3"/>
      <c r="AA118" s="3"/>
    </row>
    <row r="119">
      <c r="A119" s="13" t="str">
        <v>站外</v>
      </c>
      <c r="B119" s="3" t="str">
        <v>AD信息流</v>
      </c>
      <c r="C119" s="3" t="str">
        <v>杭州宜格化妆品有限公司</v>
      </c>
      <c r="D119" s="3"/>
      <c r="E119" s="3"/>
      <c r="F119" s="3" t="str">
        <v>自投</v>
      </c>
      <c r="G119" s="13" t="str">
        <v>上海聚胜万合广告有限公司</v>
      </c>
      <c r="H119" s="12"/>
      <c r="I119" s="3"/>
      <c r="J119" s="11">
        <f>VLOOKUP(K119,'Sheet5'!$J$3:$K$200,2,FALSE)</f>
      </c>
      <c r="K119" s="13" t="str">
        <v>1761236891646989</v>
      </c>
      <c r="L119" s="11"/>
      <c r="M119" s="11"/>
      <c r="N119" s="11" t="str">
        <v>否</v>
      </c>
      <c r="O119" s="3"/>
      <c r="P119" s="3" t="str">
        <v>否</v>
      </c>
      <c r="Q119" s="3" t="str">
        <v>否</v>
      </c>
      <c r="R119" s="3"/>
      <c r="S119" s="14">
        <f>VLOOKUP(B119,'Sheet9'!$B$2:$G$191,3,FALSE)</f>
      </c>
      <c r="T119" s="14">
        <f>VLOOKUP(B119,'Sheet9'!$B$2:$G$191,4,FALSE)</f>
      </c>
      <c r="U119" s="14">
        <f>VLOOKUP(B119,'Sheet9'!$B$2:$G$191,5,FALSE)</f>
      </c>
      <c r="V119" s="14" t="str">
        <v>推广中心组</v>
      </c>
      <c r="W119" s="3">
        <f>VLOOKUP(K119,'Sheet11'!$X$2:$AH$279,11,FALSE)</f>
      </c>
      <c r="X119" s="3"/>
      <c r="Y119" s="3"/>
      <c r="Z119" s="3"/>
      <c r="AA119" s="3"/>
    </row>
    <row r="120">
      <c r="A120" s="13" t="str">
        <v>站外</v>
      </c>
      <c r="B120" s="13" t="str">
        <v>UD信息流</v>
      </c>
      <c r="C120" s="3" t="str">
        <v>杭州宜格化妆品有限公司</v>
      </c>
      <c r="D120" s="3"/>
      <c r="E120" s="3"/>
      <c r="F120" s="3" t="str">
        <v>自投</v>
      </c>
      <c r="G120" s="3" t="str">
        <v>上海剧星传媒股份有限公司</v>
      </c>
      <c r="H120" s="12"/>
      <c r="I120" s="3"/>
      <c r="J120" s="11">
        <f>VLOOKUP(K120,'Sheet5'!$J$3:$K$200,2,FALSE)</f>
      </c>
      <c r="K120" s="3">
        <v>1493959</v>
      </c>
      <c r="L120" s="11"/>
      <c r="M120" s="11"/>
      <c r="N120" s="11" t="str">
        <v>否</v>
      </c>
      <c r="O120" s="3"/>
      <c r="P120" s="3" t="str">
        <v>否</v>
      </c>
      <c r="Q120" s="3" t="str">
        <v>否</v>
      </c>
      <c r="R120" s="3"/>
      <c r="S120" s="14">
        <f>VLOOKUP(B120,'Sheet9'!$B$2:$G$191,3,FALSE)</f>
      </c>
      <c r="T120" s="14">
        <f>VLOOKUP(B120,'Sheet9'!$B$2:$G$191,4,FALSE)</f>
      </c>
      <c r="U120" s="14">
        <f>VLOOKUP(B120,'Sheet9'!$B$2:$G$191,5,FALSE)</f>
      </c>
      <c r="V120" s="14" t="str">
        <v>推广中心组</v>
      </c>
      <c r="W120" s="3">
        <f>VLOOKUP(K120,'Sheet11'!$X$2:$AH$279,11,FALSE)</f>
      </c>
      <c r="X120" s="3"/>
      <c r="Y120" s="3"/>
      <c r="Z120" s="3"/>
      <c r="AA120" s="3"/>
    </row>
    <row r="121">
      <c r="A121" s="16" t="str">
        <v>站外</v>
      </c>
      <c r="B121" s="13" t="str">
        <v>小红书加热</v>
      </c>
      <c r="C121" s="3" t="str">
        <v>杭州宜格化妆品有限公司</v>
      </c>
      <c r="D121" s="15"/>
      <c r="E121" s="16" t="str">
        <v>小红书(TFPT08)</v>
      </c>
      <c r="F121" s="16" t="str">
        <v>代投</v>
      </c>
      <c r="G121" s="16" t="str">
        <v>上海博观瑞思传媒科技有限公司(VEN02000)</v>
      </c>
      <c r="H121" s="12"/>
      <c r="I121" s="3"/>
      <c r="J121" s="16" t="str">
        <v>博观-花西子-2</v>
      </c>
      <c r="K121" s="16">
        <v>294814</v>
      </c>
      <c r="L121" s="11"/>
      <c r="M121" s="11"/>
      <c r="N121" s="11"/>
      <c r="O121" s="3"/>
      <c r="P121" s="16" t="str">
        <v>否(NO)</v>
      </c>
      <c r="Q121" s="16" t="str">
        <v>是(YES)</v>
      </c>
      <c r="R121" s="16" t="str">
        <v>否</v>
      </c>
      <c r="S121" s="3">
        <f>VLOOKUP(B121,'Sheet9'!$B$2:$G$191,3,FALSE)</f>
      </c>
      <c r="T121" s="3">
        <f>VLOOKUP(B121,'Sheet9'!$B$2:$G$191,4,FALSE)</f>
      </c>
      <c r="U121" s="3">
        <f>VLOOKUP(B121,'Sheet9'!$B$2:$G$191,5,FALSE)</f>
      </c>
      <c r="V121" s="3" t="str">
        <v>内容投放组</v>
      </c>
      <c r="W121" s="3">
        <f>VLOOKUP(K121,'Sheet11'!$X$2:$AH$279,11,FALSE)</f>
      </c>
      <c r="X121" s="3"/>
      <c r="Y121" s="3"/>
      <c r="Z121" s="3"/>
      <c r="AA121" s="3"/>
    </row>
    <row r="122">
      <c r="A122" s="13" t="str">
        <v>站外</v>
      </c>
      <c r="B122" s="3" t="str">
        <v>B站起飞加热</v>
      </c>
      <c r="C122" s="3" t="str">
        <v>杭州宜格化妆品有限公司</v>
      </c>
      <c r="D122" s="3"/>
      <c r="E122" s="3"/>
      <c r="F122" s="3" t="str">
        <v>自投</v>
      </c>
      <c r="G122" s="13" t="str">
        <v>杭州羽联信息科技有限公司</v>
      </c>
      <c r="H122" s="12"/>
      <c r="I122" s="3"/>
      <c r="J122" s="3" t="str">
        <v>火烧云3户</v>
      </c>
      <c r="K122" s="3" t="str">
        <v>火烧云3户</v>
      </c>
      <c r="L122" s="11"/>
      <c r="M122" s="11"/>
      <c r="N122" s="11" t="str">
        <v>否</v>
      </c>
      <c r="O122" s="3"/>
      <c r="P122" s="3"/>
      <c r="Q122" s="3"/>
      <c r="R122" s="3"/>
      <c r="S122" s="3">
        <f>VLOOKUP(B122,'Sheet9'!$B$2:$G$191,3,FALSE)</f>
      </c>
      <c r="T122" s="3">
        <f>VLOOKUP(B122,'Sheet9'!$B$2:$G$191,4,FALSE)</f>
      </c>
      <c r="U122" s="3">
        <f>VLOOKUP(B122,'Sheet9'!$B$2:$G$191,5,FALSE)</f>
      </c>
      <c r="V122" s="3" t="str">
        <v>内容投放组</v>
      </c>
      <c r="W122" s="3">
        <f>VLOOKUP(K122,'Sheet11'!$X$2:$AH$279,11,FALSE)</f>
      </c>
      <c r="X122" s="3"/>
      <c r="Y122" s="3"/>
      <c r="Z122" s="3"/>
      <c r="AA122" s="3"/>
    </row>
    <row r="123">
      <c r="A123" s="13" t="str">
        <v>站外</v>
      </c>
      <c r="B123" s="3" t="str">
        <v>B站起飞加热</v>
      </c>
      <c r="C123" s="3" t="str">
        <v>杭州宜格化妆品有限公司</v>
      </c>
      <c r="D123" s="3"/>
      <c r="E123" s="3"/>
      <c r="F123" s="3" t="str">
        <v>自投</v>
      </c>
      <c r="G123" s="17" t="str">
        <v>上海无堂网络科技有限公司</v>
      </c>
      <c r="H123" s="12"/>
      <c r="I123" s="3"/>
      <c r="J123" s="3" t="str">
        <v>无堂</v>
      </c>
      <c r="K123" s="3" t="str">
        <v>无堂</v>
      </c>
      <c r="L123" s="11"/>
      <c r="M123" s="11"/>
      <c r="N123" s="11" t="str">
        <v>否</v>
      </c>
      <c r="O123" s="3"/>
      <c r="P123" s="3"/>
      <c r="Q123" s="3"/>
      <c r="R123" s="3"/>
      <c r="S123" s="3">
        <f>VLOOKUP(B123,'Sheet9'!$B$2:$G$191,3,FALSE)</f>
      </c>
      <c r="T123" s="3">
        <f>VLOOKUP(B123,'Sheet9'!$B$2:$G$191,4,FALSE)</f>
      </c>
      <c r="U123" s="3">
        <f>VLOOKUP(B123,'Sheet9'!$B$2:$G$191,5,FALSE)</f>
      </c>
      <c r="V123" s="3" t="str">
        <v>内容投放组</v>
      </c>
      <c r="W123" s="3">
        <f>VLOOKUP(K123,'Sheet11'!$X$2:$AH$279,11,FALSE)</f>
      </c>
      <c r="X123" s="3"/>
      <c r="Y123" s="3"/>
      <c r="Z123" s="3"/>
      <c r="AA123" s="3"/>
    </row>
    <row customHeight="true" ht="19" r="124">
      <c r="A124" s="11" t="str">
        <v>站内</v>
      </c>
      <c r="B124" s="18" t="str">
        <v>天猫-直通车</v>
      </c>
      <c r="C124" s="11" t="str">
        <v>杭州宜格化妆品有限公司</v>
      </c>
      <c r="D124" s="11" t="str">
        <v>正常使用</v>
      </c>
      <c r="E124" s="11" t="str">
        <v>直通车</v>
      </c>
      <c r="F124" s="11" t="str">
        <v>自投</v>
      </c>
      <c r="G124" s="11" t="str">
        <v>杭州阿里妈妈软件服务有限公司</v>
      </c>
      <c r="H124" s="12"/>
      <c r="I124" s="3"/>
      <c r="J124" s="11" t="str">
        <v>天猫花西子旗舰店-直通车</v>
      </c>
      <c r="K124" s="11" t="str">
        <v>DP015-022</v>
      </c>
      <c r="L124" s="11"/>
      <c r="M124" s="11"/>
      <c r="N124" s="11" t="str">
        <v>是</v>
      </c>
      <c r="O124" s="11" t="str">
        <v>是</v>
      </c>
      <c r="P124" s="11" t="str">
        <v>否</v>
      </c>
      <c r="Q124" s="11" t="str">
        <v>否</v>
      </c>
      <c r="R124" s="11" t="str">
        <v>是</v>
      </c>
      <c r="S124" s="14">
        <f>VLOOKUP(B124,'Sheet9'!$B$2:$G$191,3,FALSE)</f>
      </c>
      <c r="T124" s="14">
        <f>VLOOKUP(B124,'Sheet9'!$B$2:$G$191,4,FALSE)</f>
      </c>
      <c r="U124" s="14">
        <f>VLOOKUP(B124,'Sheet9'!$B$2:$G$191,5,FALSE)</f>
      </c>
      <c r="V124" s="14" t="str">
        <v>推广中心组</v>
      </c>
      <c r="W124" s="3">
        <f>VLOOKUP(K124,'Sheet11'!$X$2:$AH$279,11,FALSE)</f>
      </c>
      <c r="X124" s="11"/>
      <c r="Y124" s="11" t="str">
        <v>贝果</v>
      </c>
      <c r="Z124" s="3" t="str">
        <v>杜英晗、刘建旺、刘如敏、韦应峰</v>
      </c>
      <c r="AA124" s="11" t="str">
        <v>账号密码</v>
      </c>
    </row>
    <row customHeight="true" ht="19" r="125">
      <c r="A125" s="11" t="str">
        <v>站内</v>
      </c>
      <c r="B125" s="18" t="str">
        <v>天猫-引力魔方</v>
      </c>
      <c r="C125" s="11" t="str">
        <v>杭州宜格化妆品有限公司</v>
      </c>
      <c r="D125" s="11" t="str">
        <v>正常使用</v>
      </c>
      <c r="E125" s="11" t="str">
        <v>引力魔方</v>
      </c>
      <c r="F125" s="11" t="str">
        <v>自投</v>
      </c>
      <c r="G125" s="11" t="str">
        <v>杭州阿里妈妈软件服务有限公司</v>
      </c>
      <c r="H125" s="12"/>
      <c r="I125" s="3"/>
      <c r="J125" s="11" t="str">
        <v>天猫花西子旗舰店-引力魔方</v>
      </c>
      <c r="K125" s="11" t="str">
        <v>DP015-023</v>
      </c>
      <c r="L125" s="11"/>
      <c r="M125" s="11"/>
      <c r="N125" s="11" t="str">
        <v>是</v>
      </c>
      <c r="O125" s="11" t="str">
        <v>是</v>
      </c>
      <c r="P125" s="11" t="str">
        <v>否</v>
      </c>
      <c r="Q125" s="11" t="str">
        <v>否</v>
      </c>
      <c r="R125" s="11" t="str">
        <v>是</v>
      </c>
      <c r="S125" s="14">
        <f>VLOOKUP(B125,'Sheet9'!$B$2:$G$191,3,FALSE)</f>
      </c>
      <c r="T125" s="14">
        <f>VLOOKUP(B125,'Sheet9'!$B$2:$G$191,4,FALSE)</f>
      </c>
      <c r="U125" s="14">
        <f>VLOOKUP(B125,'Sheet9'!$B$2:$G$191,5,FALSE)</f>
      </c>
      <c r="V125" s="14" t="str">
        <v>推广中心组</v>
      </c>
      <c r="W125" s="3">
        <f>VLOOKUP(K125,'Sheet11'!$X$2:$AH$279,11,FALSE)</f>
      </c>
      <c r="X125" s="11"/>
      <c r="Y125" s="11" t="str">
        <v>贝果</v>
      </c>
      <c r="Z125" s="3" t="str">
        <v>杜英晗、刘建旺、刘如敏、韦应峰</v>
      </c>
      <c r="AA125" s="11" t="str">
        <v>账号密码</v>
      </c>
    </row>
    <row r="126">
      <c r="A126" s="3" t="str">
        <v>站内</v>
      </c>
      <c r="B126" s="17" t="str">
        <v>天猫-万相台-超级直播</v>
      </c>
      <c r="C126" s="11" t="str">
        <v>杭州宜格化妆品有限公司</v>
      </c>
      <c r="D126" s="3"/>
      <c r="E126" s="3"/>
      <c r="F126" s="3" t="str">
        <v>自投</v>
      </c>
      <c r="G126" s="11" t="str">
        <v>杭州阿里妈妈软件服务有限公司</v>
      </c>
      <c r="H126" s="12"/>
      <c r="I126" s="3"/>
      <c r="J126" s="17" t="str">
        <v>天猫花西子旗舰店-万相台-超级直播</v>
      </c>
      <c r="K126" s="11" t="str">
        <v>DP015-017</v>
      </c>
      <c r="L126" s="11"/>
      <c r="M126" s="11"/>
      <c r="N126" s="11" t="str">
        <v>否</v>
      </c>
      <c r="O126" s="3"/>
      <c r="P126" s="3"/>
      <c r="Q126" s="3"/>
      <c r="R126" s="3"/>
      <c r="S126" s="14">
        <f>VLOOKUP(B126,'Sheet9'!$B$2:$G$191,3,FALSE)</f>
      </c>
      <c r="T126" s="14">
        <f>VLOOKUP(B126,'Sheet9'!$B$2:$G$191,4,FALSE)</f>
      </c>
      <c r="U126" s="14">
        <f>VLOOKUP(B126,'Sheet9'!$B$2:$G$191,5,FALSE)</f>
      </c>
      <c r="V126" s="14" t="str">
        <v>推广中心组</v>
      </c>
      <c r="W126" s="3">
        <f>VLOOKUP(K126,'Sheet11'!$X$2:$AH$279,11,FALSE)</f>
      </c>
      <c r="X126" s="3"/>
      <c r="Y126" s="3"/>
      <c r="Z126" s="3"/>
      <c r="AA126" s="3"/>
    </row>
    <row r="127">
      <c r="A127" s="3" t="str">
        <v>站内</v>
      </c>
      <c r="B127" s="17" t="str">
        <v>天猫-万相台-超级短视频</v>
      </c>
      <c r="C127" s="11" t="str">
        <v>杭州宜格化妆品有限公司</v>
      </c>
      <c r="D127" s="3"/>
      <c r="E127" s="3"/>
      <c r="F127" s="3" t="str">
        <v>自投</v>
      </c>
      <c r="G127" s="11" t="str">
        <v>杭州阿里妈妈软件服务有限公司</v>
      </c>
      <c r="H127" s="12"/>
      <c r="I127" s="3"/>
      <c r="J127" s="17" t="str">
        <v>天猫花西子旗舰店-万相台-超级短视频</v>
      </c>
      <c r="K127" s="11" t="str">
        <v>DP015-021</v>
      </c>
      <c r="L127" s="11"/>
      <c r="M127" s="11"/>
      <c r="N127" s="11" t="str">
        <v>否</v>
      </c>
      <c r="O127" s="3"/>
      <c r="P127" s="3"/>
      <c r="Q127" s="3"/>
      <c r="R127" s="3"/>
      <c r="S127" s="14">
        <f>VLOOKUP(B127,'Sheet9'!$B$2:$G$191,3,FALSE)</f>
      </c>
      <c r="T127" s="14">
        <f>VLOOKUP(B127,'Sheet9'!$B$2:$G$191,4,FALSE)</f>
      </c>
      <c r="U127" s="14">
        <f>VLOOKUP(B127,'Sheet9'!$B$2:$G$191,5,FALSE)</f>
      </c>
      <c r="V127" s="14" t="str">
        <v>推广中心组</v>
      </c>
      <c r="W127" s="3">
        <f>VLOOKUP(K127,'Sheet11'!$X$2:$AH$279,11,FALSE)</f>
      </c>
      <c r="X127" s="3"/>
      <c r="Y127" s="3"/>
      <c r="Z127" s="3"/>
      <c r="AA127" s="3"/>
    </row>
    <row r="128">
      <c r="A128" s="3" t="str">
        <v>站内</v>
      </c>
      <c r="B128" s="17" t="str">
        <v>天猫-万相台-常规投放</v>
      </c>
      <c r="C128" s="11" t="str">
        <v>杭州宜格化妆品有限公司</v>
      </c>
      <c r="D128" s="3"/>
      <c r="E128" s="3"/>
      <c r="F128" s="3" t="str">
        <v>自投</v>
      </c>
      <c r="G128" s="11" t="str">
        <v>杭州阿里妈妈软件服务有限公司</v>
      </c>
      <c r="H128" s="12"/>
      <c r="I128" s="3"/>
      <c r="J128" s="17" t="str">
        <v>天猫花西子旗舰店-万相台-拉新快</v>
      </c>
      <c r="K128" s="11" t="str">
        <v>DP015-019</v>
      </c>
      <c r="L128" s="11"/>
      <c r="M128" s="11"/>
      <c r="N128" s="11" t="str">
        <v>否</v>
      </c>
      <c r="O128" s="3"/>
      <c r="P128" s="3"/>
      <c r="Q128" s="3"/>
      <c r="R128" s="3"/>
      <c r="S128" s="14">
        <f>VLOOKUP(B128,'Sheet9'!$B$2:$G$191,3,FALSE)</f>
      </c>
      <c r="T128" s="14">
        <f>VLOOKUP(B128,'Sheet9'!$B$2:$G$191,4,FALSE)</f>
      </c>
      <c r="U128" s="14">
        <f>VLOOKUP(B128,'Sheet9'!$B$2:$G$191,5,FALSE)</f>
      </c>
      <c r="V128" s="14" t="str">
        <v>推广中心组</v>
      </c>
      <c r="W128" s="3">
        <f>VLOOKUP(K128,'Sheet11'!$X$2:$AH$279,11,FALSE)</f>
      </c>
      <c r="X128" s="3"/>
      <c r="Y128" s="3"/>
      <c r="Z128" s="3"/>
      <c r="AA128" s="3"/>
    </row>
    <row customHeight="true" ht="19" r="129">
      <c r="A129" s="53" t="str">
        <v>站内</v>
      </c>
      <c r="B129" s="54" t="str">
        <v>天猫-万相台-常规投放</v>
      </c>
      <c r="C129" s="55" t="str">
        <v>杭州宜格化妆品有限公司</v>
      </c>
      <c r="D129" s="53"/>
      <c r="E129" s="53"/>
      <c r="F129" s="53" t="str">
        <v>自投</v>
      </c>
      <c r="G129" s="55" t="str">
        <v>杭州阿里妈妈软件服务有限公司</v>
      </c>
      <c r="H129" s="12"/>
      <c r="I129" s="53"/>
      <c r="J129" s="54" t="str">
        <v>天猫花西子旗舰店-万相台-会员快</v>
      </c>
      <c r="K129" s="11" t="str">
        <v>DP015-034</v>
      </c>
      <c r="L129" s="55"/>
      <c r="M129" s="55"/>
      <c r="N129" s="11" t="str">
        <v>否</v>
      </c>
      <c r="O129" s="53"/>
      <c r="P129" s="53"/>
      <c r="Q129" s="53"/>
      <c r="R129" s="53"/>
      <c r="S129" s="14">
        <f>VLOOKUP(B129,'Sheet9'!$B$2:$G$191,3,FALSE)</f>
      </c>
      <c r="T129" s="14">
        <f>VLOOKUP(B129,'Sheet9'!$B$2:$G$191,4,FALSE)</f>
      </c>
      <c r="U129" s="14">
        <f>VLOOKUP(B129,'Sheet9'!$B$2:$G$191,5,FALSE)</f>
      </c>
      <c r="V129" s="14" t="str">
        <v>推广中心组</v>
      </c>
      <c r="W129" s="3">
        <f>VLOOKUP(K129,'Sheet11'!$X$2:$AH$279,11,FALSE)</f>
      </c>
      <c r="X129" s="53"/>
      <c r="Y129" s="53"/>
      <c r="Z129" s="53"/>
      <c r="AA129" s="53"/>
    </row>
    <row r="130">
      <c r="A130" s="3" t="str">
        <v>站内</v>
      </c>
      <c r="B130" s="17" t="str">
        <v>天猫-万相台-常规投放</v>
      </c>
      <c r="C130" s="11" t="str">
        <v>杭州宜格化妆品有限公司</v>
      </c>
      <c r="D130" s="3"/>
      <c r="E130" s="3"/>
      <c r="F130" s="3" t="str">
        <v>自投</v>
      </c>
      <c r="G130" s="11" t="str">
        <v>杭州阿里妈妈软件服务有限公司</v>
      </c>
      <c r="H130" s="12"/>
      <c r="I130" s="3"/>
      <c r="J130" s="17" t="str">
        <v>天猫花西子旗舰店-万相台-上新快</v>
      </c>
      <c r="K130" s="11" t="str">
        <v>DP015-020</v>
      </c>
      <c r="L130" s="11"/>
      <c r="M130" s="11"/>
      <c r="N130" s="11" t="str">
        <v>否</v>
      </c>
      <c r="O130" s="3"/>
      <c r="P130" s="3"/>
      <c r="Q130" s="3"/>
      <c r="R130" s="3"/>
      <c r="S130" s="14">
        <f>VLOOKUP(B130,'Sheet9'!$B$2:$G$191,3,FALSE)</f>
      </c>
      <c r="T130" s="14">
        <f>VLOOKUP(B130,'Sheet9'!$B$2:$G$191,4,FALSE)</f>
      </c>
      <c r="U130" s="14">
        <f>VLOOKUP(B130,'Sheet9'!$B$2:$G$191,5,FALSE)</f>
      </c>
      <c r="V130" s="14" t="str">
        <v>推广中心组</v>
      </c>
      <c r="W130" s="3">
        <f>VLOOKUP(K130,'Sheet11'!$X$2:$AH$279,11,FALSE)</f>
      </c>
      <c r="X130" s="3"/>
      <c r="Y130" s="3"/>
      <c r="Z130" s="3"/>
      <c r="AA130" s="3"/>
    </row>
    <row r="131">
      <c r="A131" s="3" t="str">
        <v>站内</v>
      </c>
      <c r="B131" s="17" t="str">
        <v>天猫-万相台-常规投放</v>
      </c>
      <c r="C131" s="11" t="str">
        <v>杭州宜格化妆品有限公司</v>
      </c>
      <c r="D131" s="3"/>
      <c r="E131" s="3"/>
      <c r="F131" s="3" t="str">
        <v>自投</v>
      </c>
      <c r="G131" s="11" t="str">
        <v>杭州阿里妈妈软件服务有限公司</v>
      </c>
      <c r="H131" s="12"/>
      <c r="I131" s="3"/>
      <c r="J131" s="17" t="str">
        <v>天猫花西子旗舰店-万相台-货品加速</v>
      </c>
      <c r="K131" s="11" t="str">
        <v>DP015-018</v>
      </c>
      <c r="L131" s="11"/>
      <c r="M131" s="11"/>
      <c r="N131" s="11" t="str">
        <v>否</v>
      </c>
      <c r="O131" s="3"/>
      <c r="P131" s="3"/>
      <c r="Q131" s="3"/>
      <c r="R131" s="3"/>
      <c r="S131" s="14">
        <f>VLOOKUP(B131,'Sheet9'!$B$2:$G$191,3,FALSE)</f>
      </c>
      <c r="T131" s="14">
        <f>VLOOKUP(B131,'Sheet9'!$B$2:$G$191,4,FALSE)</f>
      </c>
      <c r="U131" s="14">
        <f>VLOOKUP(B131,'Sheet9'!$B$2:$G$191,5,FALSE)</f>
      </c>
      <c r="V131" s="14" t="str">
        <v>推广中心组</v>
      </c>
      <c r="W131" s="3">
        <f>VLOOKUP(K131,'Sheet11'!$X$2:$AH$279,11,FALSE)</f>
      </c>
      <c r="X131" s="3"/>
      <c r="Y131" s="3"/>
      <c r="Z131" s="3"/>
      <c r="AA131" s="3"/>
    </row>
    <row r="132">
      <c r="A132" s="3" t="str">
        <v>站内</v>
      </c>
      <c r="B132" s="17" t="str">
        <v>天猫-万相台-常规投放</v>
      </c>
      <c r="C132" s="11" t="str">
        <v>杭州宜格化妆品有限公司</v>
      </c>
      <c r="D132" s="3"/>
      <c r="E132" s="3"/>
      <c r="F132" s="3" t="str">
        <v>自投</v>
      </c>
      <c r="G132" s="11" t="str">
        <v>杭州阿里妈妈软件服务有限公司</v>
      </c>
      <c r="H132" s="12"/>
      <c r="I132" s="3"/>
      <c r="J132" s="17" t="str">
        <v>天猫花西子旗舰店-万相台-活动加速</v>
      </c>
      <c r="K132" s="11" t="str">
        <v>DP015-016</v>
      </c>
      <c r="L132" s="11"/>
      <c r="M132" s="11"/>
      <c r="N132" s="11" t="str">
        <v>否</v>
      </c>
      <c r="O132" s="3"/>
      <c r="P132" s="3"/>
      <c r="Q132" s="3"/>
      <c r="R132" s="3"/>
      <c r="S132" s="14">
        <f>VLOOKUP(B132,'Sheet9'!$B$2:$G$191,3,FALSE)</f>
      </c>
      <c r="T132" s="14">
        <f>VLOOKUP(B132,'Sheet9'!$B$2:$G$191,4,FALSE)</f>
      </c>
      <c r="U132" s="14">
        <f>VLOOKUP(B132,'Sheet9'!$B$2:$G$191,5,FALSE)</f>
      </c>
      <c r="V132" s="14" t="str">
        <v>推广中心组</v>
      </c>
      <c r="W132" s="3">
        <f>VLOOKUP(K132,'Sheet11'!$X$2:$AH$279,11,FALSE)</f>
      </c>
      <c r="X132" s="3"/>
      <c r="Y132" s="3"/>
      <c r="Z132" s="3"/>
      <c r="AA132" s="3"/>
    </row>
    <row customHeight="true" ht="19" r="133">
      <c r="A133" s="11" t="str">
        <v>站内</v>
      </c>
      <c r="B133" s="18" t="str">
        <v>淘宝匠泽-直通车</v>
      </c>
      <c r="C133" s="11" t="str">
        <v>杭州匠泽电子商务有限公司</v>
      </c>
      <c r="D133" s="11" t="str">
        <v>正常使用</v>
      </c>
      <c r="E133" s="11"/>
      <c r="F133" s="11" t="str">
        <v>自投</v>
      </c>
      <c r="G133" s="11" t="str">
        <v>杭州阿里妈妈软件服务有限公司</v>
      </c>
      <c r="H133" s="12"/>
      <c r="I133" s="3"/>
      <c r="J133" s="11" t="str">
        <v>天猫花西子匠泽店-直通车</v>
      </c>
      <c r="K133" s="11" t="str">
        <v>DP001-022</v>
      </c>
      <c r="L133" s="11"/>
      <c r="M133" s="11"/>
      <c r="N133" s="11" t="str">
        <v>是</v>
      </c>
      <c r="O133" s="11" t="str">
        <v>是</v>
      </c>
      <c r="P133" s="11" t="str">
        <v>否</v>
      </c>
      <c r="Q133" s="11" t="str">
        <v>否</v>
      </c>
      <c r="R133" s="11" t="str">
        <v>是</v>
      </c>
      <c r="S133" s="14">
        <f>VLOOKUP(B133,'Sheet9'!$B$2:$G$191,3,FALSE)</f>
      </c>
      <c r="T133" s="14">
        <f>VLOOKUP(B133,'Sheet9'!$B$2:$G$191,4,FALSE)</f>
      </c>
      <c r="U133" s="14">
        <f>VLOOKUP(B133,'Sheet9'!$B$2:$G$191,5,FALSE)</f>
      </c>
      <c r="V133" s="14" t="str">
        <v>推广中心组</v>
      </c>
      <c r="W133" s="3">
        <f>VLOOKUP(K133,'Sheet11'!$X$2:$AH$279,11,FALSE)</f>
      </c>
      <c r="X133" s="11"/>
      <c r="Y133" s="11" t="str">
        <v>贝果</v>
      </c>
      <c r="Z133" s="3" t="str">
        <v>杜英晗、刘建旺、刘如敏、韦应峰</v>
      </c>
      <c r="AA133" s="11" t="str">
        <v>账号密码</v>
      </c>
    </row>
    <row customHeight="true" ht="19" r="134">
      <c r="A134" s="11" t="str">
        <v>站内</v>
      </c>
      <c r="B134" s="18" t="str">
        <v>淘宝匠泽-引力魔方</v>
      </c>
      <c r="C134" s="11" t="str">
        <v>杭州匠泽电子商务有限公司</v>
      </c>
      <c r="D134" s="11" t="str">
        <v>正常使用</v>
      </c>
      <c r="E134" s="11"/>
      <c r="F134" s="11" t="str">
        <v>自投</v>
      </c>
      <c r="G134" s="11" t="str">
        <v>杭州阿里妈妈软件服务有限公司</v>
      </c>
      <c r="H134" s="12"/>
      <c r="I134" s="3"/>
      <c r="J134" s="11" t="str">
        <v>天猫花西子匠泽店-引力魔方</v>
      </c>
      <c r="K134" s="22" t="str">
        <v>DP001-023</v>
      </c>
      <c r="L134" s="11"/>
      <c r="M134" s="11"/>
      <c r="N134" s="11" t="str">
        <v>是</v>
      </c>
      <c r="O134" s="11" t="str">
        <v>是</v>
      </c>
      <c r="P134" s="11" t="str">
        <v>否</v>
      </c>
      <c r="Q134" s="11" t="str">
        <v>否</v>
      </c>
      <c r="R134" s="11" t="str">
        <v>是</v>
      </c>
      <c r="S134" s="14">
        <f>VLOOKUP(B134,'Sheet9'!$B$2:$G$191,3,FALSE)</f>
      </c>
      <c r="T134" s="14">
        <f>VLOOKUP(B134,'Sheet9'!$B$2:$G$191,4,FALSE)</f>
      </c>
      <c r="U134" s="14">
        <f>VLOOKUP(B134,'Sheet9'!$B$2:$G$191,5,FALSE)</f>
      </c>
      <c r="V134" s="14" t="str">
        <v>推广中心组</v>
      </c>
      <c r="W134" s="3">
        <f>VLOOKUP(K134,'Sheet11'!$X$2:$AH$279,11,FALSE)</f>
      </c>
      <c r="X134" s="11"/>
      <c r="Y134" s="11" t="str">
        <v>贝果</v>
      </c>
      <c r="Z134" s="3" t="str">
        <v>杜英晗、刘建旺、刘如敏、韦应峰</v>
      </c>
      <c r="AA134" s="11" t="str">
        <v>账号密码</v>
      </c>
    </row>
    <row r="135">
      <c r="A135" s="3" t="str">
        <v>站内</v>
      </c>
      <c r="B135" s="17" t="str">
        <v>天猫-万相台-超级直播</v>
      </c>
      <c r="C135" s="11" t="str">
        <v>杭州匠泽电子商务有限公司</v>
      </c>
      <c r="D135" s="12"/>
      <c r="E135" s="12"/>
      <c r="F135" s="3" t="str">
        <v>自投</v>
      </c>
      <c r="G135" s="11" t="str">
        <v>浙江阿里巴巴通信技术有限公司</v>
      </c>
      <c r="H135" s="12"/>
      <c r="I135" s="12"/>
      <c r="J135" s="17" t="str">
        <v>天猫花西子匠泽店-万相台-超级直播</v>
      </c>
      <c r="K135" s="22" t="str">
        <v>DP001-017</v>
      </c>
      <c r="L135" s="11"/>
      <c r="M135" s="11"/>
      <c r="N135" s="11" t="str">
        <v>否</v>
      </c>
      <c r="O135" s="12"/>
      <c r="P135" s="12"/>
      <c r="Q135" s="12"/>
      <c r="R135" s="12"/>
      <c r="S135" s="14">
        <f>VLOOKUP(B135,'Sheet9'!$B$2:$G$191,3,FALSE)</f>
      </c>
      <c r="T135" s="14">
        <f>VLOOKUP(B135,'Sheet9'!$B$2:$G$191,4,FALSE)</f>
      </c>
      <c r="U135" s="14">
        <f>VLOOKUP(B135,'Sheet9'!$B$2:$G$191,5,FALSE)</f>
      </c>
      <c r="V135" s="14" t="str">
        <v>推广中心组</v>
      </c>
      <c r="W135" s="3">
        <f>VLOOKUP(K135,'Sheet11'!$X$2:$AH$279,11,FALSE)</f>
      </c>
      <c r="X135" s="12"/>
      <c r="Y135" s="12"/>
      <c r="Z135" s="12"/>
      <c r="AA135" s="12"/>
    </row>
    <row r="136">
      <c r="A136" s="3" t="str">
        <v>站内</v>
      </c>
      <c r="B136" s="17" t="str">
        <v>天猫-万相台-超级短视频</v>
      </c>
      <c r="C136" s="11" t="str">
        <v>杭州匠泽电子商务有限公司</v>
      </c>
      <c r="D136" s="12"/>
      <c r="E136" s="12"/>
      <c r="F136" s="3" t="str">
        <v>自投</v>
      </c>
      <c r="G136" s="11" t="str">
        <v>浙江阿里巴巴通信技术有限公司</v>
      </c>
      <c r="H136" s="12"/>
      <c r="I136" s="12"/>
      <c r="J136" s="17" t="str">
        <v>天猫花西子匠泽店-万相台-超级短视频</v>
      </c>
      <c r="K136" s="22" t="str">
        <v>DP001-021</v>
      </c>
      <c r="L136" s="11"/>
      <c r="M136" s="11"/>
      <c r="N136" s="11" t="str">
        <v>否</v>
      </c>
      <c r="O136" s="12"/>
      <c r="P136" s="12"/>
      <c r="Q136" s="12"/>
      <c r="R136" s="12"/>
      <c r="S136" s="14">
        <f>VLOOKUP(B136,'Sheet9'!$B$2:$G$191,3,FALSE)</f>
      </c>
      <c r="T136" s="14">
        <f>VLOOKUP(B136,'Sheet9'!$B$2:$G$191,4,FALSE)</f>
      </c>
      <c r="U136" s="14">
        <f>VLOOKUP(B136,'Sheet9'!$B$2:$G$191,5,FALSE)</f>
      </c>
      <c r="V136" s="14" t="str">
        <v>推广中心组</v>
      </c>
      <c r="W136" s="3">
        <f>VLOOKUP(K136,'Sheet11'!$X$2:$AH$279,11,FALSE)</f>
      </c>
      <c r="X136" s="12"/>
      <c r="Y136" s="12"/>
      <c r="Z136" s="12"/>
      <c r="AA136" s="12"/>
    </row>
    <row r="137">
      <c r="A137" s="3" t="str">
        <v>站内</v>
      </c>
      <c r="B137" s="17" t="str">
        <v>天猫-万相台-常规投放</v>
      </c>
      <c r="C137" s="11" t="str">
        <v>杭州匠泽电子商务有限公司</v>
      </c>
      <c r="D137" s="12"/>
      <c r="E137" s="12"/>
      <c r="F137" s="3" t="str">
        <v>自投</v>
      </c>
      <c r="G137" s="11" t="str">
        <v>浙江阿里巴巴通信技术有限公司</v>
      </c>
      <c r="H137" s="12"/>
      <c r="I137" s="12"/>
      <c r="J137" s="17" t="str">
        <v>天猫花西子匠泽店-万相台-拉新快</v>
      </c>
      <c r="K137" s="22" t="str">
        <v>DP001-019</v>
      </c>
      <c r="L137" s="11"/>
      <c r="M137" s="11"/>
      <c r="N137" s="11" t="str">
        <v>否</v>
      </c>
      <c r="O137" s="12"/>
      <c r="P137" s="12"/>
      <c r="Q137" s="12"/>
      <c r="R137" s="12"/>
      <c r="S137" s="14">
        <f>VLOOKUP(B137,'Sheet9'!$B$2:$G$191,3,FALSE)</f>
      </c>
      <c r="T137" s="14">
        <f>VLOOKUP(B137,'Sheet9'!$B$2:$G$191,4,FALSE)</f>
      </c>
      <c r="U137" s="14">
        <f>VLOOKUP(B137,'Sheet9'!$B$2:$G$191,5,FALSE)</f>
      </c>
      <c r="V137" s="14" t="str">
        <v>推广中心组</v>
      </c>
      <c r="W137" s="3">
        <f>VLOOKUP(K137,'Sheet11'!$X$2:$AH$279,11,FALSE)</f>
      </c>
      <c r="X137" s="12"/>
      <c r="Y137" s="12"/>
      <c r="Z137" s="12"/>
      <c r="AA137" s="12"/>
    </row>
    <row customHeight="true" ht="19" r="138">
      <c r="A138" s="53" t="str">
        <v>站内</v>
      </c>
      <c r="B138" s="54" t="str">
        <v>天猫-万相台-常规投放</v>
      </c>
      <c r="C138" s="55" t="str">
        <v>杭州匠泽电子商务有限公司</v>
      </c>
      <c r="D138" s="62"/>
      <c r="E138" s="62"/>
      <c r="F138" s="53" t="str">
        <v>自投</v>
      </c>
      <c r="G138" s="55" t="str">
        <v>浙江阿里巴巴通信技术有限公司</v>
      </c>
      <c r="H138" s="12"/>
      <c r="I138" s="62"/>
      <c r="J138" s="54" t="str">
        <v>天猫花西子匠泽店-万相台-会员快</v>
      </c>
      <c r="K138" s="22" t="str">
        <v>DP001-034</v>
      </c>
      <c r="L138" s="55"/>
      <c r="M138" s="55"/>
      <c r="N138" s="11" t="str">
        <v>否</v>
      </c>
      <c r="O138" s="62"/>
      <c r="P138" s="62"/>
      <c r="Q138" s="62"/>
      <c r="R138" s="62"/>
      <c r="S138" s="14">
        <f>VLOOKUP(B138,'Sheet9'!$B$2:$G$191,3,FALSE)</f>
      </c>
      <c r="T138" s="14">
        <f>VLOOKUP(B138,'Sheet9'!$B$2:$G$191,4,FALSE)</f>
      </c>
      <c r="U138" s="14">
        <f>VLOOKUP(B138,'Sheet9'!$B$2:$G$191,5,FALSE)</f>
      </c>
      <c r="V138" s="14" t="str">
        <v>推广中心组</v>
      </c>
      <c r="W138" s="3">
        <f>VLOOKUP(K138,'Sheet11'!$X$2:$AH$279,11,FALSE)</f>
      </c>
      <c r="X138" s="62"/>
      <c r="Y138" s="62"/>
      <c r="Z138" s="62"/>
      <c r="AA138" s="62"/>
    </row>
    <row r="139">
      <c r="A139" s="3" t="str">
        <v>站内</v>
      </c>
      <c r="B139" s="17" t="str">
        <v>天猫-万相台-常规投放</v>
      </c>
      <c r="C139" s="11" t="str">
        <v>杭州匠泽电子商务有限公司</v>
      </c>
      <c r="D139" s="12"/>
      <c r="E139" s="12"/>
      <c r="F139" s="3" t="str">
        <v>自投</v>
      </c>
      <c r="G139" s="11" t="str">
        <v>浙江阿里巴巴通信技术有限公司</v>
      </c>
      <c r="H139" s="12"/>
      <c r="I139" s="12"/>
      <c r="J139" s="17" t="str">
        <v>天猫花西子匠泽店-万相台-上新快</v>
      </c>
      <c r="K139" s="22" t="str">
        <v>DP001-020</v>
      </c>
      <c r="L139" s="11"/>
      <c r="M139" s="11"/>
      <c r="N139" s="11" t="str">
        <v>否</v>
      </c>
      <c r="O139" s="12"/>
      <c r="P139" s="12"/>
      <c r="Q139" s="12"/>
      <c r="R139" s="12"/>
      <c r="S139" s="14">
        <f>VLOOKUP(B139,'Sheet9'!$B$2:$G$191,3,FALSE)</f>
      </c>
      <c r="T139" s="14">
        <f>VLOOKUP(B139,'Sheet9'!$B$2:$G$191,4,FALSE)</f>
      </c>
      <c r="U139" s="14">
        <f>VLOOKUP(B139,'Sheet9'!$B$2:$G$191,5,FALSE)</f>
      </c>
      <c r="V139" s="14" t="str">
        <v>推广中心组</v>
      </c>
      <c r="W139" s="3">
        <f>VLOOKUP(K139,'Sheet11'!$X$2:$AH$279,11,FALSE)</f>
      </c>
      <c r="X139" s="12"/>
      <c r="Y139" s="12"/>
      <c r="Z139" s="12"/>
      <c r="AA139" s="12"/>
    </row>
    <row r="140">
      <c r="A140" s="3" t="str">
        <v>站内</v>
      </c>
      <c r="B140" s="17" t="str">
        <v>天猫-万相台-常规投放</v>
      </c>
      <c r="C140" s="11" t="str">
        <v>杭州匠泽电子商务有限公司</v>
      </c>
      <c r="D140" s="12"/>
      <c r="E140" s="12"/>
      <c r="F140" s="3" t="str">
        <v>自投</v>
      </c>
      <c r="G140" s="11" t="str">
        <v>浙江阿里巴巴通信技术有限公司</v>
      </c>
      <c r="H140" s="12"/>
      <c r="I140" s="12"/>
      <c r="J140" s="17" t="str">
        <v>天猫花西子匠泽店-万相台-货品加速</v>
      </c>
      <c r="K140" s="22" t="str">
        <v>DP001-018</v>
      </c>
      <c r="L140" s="11"/>
      <c r="M140" s="11"/>
      <c r="N140" s="11" t="str">
        <v>否</v>
      </c>
      <c r="O140" s="12"/>
      <c r="P140" s="12"/>
      <c r="Q140" s="12"/>
      <c r="R140" s="12"/>
      <c r="S140" s="14">
        <f>VLOOKUP(B140,'Sheet9'!$B$2:$G$191,3,FALSE)</f>
      </c>
      <c r="T140" s="14">
        <f>VLOOKUP(B140,'Sheet9'!$B$2:$G$191,4,FALSE)</f>
      </c>
      <c r="U140" s="14">
        <f>VLOOKUP(B140,'Sheet9'!$B$2:$G$191,5,FALSE)</f>
      </c>
      <c r="V140" s="14" t="str">
        <v>推广中心组</v>
      </c>
      <c r="W140" s="3">
        <f>VLOOKUP(K140,'Sheet11'!$X$2:$AH$279,11,FALSE)</f>
      </c>
      <c r="X140" s="12"/>
      <c r="Y140" s="12"/>
      <c r="Z140" s="12"/>
      <c r="AA140" s="12"/>
    </row>
    <row r="141">
      <c r="A141" s="3" t="str">
        <v>站内</v>
      </c>
      <c r="B141" s="17" t="str">
        <v>天猫-万相台-常规投放</v>
      </c>
      <c r="C141" s="11" t="str">
        <v>杭州匠泽电子商务有限公司</v>
      </c>
      <c r="D141" s="12"/>
      <c r="E141" s="12"/>
      <c r="F141" s="3" t="str">
        <v>自投</v>
      </c>
      <c r="G141" s="11" t="str">
        <v>浙江阿里巴巴通信技术有限公司</v>
      </c>
      <c r="H141" s="12"/>
      <c r="I141" s="12"/>
      <c r="J141" s="17" t="str">
        <v>天猫花西子匠泽店-万相台-活动加速</v>
      </c>
      <c r="K141" s="22" t="str">
        <v>DP001-016</v>
      </c>
      <c r="L141" s="11"/>
      <c r="M141" s="11"/>
      <c r="N141" s="11" t="str">
        <v>否</v>
      </c>
      <c r="O141" s="12"/>
      <c r="P141" s="12"/>
      <c r="Q141" s="12"/>
      <c r="R141" s="12"/>
      <c r="S141" s="14">
        <f>VLOOKUP(B141,'Sheet9'!$B$2:$G$191,3,FALSE)</f>
      </c>
      <c r="T141" s="14">
        <f>VLOOKUP(B141,'Sheet9'!$B$2:$G$191,4,FALSE)</f>
      </c>
      <c r="U141" s="14">
        <f>VLOOKUP(B141,'Sheet9'!$B$2:$G$191,5,FALSE)</f>
      </c>
      <c r="V141" s="14" t="str">
        <v>推广中心组</v>
      </c>
      <c r="W141" s="3">
        <f>VLOOKUP(K141,'Sheet11'!$X$2:$AH$279,11,FALSE)</f>
      </c>
      <c r="X141" s="12"/>
      <c r="Y141" s="12"/>
      <c r="Z141" s="12"/>
      <c r="AA141" s="12"/>
    </row>
    <row customHeight="true" ht="19" r="142">
      <c r="A142" s="11" t="str">
        <v>站内</v>
      </c>
      <c r="B142" s="18"/>
      <c r="C142" s="11" t="str">
        <v>杭州宜格化妆品有限公司</v>
      </c>
      <c r="D142" s="11" t="str">
        <v>正常使用</v>
      </c>
      <c r="E142" s="11" t="str">
        <v>超级互动城</v>
      </c>
      <c r="F142" s="11" t="str">
        <v>自投</v>
      </c>
      <c r="G142" s="11" t="str">
        <v>杭州阿里妈妈软件服务有限公司</v>
      </c>
      <c r="H142" s="12"/>
      <c r="I142" s="3"/>
      <c r="J142" s="11" t="str">
        <v>天猫花西子旗舰店-淘宝客</v>
      </c>
      <c r="K142" s="11" t="str">
        <v>DP015-025</v>
      </c>
      <c r="L142" s="11"/>
      <c r="M142" s="11"/>
      <c r="N142" s="11" t="str">
        <v>是</v>
      </c>
      <c r="O142" s="11" t="str">
        <v>是</v>
      </c>
      <c r="P142" s="11" t="str">
        <v>否</v>
      </c>
      <c r="Q142" s="11" t="str">
        <v>否</v>
      </c>
      <c r="R142" s="11" t="str">
        <v>是</v>
      </c>
      <c r="S142" s="46" t="str">
        <v>品牌运营中心</v>
      </c>
      <c r="T142" s="46" t="str">
        <v>运营策略部</v>
      </c>
      <c r="U142" s="46" t="str">
        <v>天猫运营部</v>
      </c>
      <c r="V142" s="14" t="str">
        <v>推广中心组</v>
      </c>
      <c r="W142" s="3">
        <f>VLOOKUP(K142,'Sheet11'!$X$2:$AH$279,11,FALSE)</f>
      </c>
      <c r="X142" s="11"/>
      <c r="Y142" s="11"/>
      <c r="Z142" s="3"/>
      <c r="AA142" s="11"/>
    </row>
    <row customHeight="true" ht="19" r="143">
      <c r="A143" s="11" t="str">
        <v>站内</v>
      </c>
      <c r="B143" s="18"/>
      <c r="C143" s="11" t="str">
        <v>杭州匠泽电子商务有限公司</v>
      </c>
      <c r="D143" s="11"/>
      <c r="E143" s="11"/>
      <c r="F143" s="11" t="str">
        <v>自投</v>
      </c>
      <c r="G143" s="11" t="str">
        <v>杭州阿里妈妈软件服务有限公司</v>
      </c>
      <c r="H143" s="12"/>
      <c r="I143" s="3"/>
      <c r="J143" s="11" t="str">
        <v>天猫花西子匠泽店-淘宝客</v>
      </c>
      <c r="K143" s="11" t="str">
        <v>DP001-025</v>
      </c>
      <c r="L143" s="11"/>
      <c r="M143" s="11"/>
      <c r="N143" s="11" t="str">
        <v>是</v>
      </c>
      <c r="O143" s="11" t="str">
        <v>是</v>
      </c>
      <c r="P143" s="11" t="str">
        <v>否</v>
      </c>
      <c r="Q143" s="11" t="str">
        <v>否</v>
      </c>
      <c r="R143" s="11" t="str">
        <v>是</v>
      </c>
      <c r="S143" s="46" t="str">
        <v>品牌运营中心</v>
      </c>
      <c r="T143" s="46" t="str">
        <v>运营策略部</v>
      </c>
      <c r="U143" s="46" t="str">
        <v>天猫运营部</v>
      </c>
      <c r="V143" s="14" t="str">
        <v>推广中心组</v>
      </c>
      <c r="W143" s="3">
        <f>VLOOKUP(K143,'Sheet11'!$X$2:$AH$279,11,FALSE)</f>
      </c>
      <c r="X143" s="11"/>
      <c r="Y143" s="11"/>
      <c r="Z143" s="3"/>
      <c r="AA143" s="11"/>
    </row>
    <row r="144">
      <c r="A144" s="3" t="str">
        <v>站内</v>
      </c>
      <c r="B144" s="17" t="s">
        <v>1</v>
      </c>
      <c r="C144" s="11" t="str">
        <v>杭州匠泽电子商务有限公司</v>
      </c>
      <c r="D144" s="12"/>
      <c r="E144" s="12"/>
      <c r="F144" s="3" t="str">
        <v>自投</v>
      </c>
      <c r="G144" s="11" t="str">
        <v>重庆京东海嘉电子商务有限公司</v>
      </c>
      <c r="H144" s="12"/>
      <c r="I144" s="12"/>
      <c r="J144" s="17" t="str">
        <v>京东花西子自营店-互动广告</v>
      </c>
      <c r="K144" s="11" t="str">
        <v>DP033-005</v>
      </c>
      <c r="L144" s="11"/>
      <c r="M144" s="11"/>
      <c r="N144" s="11" t="str">
        <v>否</v>
      </c>
      <c r="O144" s="12"/>
      <c r="P144" s="12"/>
      <c r="Q144" s="12"/>
      <c r="R144" s="12"/>
      <c r="S144" s="3">
        <f>VLOOKUP(B144,'Sheet9'!$B$2:$G$191,3,FALSE)</f>
      </c>
      <c r="T144" s="3">
        <f>VLOOKUP(B144,'Sheet9'!$B$2:$G$191,4,FALSE)</f>
      </c>
      <c r="U144" s="3">
        <f>VLOOKUP(B144,'Sheet9'!$B$2:$G$191,5,FALSE)</f>
      </c>
      <c r="V144" s="3" t="str">
        <v>京东唯品推广组</v>
      </c>
      <c r="W144" s="3">
        <f>VLOOKUP(K144,'Sheet11'!$X$2:$AH$279,11,FALSE)</f>
      </c>
      <c r="X144" s="12"/>
      <c r="Y144" s="12"/>
      <c r="Z144" s="12"/>
      <c r="AA144" s="12"/>
    </row>
    <row r="145">
      <c r="A145" s="3" t="str">
        <v>站内</v>
      </c>
      <c r="B145" s="17" t="s">
        <v>1</v>
      </c>
      <c r="C145" s="11" t="str">
        <v>杭州匠泽电子商务有限公司</v>
      </c>
      <c r="D145" s="12"/>
      <c r="E145" s="12"/>
      <c r="F145" s="3" t="str">
        <v>自投</v>
      </c>
      <c r="G145" s="11" t="str">
        <v>重庆京东海嘉电子商务有限公司</v>
      </c>
      <c r="H145" s="12"/>
      <c r="I145" s="12"/>
      <c r="J145" s="17" t="str">
        <v>京东花西子自营店-快车</v>
      </c>
      <c r="K145" s="11" t="str">
        <v>DP033-006</v>
      </c>
      <c r="L145" s="11"/>
      <c r="M145" s="11"/>
      <c r="N145" s="11" t="str">
        <v>否</v>
      </c>
      <c r="O145" s="12"/>
      <c r="P145" s="12"/>
      <c r="Q145" s="12"/>
      <c r="R145" s="12"/>
      <c r="S145" s="3">
        <f>VLOOKUP(B145,'Sheet9'!$B$2:$G$191,3,FALSE)</f>
      </c>
      <c r="T145" s="3">
        <f>VLOOKUP(B145,'Sheet9'!$B$2:$G$191,4,FALSE)</f>
      </c>
      <c r="U145" s="3">
        <f>VLOOKUP(B145,'Sheet9'!$B$2:$G$191,5,FALSE)</f>
      </c>
      <c r="V145" s="3" t="str">
        <v>京东唯品推广组</v>
      </c>
      <c r="W145" s="3">
        <f>VLOOKUP(K145,'Sheet11'!$X$2:$AH$279,11,FALSE)</f>
      </c>
      <c r="X145" s="12"/>
      <c r="Y145" s="12"/>
      <c r="Z145" s="12"/>
      <c r="AA145" s="12"/>
    </row>
    <row r="146">
      <c r="A146" s="3" t="str">
        <v>站内</v>
      </c>
      <c r="B146" s="17" t="s">
        <v>1</v>
      </c>
      <c r="C146" s="11" t="str">
        <v>杭州匠泽电子商务有限公司</v>
      </c>
      <c r="D146" s="12"/>
      <c r="E146" s="12"/>
      <c r="F146" s="3" t="str">
        <v>自投</v>
      </c>
      <c r="G146" s="11" t="str">
        <v>重庆京东海嘉电子商务有限公司</v>
      </c>
      <c r="H146" s="12"/>
      <c r="I146" s="12"/>
      <c r="J146" s="17" t="str">
        <v>京东花西子自营店-站外广告</v>
      </c>
      <c r="K146" s="11" t="str">
        <v>DP033-007</v>
      </c>
      <c r="L146" s="11"/>
      <c r="M146" s="11"/>
      <c r="N146" s="11" t="str">
        <v>否</v>
      </c>
      <c r="O146" s="12"/>
      <c r="P146" s="12"/>
      <c r="Q146" s="12"/>
      <c r="R146" s="12"/>
      <c r="S146" s="3">
        <f>VLOOKUP(B146,'Sheet9'!$B$2:$G$191,3,FALSE)</f>
      </c>
      <c r="T146" s="3">
        <f>VLOOKUP(B146,'Sheet9'!$B$2:$G$191,4,FALSE)</f>
      </c>
      <c r="U146" s="3">
        <f>VLOOKUP(B146,'Sheet9'!$B$2:$G$191,5,FALSE)</f>
      </c>
      <c r="V146" s="3" t="str">
        <v>京东唯品推广组</v>
      </c>
      <c r="W146" s="3">
        <f>VLOOKUP(K146,'Sheet11'!$X$2:$AH$279,11,FALSE)</f>
      </c>
      <c r="X146" s="12"/>
      <c r="Y146" s="12"/>
      <c r="Z146" s="12"/>
      <c r="AA146" s="12"/>
    </row>
    <row r="147">
      <c r="A147" s="3" t="str">
        <v>站内</v>
      </c>
      <c r="B147" s="17" t="s">
        <v>1</v>
      </c>
      <c r="C147" s="11" t="str">
        <v>杭州匠泽电子商务有限公司</v>
      </c>
      <c r="D147" s="12"/>
      <c r="E147" s="12"/>
      <c r="F147" s="3" t="str">
        <v>自投</v>
      </c>
      <c r="G147" s="11" t="str">
        <v>重庆京东海嘉电子商务有限公司</v>
      </c>
      <c r="H147" s="12"/>
      <c r="I147" s="12"/>
      <c r="J147" s="17" t="str">
        <v>京东花西子自营店-推荐广告</v>
      </c>
      <c r="K147" s="11" t="str">
        <v>DP033-008</v>
      </c>
      <c r="L147" s="11"/>
      <c r="M147" s="11"/>
      <c r="N147" s="11" t="str">
        <v>否</v>
      </c>
      <c r="O147" s="12"/>
      <c r="P147" s="12"/>
      <c r="Q147" s="12"/>
      <c r="R147" s="12"/>
      <c r="S147" s="3">
        <f>VLOOKUP(B147,'Sheet9'!$B$2:$G$191,3,FALSE)</f>
      </c>
      <c r="T147" s="3">
        <f>VLOOKUP(B147,'Sheet9'!$B$2:$G$191,4,FALSE)</f>
      </c>
      <c r="U147" s="3">
        <f>VLOOKUP(B147,'Sheet9'!$B$2:$G$191,5,FALSE)</f>
      </c>
      <c r="V147" s="3" t="str">
        <v>京东唯品推广组</v>
      </c>
      <c r="W147" s="3">
        <f>VLOOKUP(K147,'Sheet11'!$X$2:$AH$279,11,FALSE)</f>
      </c>
      <c r="X147" s="12"/>
      <c r="Y147" s="12"/>
      <c r="Z147" s="12"/>
      <c r="AA147" s="12"/>
    </row>
    <row r="148">
      <c r="A148" s="3" t="str">
        <v>站内</v>
      </c>
      <c r="B148" s="17" t="s">
        <v>1</v>
      </c>
      <c r="C148" s="11" t="str">
        <v>杭州匠泽电子商务有限公司</v>
      </c>
      <c r="D148" s="12"/>
      <c r="E148" s="12"/>
      <c r="F148" s="3" t="str">
        <v>自投</v>
      </c>
      <c r="G148" s="11" t="str">
        <v>重庆京东海嘉电子商务有限公司</v>
      </c>
      <c r="H148" s="12"/>
      <c r="I148" s="12"/>
      <c r="J148" s="17" t="str">
        <v>京东花西子自营店-智能投放</v>
      </c>
      <c r="K148" s="11" t="str">
        <v>DP033-009</v>
      </c>
      <c r="L148" s="11"/>
      <c r="M148" s="11"/>
      <c r="N148" s="11" t="str">
        <v>否</v>
      </c>
      <c r="O148" s="12"/>
      <c r="P148" s="12"/>
      <c r="Q148" s="12"/>
      <c r="R148" s="12"/>
      <c r="S148" s="3">
        <f>VLOOKUP(B148,'Sheet9'!$B$2:$G$191,3,FALSE)</f>
      </c>
      <c r="T148" s="3">
        <f>VLOOKUP(B148,'Sheet9'!$B$2:$G$191,4,FALSE)</f>
      </c>
      <c r="U148" s="3">
        <f>VLOOKUP(B148,'Sheet9'!$B$2:$G$191,5,FALSE)</f>
      </c>
      <c r="V148" s="3" t="str">
        <v>京东唯品推广组</v>
      </c>
      <c r="W148" s="3">
        <f>VLOOKUP(K148,'Sheet11'!$X$2:$AH$279,11,FALSE)</f>
      </c>
      <c r="X148" s="12"/>
      <c r="Y148" s="12"/>
      <c r="Z148" s="12"/>
      <c r="AA148" s="12"/>
    </row>
    <row r="149">
      <c r="A149" s="3" t="str">
        <v>站内</v>
      </c>
      <c r="B149" s="24" t="str">
        <v>京东POP-京准通常规投放</v>
      </c>
      <c r="C149" s="11" t="str">
        <v>杭州匠泽电子商务有限公司</v>
      </c>
      <c r="D149" s="12"/>
      <c r="E149" s="12"/>
      <c r="F149" s="3" t="str">
        <v>自投</v>
      </c>
      <c r="G149" s="11" t="str">
        <v>重庆京东海嘉电子商务有限公司</v>
      </c>
      <c r="H149" s="12"/>
      <c r="I149" s="12"/>
      <c r="J149" s="17" t="str">
        <v>京东花西子旗舰店-互动广告</v>
      </c>
      <c r="K149" s="11" t="str">
        <v>DP002-005</v>
      </c>
      <c r="L149" s="11"/>
      <c r="M149" s="11"/>
      <c r="N149" s="11" t="str">
        <v>否</v>
      </c>
      <c r="O149" s="12"/>
      <c r="P149" s="12"/>
      <c r="Q149" s="12"/>
      <c r="R149" s="12"/>
      <c r="S149" s="3">
        <f>VLOOKUP(B149,'Sheet9'!$B$2:$G$191,3,FALSE)</f>
      </c>
      <c r="T149" s="3">
        <f>VLOOKUP(B149,'Sheet9'!$B$2:$G$191,4,FALSE)</f>
      </c>
      <c r="U149" s="3">
        <f>VLOOKUP(B149,'Sheet9'!$B$2:$G$191,5,FALSE)</f>
      </c>
      <c r="V149" s="3" t="str">
        <v>京东唯品推广组</v>
      </c>
      <c r="W149" s="3">
        <f>VLOOKUP(K149,'Sheet11'!$X$2:$AH$279,11,FALSE)</f>
      </c>
      <c r="X149" s="12"/>
      <c r="Y149" s="12"/>
      <c r="Z149" s="12"/>
      <c r="AA149" s="12"/>
    </row>
    <row r="150">
      <c r="A150" s="3" t="str">
        <v>站内</v>
      </c>
      <c r="B150" s="24" t="str">
        <v>京东POP-京准通常规投放</v>
      </c>
      <c r="C150" s="11" t="str">
        <v>杭州匠泽电子商务有限公司</v>
      </c>
      <c r="D150" s="12"/>
      <c r="E150" s="12"/>
      <c r="F150" s="3" t="str">
        <v>自投</v>
      </c>
      <c r="G150" s="11" t="str">
        <v>重庆京东海嘉电子商务有限公司</v>
      </c>
      <c r="H150" s="12"/>
      <c r="I150" s="12"/>
      <c r="J150" s="17" t="str">
        <v>京东花西子旗舰店-快车</v>
      </c>
      <c r="K150" s="11" t="str">
        <v>DP002-006</v>
      </c>
      <c r="L150" s="11"/>
      <c r="M150" s="11"/>
      <c r="N150" s="11" t="str">
        <v>否</v>
      </c>
      <c r="O150" s="12"/>
      <c r="P150" s="12"/>
      <c r="Q150" s="12"/>
      <c r="R150" s="12"/>
      <c r="S150" s="3">
        <f>VLOOKUP(B150,'Sheet9'!$B$2:$G$191,3,FALSE)</f>
      </c>
      <c r="T150" s="3">
        <f>VLOOKUP(B150,'Sheet9'!$B$2:$G$191,4,FALSE)</f>
      </c>
      <c r="U150" s="3">
        <f>VLOOKUP(B150,'Sheet9'!$B$2:$G$191,5,FALSE)</f>
      </c>
      <c r="V150" s="3" t="str">
        <v>京东唯品推广组</v>
      </c>
      <c r="W150" s="3">
        <f>VLOOKUP(K150,'Sheet11'!$X$2:$AH$279,11,FALSE)</f>
      </c>
      <c r="X150" s="12"/>
      <c r="Y150" s="12"/>
      <c r="Z150" s="12"/>
      <c r="AA150" s="12"/>
    </row>
    <row r="151">
      <c r="A151" s="3" t="str">
        <v>站内</v>
      </c>
      <c r="B151" s="24" t="str">
        <v>京东POP-京准通常规投放</v>
      </c>
      <c r="C151" s="11" t="str">
        <v>杭州匠泽电子商务有限公司</v>
      </c>
      <c r="D151" s="12"/>
      <c r="E151" s="12"/>
      <c r="F151" s="3" t="str">
        <v>自投</v>
      </c>
      <c r="G151" s="11" t="str">
        <v>重庆京东海嘉电子商务有限公司</v>
      </c>
      <c r="H151" s="12"/>
      <c r="I151" s="12"/>
      <c r="J151" s="17" t="str">
        <v>京东花西子旗舰店-站外广告</v>
      </c>
      <c r="K151" s="11" t="str">
        <v>DP002-007</v>
      </c>
      <c r="L151" s="11"/>
      <c r="M151" s="11"/>
      <c r="N151" s="11" t="str">
        <v>否</v>
      </c>
      <c r="O151" s="12"/>
      <c r="P151" s="12"/>
      <c r="Q151" s="12"/>
      <c r="R151" s="12"/>
      <c r="S151" s="3">
        <f>VLOOKUP(B151,'Sheet9'!$B$2:$G$191,3,FALSE)</f>
      </c>
      <c r="T151" s="3">
        <f>VLOOKUP(B151,'Sheet9'!$B$2:$G$191,4,FALSE)</f>
      </c>
      <c r="U151" s="3">
        <f>VLOOKUP(B151,'Sheet9'!$B$2:$G$191,5,FALSE)</f>
      </c>
      <c r="V151" s="3" t="str">
        <v>京东唯品推广组</v>
      </c>
      <c r="W151" s="3">
        <f>VLOOKUP(K151,'Sheet11'!$X$2:$AH$279,11,FALSE)</f>
      </c>
      <c r="X151" s="12"/>
      <c r="Y151" s="12"/>
      <c r="Z151" s="12"/>
      <c r="AA151" s="12"/>
    </row>
    <row r="152">
      <c r="A152" s="3" t="str">
        <v>站内</v>
      </c>
      <c r="B152" s="24" t="str">
        <v>京东POP-京准通常规投放</v>
      </c>
      <c r="C152" s="11" t="str">
        <v>杭州匠泽电子商务有限公司</v>
      </c>
      <c r="D152" s="12"/>
      <c r="E152" s="12"/>
      <c r="F152" s="3" t="str">
        <v>自投</v>
      </c>
      <c r="G152" s="11" t="str">
        <v>重庆京东海嘉电子商务有限公司</v>
      </c>
      <c r="H152" s="12"/>
      <c r="I152" s="12"/>
      <c r="J152" s="17" t="str">
        <v>京东花西子旗舰店-推荐广告</v>
      </c>
      <c r="K152" s="11" t="str">
        <v>DP002-008</v>
      </c>
      <c r="L152" s="11"/>
      <c r="M152" s="11"/>
      <c r="N152" s="11" t="str">
        <v>否</v>
      </c>
      <c r="O152" s="12"/>
      <c r="P152" s="12"/>
      <c r="Q152" s="12"/>
      <c r="R152" s="12"/>
      <c r="S152" s="3">
        <f>VLOOKUP(B152,'Sheet9'!$B$2:$G$191,3,FALSE)</f>
      </c>
      <c r="T152" s="3">
        <f>VLOOKUP(B152,'Sheet9'!$B$2:$G$191,4,FALSE)</f>
      </c>
      <c r="U152" s="3">
        <f>VLOOKUP(B152,'Sheet9'!$B$2:$G$191,5,FALSE)</f>
      </c>
      <c r="V152" s="3" t="str">
        <v>京东唯品推广组</v>
      </c>
      <c r="W152" s="3">
        <f>VLOOKUP(K152,'Sheet11'!$X$2:$AH$279,11,FALSE)</f>
      </c>
      <c r="X152" s="12"/>
      <c r="Y152" s="12"/>
      <c r="Z152" s="12"/>
      <c r="AA152" s="12"/>
    </row>
    <row r="153">
      <c r="A153" s="3" t="str">
        <v>站内</v>
      </c>
      <c r="B153" s="24" t="str">
        <v>京东POP-京准通常规投放</v>
      </c>
      <c r="C153" s="11" t="str">
        <v>杭州匠泽电子商务有限公司</v>
      </c>
      <c r="D153" s="12"/>
      <c r="E153" s="12"/>
      <c r="F153" s="3" t="str">
        <v>自投</v>
      </c>
      <c r="G153" s="11" t="str">
        <v>重庆京东海嘉电子商务有限公司</v>
      </c>
      <c r="H153" s="12"/>
      <c r="I153" s="12"/>
      <c r="J153" s="17" t="str">
        <v>京东花西子旗舰店-智能投放</v>
      </c>
      <c r="K153" s="11" t="str">
        <v>DP002-009</v>
      </c>
      <c r="L153" s="11"/>
      <c r="M153" s="11"/>
      <c r="N153" s="11" t="str">
        <v>否</v>
      </c>
      <c r="O153" s="12"/>
      <c r="P153" s="12"/>
      <c r="Q153" s="12"/>
      <c r="R153" s="12"/>
      <c r="S153" s="3">
        <f>VLOOKUP(B153,'Sheet9'!$B$2:$G$191,3,FALSE)</f>
      </c>
      <c r="T153" s="3">
        <f>VLOOKUP(B153,'Sheet9'!$B$2:$G$191,4,FALSE)</f>
      </c>
      <c r="U153" s="3">
        <f>VLOOKUP(B153,'Sheet9'!$B$2:$G$191,5,FALSE)</f>
      </c>
      <c r="V153" s="3" t="str">
        <v>京东唯品推广组</v>
      </c>
      <c r="W153" s="3">
        <f>VLOOKUP(K153,'Sheet11'!$X$2:$AH$279,11,FALSE)</f>
      </c>
      <c r="X153" s="12"/>
      <c r="Y153" s="12"/>
      <c r="Z153" s="12"/>
      <c r="AA153" s="12"/>
    </row>
    <row r="154">
      <c r="A154" s="3" t="str">
        <v>站内</v>
      </c>
      <c r="B154" s="18" t="str">
        <v>唯品会-唯品常规投放</v>
      </c>
      <c r="C154" s="11" t="str">
        <v>杭州匠泽电子商务有限公司</v>
      </c>
      <c r="D154" s="12"/>
      <c r="E154" s="12"/>
      <c r="F154" s="3" t="str">
        <v>自投</v>
      </c>
      <c r="G154" s="11" t="str">
        <v>广州海珠品唯信息服务有限公司</v>
      </c>
      <c r="H154" s="12"/>
      <c r="I154" s="12"/>
      <c r="J154" s="10" t="str">
        <v>唯品会花西子自营店-唯智展</v>
      </c>
      <c r="K154" s="11" t="str">
        <v>DP029-030</v>
      </c>
      <c r="L154" s="11"/>
      <c r="M154" s="11"/>
      <c r="N154" s="11" t="str">
        <v>否</v>
      </c>
      <c r="O154" s="12"/>
      <c r="P154" s="12"/>
      <c r="Q154" s="12"/>
      <c r="R154" s="12"/>
      <c r="S154" s="3">
        <f>VLOOKUP(B154,'Sheet9'!$B$2:$G$191,3,FALSE)</f>
      </c>
      <c r="T154" s="3">
        <f>VLOOKUP(B154,'Sheet9'!$B$2:$G$191,4,FALSE)</f>
      </c>
      <c r="U154" s="3">
        <f>VLOOKUP(B154,'Sheet9'!$B$2:$G$191,5,FALSE)</f>
      </c>
      <c r="V154" s="3" t="str">
        <v>京东唯品推广组</v>
      </c>
      <c r="W154" s="3">
        <f>VLOOKUP(K154,'Sheet11'!$X$2:$AH$279,11,FALSE)</f>
      </c>
      <c r="X154" s="12"/>
      <c r="Y154" s="12"/>
      <c r="Z154" s="12"/>
      <c r="AA154" s="12"/>
    </row>
    <row r="155">
      <c r="A155" s="3" t="str">
        <v>站内</v>
      </c>
      <c r="B155" s="18" t="str">
        <v>唯品会-唯品常规投放</v>
      </c>
      <c r="C155" s="11" t="str">
        <v>杭州匠泽电子商务有限公司</v>
      </c>
      <c r="D155" s="12"/>
      <c r="E155" s="12"/>
      <c r="F155" s="3" t="str">
        <v>自投</v>
      </c>
      <c r="G155" s="11" t="str">
        <v>广州海珠品唯信息服务有限公司</v>
      </c>
      <c r="H155" s="12"/>
      <c r="I155" s="12"/>
      <c r="J155" s="10" t="str">
        <v>唯品会花西子自营店-唯直达</v>
      </c>
      <c r="K155" s="11" t="str">
        <v>DP029-027</v>
      </c>
      <c r="L155" s="11"/>
      <c r="M155" s="11"/>
      <c r="N155" s="11" t="str">
        <v>否</v>
      </c>
      <c r="O155" s="12"/>
      <c r="P155" s="12"/>
      <c r="Q155" s="12"/>
      <c r="R155" s="12"/>
      <c r="S155" s="3">
        <f>VLOOKUP(B155,'Sheet9'!$B$2:$G$191,3,FALSE)</f>
      </c>
      <c r="T155" s="3">
        <f>VLOOKUP(B155,'Sheet9'!$B$2:$G$191,4,FALSE)</f>
      </c>
      <c r="U155" s="3">
        <f>VLOOKUP(B155,'Sheet9'!$B$2:$G$191,5,FALSE)</f>
      </c>
      <c r="V155" s="3" t="str">
        <v>京东唯品推广组</v>
      </c>
      <c r="W155" s="3">
        <f>VLOOKUP(K155,'Sheet11'!$X$2:$AH$279,11,FALSE)</f>
      </c>
      <c r="X155" s="12"/>
      <c r="Y155" s="12"/>
      <c r="Z155" s="12"/>
      <c r="AA155" s="12"/>
    </row>
    <row r="156">
      <c r="A156" s="3" t="str">
        <v>站内</v>
      </c>
      <c r="B156" s="18" t="str">
        <v>唯品会-唯品常规投放</v>
      </c>
      <c r="C156" s="11" t="str">
        <v>杭州匠泽电子商务有限公司</v>
      </c>
      <c r="D156" s="12"/>
      <c r="E156" s="12"/>
      <c r="F156" s="3" t="str">
        <v>自投</v>
      </c>
      <c r="G156" s="11" t="str">
        <v>广州海珠品唯信息服务有限公司</v>
      </c>
      <c r="H156" s="12"/>
      <c r="I156" s="12"/>
      <c r="J156" s="10" t="str">
        <v>唯品会花西子自营店-移动精选</v>
      </c>
      <c r="K156" s="11" t="str">
        <v>DP029-029</v>
      </c>
      <c r="L156" s="11"/>
      <c r="M156" s="11"/>
      <c r="N156" s="11" t="str">
        <v>否</v>
      </c>
      <c r="O156" s="12"/>
      <c r="P156" s="12"/>
      <c r="Q156" s="12"/>
      <c r="R156" s="12"/>
      <c r="S156" s="3">
        <f>VLOOKUP(B156,'Sheet9'!$B$2:$G$191,3,FALSE)</f>
      </c>
      <c r="T156" s="3">
        <f>VLOOKUP(B156,'Sheet9'!$B$2:$G$191,4,FALSE)</f>
      </c>
      <c r="U156" s="3">
        <f>VLOOKUP(B156,'Sheet9'!$B$2:$G$191,5,FALSE)</f>
      </c>
      <c r="V156" s="3" t="str">
        <v>京东唯品推广组</v>
      </c>
      <c r="W156" s="3">
        <f>VLOOKUP(K156,'Sheet11'!$X$2:$AH$279,11,FALSE)</f>
      </c>
      <c r="X156" s="12"/>
      <c r="Y156" s="12"/>
      <c r="Z156" s="12"/>
      <c r="AA156" s="12"/>
    </row>
    <row r="157">
      <c r="A157" s="3" t="str">
        <v>站内</v>
      </c>
      <c r="B157" s="18" t="str">
        <v>唯品会-唯品常规投放</v>
      </c>
      <c r="C157" s="11" t="str">
        <v>杭州匠泽电子商务有限公司</v>
      </c>
      <c r="D157" s="12"/>
      <c r="E157" s="12"/>
      <c r="F157" s="3" t="str">
        <v>自投</v>
      </c>
      <c r="G157" s="11" t="str">
        <v>广州海珠品唯信息服务有限公司</v>
      </c>
      <c r="H157" s="12"/>
      <c r="I157" s="12"/>
      <c r="J157" s="10" t="str">
        <v>唯品会花西子自营店-唯触点</v>
      </c>
      <c r="K157" s="11" t="str">
        <v>DP029-026</v>
      </c>
      <c r="L157" s="11"/>
      <c r="M157" s="11"/>
      <c r="N157" s="11" t="str">
        <v>否</v>
      </c>
      <c r="O157" s="12"/>
      <c r="P157" s="12"/>
      <c r="Q157" s="12"/>
      <c r="R157" s="12"/>
      <c r="S157" s="3">
        <f>VLOOKUP(B157,'Sheet9'!$B$2:$G$191,3,FALSE)</f>
      </c>
      <c r="T157" s="3">
        <f>VLOOKUP(B157,'Sheet9'!$B$2:$G$191,4,FALSE)</f>
      </c>
      <c r="U157" s="3">
        <f>VLOOKUP(B157,'Sheet9'!$B$2:$G$191,5,FALSE)</f>
      </c>
      <c r="V157" s="3" t="str">
        <v>京东唯品推广组</v>
      </c>
      <c r="W157" s="3">
        <f>VLOOKUP(K157,'Sheet11'!$X$2:$AH$279,11,FALSE)</f>
      </c>
      <c r="X157" s="12"/>
      <c r="Y157" s="12"/>
      <c r="Z157" s="12"/>
      <c r="AA157" s="12"/>
    </row>
    <row r="158">
      <c r="A158" s="3" t="str">
        <v>站内</v>
      </c>
      <c r="B158" s="18" t="str">
        <v>唯品会-唯品常规投放</v>
      </c>
      <c r="C158" s="11" t="str">
        <v>杭州匠泽电子商务有限公司</v>
      </c>
      <c r="D158" s="12"/>
      <c r="E158" s="12"/>
      <c r="F158" s="3" t="str">
        <v>自投</v>
      </c>
      <c r="G158" s="11" t="str">
        <v>广州海珠品唯信息服务有限公司</v>
      </c>
      <c r="H158" s="12"/>
      <c r="I158" s="12"/>
      <c r="J158" s="10" t="str">
        <v>唯品会花西子自营店-腾讯广告</v>
      </c>
      <c r="K158" s="11" t="str">
        <v>DP029-032</v>
      </c>
      <c r="L158" s="11"/>
      <c r="M158" s="11"/>
      <c r="N158" s="11" t="str">
        <v>否</v>
      </c>
      <c r="O158" s="12"/>
      <c r="P158" s="12"/>
      <c r="Q158" s="12"/>
      <c r="R158" s="12"/>
      <c r="S158" s="3">
        <f>VLOOKUP(B158,'Sheet9'!$B$2:$G$191,3,FALSE)</f>
      </c>
      <c r="T158" s="3">
        <f>VLOOKUP(B158,'Sheet9'!$B$2:$G$191,4,FALSE)</f>
      </c>
      <c r="U158" s="3">
        <f>VLOOKUP(B158,'Sheet9'!$B$2:$G$191,5,FALSE)</f>
      </c>
      <c r="V158" s="3" t="str">
        <v>京东唯品推广组</v>
      </c>
      <c r="W158" s="3">
        <f>VLOOKUP(K158,'Sheet11'!$X$2:$AH$279,11,FALSE)</f>
      </c>
      <c r="X158" s="12"/>
      <c r="Y158" s="12"/>
      <c r="Z158" s="12"/>
      <c r="AA158" s="12"/>
    </row>
    <row r="159">
      <c r="A159" s="3" t="str">
        <v>站内</v>
      </c>
      <c r="B159" s="18" t="str">
        <v>唯品会-唯品常规投放</v>
      </c>
      <c r="C159" s="11" t="str">
        <v>杭州匠泽电子商务有限公司</v>
      </c>
      <c r="D159" s="12"/>
      <c r="E159" s="12"/>
      <c r="F159" s="3" t="str">
        <v>自投</v>
      </c>
      <c r="G159" s="11" t="str">
        <v>广州海珠品唯信息服务有限公司</v>
      </c>
      <c r="H159" s="12"/>
      <c r="I159" s="12"/>
      <c r="J159" s="10" t="str">
        <v>唯品会花西子自营店-Target-Max</v>
      </c>
      <c r="K159" s="11" t="str">
        <v>DP029-031</v>
      </c>
      <c r="L159" s="11"/>
      <c r="M159" s="11"/>
      <c r="N159" s="11" t="str">
        <v>否</v>
      </c>
      <c r="O159" s="12"/>
      <c r="P159" s="12"/>
      <c r="Q159" s="12"/>
      <c r="R159" s="12"/>
      <c r="S159" s="3">
        <f>VLOOKUP(B159,'Sheet9'!$B$2:$G$191,3,FALSE)</f>
      </c>
      <c r="T159" s="3">
        <f>VLOOKUP(B159,'Sheet9'!$B$2:$G$191,4,FALSE)</f>
      </c>
      <c r="U159" s="3">
        <f>VLOOKUP(B159,'Sheet9'!$B$2:$G$191,5,FALSE)</f>
      </c>
      <c r="V159" s="3" t="str">
        <v>京东唯品推广组</v>
      </c>
      <c r="W159" s="3">
        <f>VLOOKUP(K159,'Sheet11'!$X$2:$AH$279,11,FALSE)</f>
      </c>
      <c r="X159" s="12"/>
      <c r="Y159" s="12"/>
      <c r="Z159" s="12"/>
      <c r="AA159" s="12"/>
    </row>
    <row r="160">
      <c r="A160" s="3" t="str">
        <v>站内</v>
      </c>
      <c r="B160" s="18" t="str">
        <v>唯品会-唯品常规投放</v>
      </c>
      <c r="C160" s="11" t="str">
        <v>杭州匠泽电子商务有限公司</v>
      </c>
      <c r="D160" s="12"/>
      <c r="E160" s="12"/>
      <c r="F160" s="3" t="str">
        <v>自投</v>
      </c>
      <c r="G160" s="11" t="str">
        <v>广州海珠品唯信息服务有限公司</v>
      </c>
      <c r="H160" s="12"/>
      <c r="I160" s="12"/>
      <c r="J160" s="10" t="str">
        <v>唯品会花西子自营店-巨量引擎</v>
      </c>
      <c r="K160" s="11" t="str">
        <v>DP029-028</v>
      </c>
      <c r="L160" s="11"/>
      <c r="M160" s="11"/>
      <c r="N160" s="11" t="str">
        <v>否</v>
      </c>
      <c r="O160" s="12"/>
      <c r="P160" s="12"/>
      <c r="Q160" s="12"/>
      <c r="R160" s="12"/>
      <c r="S160" s="3">
        <f>VLOOKUP(B160,'Sheet9'!$B$2:$G$191,3,FALSE)</f>
      </c>
      <c r="T160" s="3">
        <f>VLOOKUP(B160,'Sheet9'!$B$2:$G$191,4,FALSE)</f>
      </c>
      <c r="U160" s="3">
        <f>VLOOKUP(B160,'Sheet9'!$B$2:$G$191,5,FALSE)</f>
      </c>
      <c r="V160" s="3" t="str">
        <v>京东唯品推广组</v>
      </c>
      <c r="W160" s="3">
        <f>VLOOKUP(K160,'Sheet11'!$X$2:$AH$279,11,FALSE)</f>
      </c>
      <c r="X160" s="12"/>
      <c r="Y160" s="12"/>
      <c r="Z160" s="12"/>
      <c r="AA160" s="12"/>
    </row>
    <row r="161">
      <c r="A161" s="3" t="str">
        <v>站内</v>
      </c>
      <c r="B161" s="12" t="str">
        <v>唯品会-达人卖货</v>
      </c>
      <c r="C161" s="11" t="str">
        <v>杭州匠泽电子商务有限公司</v>
      </c>
      <c r="D161" s="12"/>
      <c r="E161" s="12"/>
      <c r="F161" s="3" t="str">
        <v>自投</v>
      </c>
      <c r="G161" s="11" t="str">
        <v>广州海珠品唯信息服务有限公司</v>
      </c>
      <c r="H161" s="12"/>
      <c r="I161" s="12"/>
      <c r="J161" s="10" t="str">
        <v>唯品会花西子自营店-达人卖货</v>
      </c>
      <c r="K161" s="11" t="str">
        <v>DP029-033</v>
      </c>
      <c r="L161" s="11"/>
      <c r="M161" s="11"/>
      <c r="N161" s="11" t="str">
        <v>否</v>
      </c>
      <c r="O161" s="12"/>
      <c r="P161" s="12"/>
      <c r="Q161" s="12"/>
      <c r="R161" s="12"/>
      <c r="S161" s="3">
        <f>VLOOKUP(B161,'Sheet9'!$B$2:$G$191,3,FALSE)</f>
      </c>
      <c r="T161" s="3">
        <f>VLOOKUP(B161,'Sheet9'!$B$2:$G$191,4,FALSE)</f>
      </c>
      <c r="U161" s="3">
        <f>VLOOKUP(B161,'Sheet9'!$B$2:$G$191,5,FALSE)</f>
      </c>
      <c r="V161" s="3" t="str">
        <v>京东唯品推广组</v>
      </c>
      <c r="W161" s="3">
        <f>VLOOKUP(K161,'Sheet11'!$X$2:$AH$279,11,FALSE)</f>
      </c>
      <c r="X161" s="12"/>
      <c r="Y161" s="12"/>
      <c r="Z161" s="12"/>
      <c r="AA161" s="12"/>
    </row>
    <row r="162">
      <c r="A162" s="3" t="str">
        <v>站内</v>
      </c>
      <c r="B162" s="12" t="str">
        <v>拼多多-常规投放</v>
      </c>
      <c r="C162" s="11" t="str">
        <v>杭州匠泽电子商务有限公司</v>
      </c>
      <c r="D162" s="12"/>
      <c r="E162" s="12"/>
      <c r="F162" s="3" t="str">
        <v>自投</v>
      </c>
      <c r="G162" s="11" t="str">
        <v>上海寻梦信息技术有限公司</v>
      </c>
      <c r="H162" s="12"/>
      <c r="I162" s="12"/>
      <c r="J162" s="10" t="str">
        <v>拼多多花西子专卖店-多多搜索</v>
      </c>
      <c r="K162" s="22" t="str">
        <v>DP011-013</v>
      </c>
      <c r="L162" s="11"/>
      <c r="M162" s="11"/>
      <c r="N162" s="11" t="str">
        <v>否</v>
      </c>
      <c r="O162" s="12"/>
      <c r="P162" s="12"/>
      <c r="Q162" s="12"/>
      <c r="R162" s="12"/>
      <c r="S162" s="3">
        <f>VLOOKUP(B162,'Sheet9'!$B$2:$G$191,3,FALSE)</f>
      </c>
      <c r="T162" s="3">
        <f>VLOOKUP(B162,'Sheet9'!$B$2:$G$191,4,FALSE)</f>
      </c>
      <c r="U162" s="3">
        <f>VLOOKUP(B162,'Sheet9'!$B$2:$G$191,5,FALSE)</f>
      </c>
      <c r="V162" s="3" t="str">
        <v>综合渠道推广部</v>
      </c>
      <c r="W162" s="3">
        <f>VLOOKUP(K162,'Sheet11'!$X$2:$AH$279,11,FALSE)</f>
      </c>
      <c r="X162" s="12"/>
      <c r="Y162" s="12"/>
      <c r="Z162" s="12"/>
      <c r="AA162" s="12"/>
    </row>
    <row r="163">
      <c r="A163" s="3" t="str">
        <v>站内</v>
      </c>
      <c r="B163" s="12" t="str">
        <v>拼多多-常规投放</v>
      </c>
      <c r="C163" s="11" t="str">
        <v>杭州匠泽电子商务有限公司</v>
      </c>
      <c r="D163" s="12"/>
      <c r="E163" s="12"/>
      <c r="F163" s="3" t="str">
        <v>自投</v>
      </c>
      <c r="G163" s="11" t="str">
        <v>上海寻梦信息技术有限公司</v>
      </c>
      <c r="H163" s="12"/>
      <c r="I163" s="12"/>
      <c r="J163" s="10" t="str">
        <v>拼多多花西子专卖店-多多场景</v>
      </c>
      <c r="K163" s="22" t="str">
        <v>DP011-012</v>
      </c>
      <c r="L163" s="11"/>
      <c r="M163" s="11"/>
      <c r="N163" s="11" t="str">
        <v>否</v>
      </c>
      <c r="O163" s="12"/>
      <c r="P163" s="12"/>
      <c r="Q163" s="12"/>
      <c r="R163" s="12"/>
      <c r="S163" s="3">
        <f>VLOOKUP(B163,'Sheet9'!$B$2:$G$191,3,FALSE)</f>
      </c>
      <c r="T163" s="3">
        <f>VLOOKUP(B163,'Sheet9'!$B$2:$G$191,4,FALSE)</f>
      </c>
      <c r="U163" s="3">
        <f>VLOOKUP(B163,'Sheet9'!$B$2:$G$191,5,FALSE)</f>
      </c>
      <c r="V163" s="3" t="str">
        <v>综合渠道推广部</v>
      </c>
      <c r="W163" s="3">
        <f>VLOOKUP(K163,'Sheet11'!$X$2:$AH$279,11,FALSE)</f>
      </c>
      <c r="X163" s="12"/>
      <c r="Y163" s="12"/>
      <c r="Z163" s="12"/>
      <c r="AA163" s="12"/>
    </row>
    <row r="164">
      <c r="A164" s="3" t="str">
        <v>站内</v>
      </c>
      <c r="B164" s="12" t="str">
        <v>拼多多-常规投放</v>
      </c>
      <c r="C164" s="11" t="str">
        <v>杭州匠泽电子商务有限公司</v>
      </c>
      <c r="D164" s="12"/>
      <c r="E164" s="12"/>
      <c r="F164" s="3" t="str">
        <v>自投</v>
      </c>
      <c r="G164" s="11" t="str">
        <v>上海寻梦信息技术有限公司</v>
      </c>
      <c r="H164" s="12"/>
      <c r="I164" s="12"/>
      <c r="J164" s="10" t="str">
        <v>拼多多花西子专卖店-全站推广</v>
      </c>
      <c r="K164" s="22" t="str">
        <v>DP011-015</v>
      </c>
      <c r="L164" s="11"/>
      <c r="M164" s="11"/>
      <c r="N164" s="11" t="str">
        <v>否</v>
      </c>
      <c r="O164" s="12"/>
      <c r="P164" s="12"/>
      <c r="Q164" s="12"/>
      <c r="R164" s="12"/>
      <c r="S164" s="3">
        <f>VLOOKUP(B164,'Sheet9'!$B$2:$G$191,3,FALSE)</f>
      </c>
      <c r="T164" s="3">
        <f>VLOOKUP(B164,'Sheet9'!$B$2:$G$191,4,FALSE)</f>
      </c>
      <c r="U164" s="3">
        <f>VLOOKUP(B164,'Sheet9'!$B$2:$G$191,5,FALSE)</f>
      </c>
      <c r="V164" s="3" t="str">
        <v>综合渠道推广部</v>
      </c>
      <c r="W164" s="3">
        <f>VLOOKUP(K164,'Sheet11'!$X$2:$AH$279,11,FALSE)</f>
      </c>
      <c r="X164" s="12"/>
      <c r="Y164" s="12"/>
      <c r="Z164" s="12"/>
      <c r="AA164" s="12"/>
    </row>
    <row r="165">
      <c r="A165" s="3" t="str">
        <v>站内</v>
      </c>
      <c r="B165" s="12" t="str">
        <v>拼多多-常规投放</v>
      </c>
      <c r="C165" s="11" t="str">
        <v>杭州匠泽电子商务有限公司</v>
      </c>
      <c r="D165" s="12"/>
      <c r="E165" s="12"/>
      <c r="F165" s="3" t="str">
        <v>自投</v>
      </c>
      <c r="G165" s="11" t="str">
        <v>上海寻梦信息技术有限公司</v>
      </c>
      <c r="H165" s="12"/>
      <c r="I165" s="12"/>
      <c r="J165" s="10" t="str">
        <v>拼多多花西子专卖店-明星店铺</v>
      </c>
      <c r="K165" s="22" t="str">
        <v>DP011-014</v>
      </c>
      <c r="L165" s="11"/>
      <c r="M165" s="11"/>
      <c r="N165" s="11" t="str">
        <v>否</v>
      </c>
      <c r="O165" s="12"/>
      <c r="P165" s="12"/>
      <c r="Q165" s="12"/>
      <c r="R165" s="12"/>
      <c r="S165" s="3">
        <f>VLOOKUP(B165,'Sheet9'!$B$2:$G$191,3,FALSE)</f>
      </c>
      <c r="T165" s="3">
        <f>VLOOKUP(B165,'Sheet9'!$B$2:$G$191,4,FALSE)</f>
      </c>
      <c r="U165" s="3">
        <f>VLOOKUP(B165,'Sheet9'!$B$2:$G$191,5,FALSE)</f>
      </c>
      <c r="V165" s="3" t="str">
        <v>综合渠道推广部</v>
      </c>
      <c r="W165" s="3">
        <f>VLOOKUP(K165,'Sheet11'!$X$2:$AH$279,11,FALSE)</f>
      </c>
      <c r="X165" s="12"/>
      <c r="Y165" s="12"/>
      <c r="Z165" s="12"/>
      <c r="AA165" s="12"/>
    </row>
    <row r="166">
      <c r="A166" s="3" t="str">
        <v>站内</v>
      </c>
      <c r="B166" s="12" t="str">
        <v>拼多多-常规投放</v>
      </c>
      <c r="C166" s="11" t="str">
        <v>杭州匠泽电子商务有限公司</v>
      </c>
      <c r="D166" s="12"/>
      <c r="E166" s="12"/>
      <c r="F166" s="3" t="str">
        <v>自投</v>
      </c>
      <c r="G166" s="11" t="str">
        <v>上海寻梦信息技术有限公司</v>
      </c>
      <c r="H166" s="12"/>
      <c r="I166" s="12"/>
      <c r="J166" s="10" t="str">
        <v>拼多多花西子专卖店-直播推广</v>
      </c>
      <c r="K166" s="22" t="str">
        <v>DP011-011</v>
      </c>
      <c r="L166" s="11"/>
      <c r="M166" s="11"/>
      <c r="N166" s="11" t="str">
        <v>否</v>
      </c>
      <c r="O166" s="12"/>
      <c r="P166" s="12"/>
      <c r="Q166" s="12"/>
      <c r="R166" s="12"/>
      <c r="S166" s="3">
        <f>VLOOKUP(B166,'Sheet9'!$B$2:$G$191,3,FALSE)</f>
      </c>
      <c r="T166" s="3">
        <f>VLOOKUP(B166,'Sheet9'!$B$2:$G$191,4,FALSE)</f>
      </c>
      <c r="U166" s="3">
        <f>VLOOKUP(B166,'Sheet9'!$B$2:$G$191,5,FALSE)</f>
      </c>
      <c r="V166" s="3" t="str">
        <v>综合渠道推广部</v>
      </c>
      <c r="W166" s="3">
        <f>VLOOKUP(K166,'Sheet11'!$X$2:$AH$279,11,FALSE)</f>
      </c>
      <c r="X166" s="12"/>
      <c r="Y166" s="12"/>
      <c r="Z166" s="12"/>
      <c r="AA166" s="12"/>
    </row>
    <row r="167">
      <c r="A167" s="3" t="str">
        <v>站内</v>
      </c>
      <c r="B167" s="12" t="str">
        <v>拼多多-联合投放</v>
      </c>
      <c r="C167" s="11" t="str">
        <v>杭州匠泽电子商务有限公司</v>
      </c>
      <c r="D167" s="12"/>
      <c r="E167" s="12"/>
      <c r="F167" s="3" t="str">
        <v>自投</v>
      </c>
      <c r="G167" s="11" t="str">
        <v>上海寻梦信息技术有限公司</v>
      </c>
      <c r="H167" s="12"/>
      <c r="I167" s="12"/>
      <c r="J167" s="10" t="str">
        <v>拼多多花西子专卖店-联合活动</v>
      </c>
      <c r="K167" s="22" t="str">
        <v>DP011-010</v>
      </c>
      <c r="L167" s="11"/>
      <c r="M167" s="11"/>
      <c r="N167" s="11" t="str">
        <v>否</v>
      </c>
      <c r="O167" s="12"/>
      <c r="P167" s="12"/>
      <c r="Q167" s="12"/>
      <c r="R167" s="12"/>
      <c r="S167" s="3">
        <f>VLOOKUP(B167,'Sheet9'!$B$2:$G$191,3,FALSE)</f>
      </c>
      <c r="T167" s="3">
        <f>VLOOKUP(B167,'Sheet9'!$B$2:$G$191,4,FALSE)</f>
      </c>
      <c r="U167" s="3">
        <f>VLOOKUP(B167,'Sheet9'!$B$2:$G$191,5,FALSE)</f>
      </c>
      <c r="V167" s="3" t="str">
        <v>综合渠道推广部</v>
      </c>
      <c r="W167" s="3">
        <f>VLOOKUP(K167,'Sheet11'!$X$2:$AH$279,11,FALSE)</f>
      </c>
      <c r="X167" s="12"/>
      <c r="Y167" s="12"/>
      <c r="Z167" s="12"/>
      <c r="AA167" s="12"/>
    </row>
    <row r="168">
      <c r="A168" s="3" t="str">
        <v>站内</v>
      </c>
      <c r="B168" s="12" t="str">
        <v>拼多多-常规投放</v>
      </c>
      <c r="C168" s="11" t="str">
        <v>杭州匠泽电子商务有限公司</v>
      </c>
      <c r="D168" s="12"/>
      <c r="E168" s="12"/>
      <c r="F168" s="3" t="str">
        <v>自投</v>
      </c>
      <c r="G168" s="11" t="str">
        <v>上海寻梦信息技术有限公司</v>
      </c>
      <c r="H168" s="12"/>
      <c r="I168" s="12"/>
      <c r="J168" s="10" t="str">
        <v>拼多多花西子美妆专卖店-多多搜索</v>
      </c>
      <c r="K168" s="11" t="str">
        <v>DP069-013</v>
      </c>
      <c r="L168" s="11"/>
      <c r="M168" s="11"/>
      <c r="N168" s="11" t="str">
        <v>否</v>
      </c>
      <c r="O168" s="12"/>
      <c r="P168" s="12"/>
      <c r="Q168" s="12"/>
      <c r="R168" s="12"/>
      <c r="S168" s="3">
        <f>VLOOKUP(B168,'Sheet9'!$B$2:$G$191,3,FALSE)</f>
      </c>
      <c r="T168" s="3">
        <f>VLOOKUP(B168,'Sheet9'!$B$2:$G$191,4,FALSE)</f>
      </c>
      <c r="U168" s="3">
        <f>VLOOKUP(B168,'Sheet9'!$B$2:$G$191,5,FALSE)</f>
      </c>
      <c r="V168" s="3" t="str">
        <v>综合渠道推广部</v>
      </c>
      <c r="W168" s="3">
        <f>VLOOKUP(K168,'Sheet11'!$X$2:$AH$279,11,FALSE)</f>
      </c>
      <c r="X168" s="12"/>
      <c r="Y168" s="12"/>
      <c r="Z168" s="12"/>
      <c r="AA168" s="12"/>
    </row>
    <row r="169">
      <c r="A169" s="3" t="str">
        <v>站内</v>
      </c>
      <c r="B169" s="12" t="str">
        <v>拼多多-常规投放</v>
      </c>
      <c r="C169" s="11" t="str">
        <v>杭州匠泽电子商务有限公司</v>
      </c>
      <c r="D169" s="12"/>
      <c r="E169" s="12"/>
      <c r="F169" s="3" t="str">
        <v>自投</v>
      </c>
      <c r="G169" s="11" t="str">
        <v>上海寻梦信息技术有限公司</v>
      </c>
      <c r="H169" s="12"/>
      <c r="I169" s="12"/>
      <c r="J169" s="10" t="str">
        <v>拼多多花西子美妆专卖店-多多场景</v>
      </c>
      <c r="K169" s="11" t="str">
        <v>DP069-012</v>
      </c>
      <c r="L169" s="11"/>
      <c r="M169" s="11"/>
      <c r="N169" s="11" t="str">
        <v>否</v>
      </c>
      <c r="O169" s="12"/>
      <c r="P169" s="12"/>
      <c r="Q169" s="12"/>
      <c r="R169" s="12"/>
      <c r="S169" s="3">
        <f>VLOOKUP(B169,'Sheet9'!$B$2:$G$191,3,FALSE)</f>
      </c>
      <c r="T169" s="3">
        <f>VLOOKUP(B169,'Sheet9'!$B$2:$G$191,4,FALSE)</f>
      </c>
      <c r="U169" s="3">
        <f>VLOOKUP(B169,'Sheet9'!$B$2:$G$191,5,FALSE)</f>
      </c>
      <c r="V169" s="3" t="str">
        <v>综合渠道推广部</v>
      </c>
      <c r="W169" s="3">
        <f>VLOOKUP(K169,'Sheet11'!$X$2:$AH$279,11,FALSE)</f>
      </c>
      <c r="X169" s="12"/>
      <c r="Y169" s="12"/>
      <c r="Z169" s="12"/>
      <c r="AA169" s="12"/>
    </row>
    <row r="170">
      <c r="A170" s="3" t="str">
        <v>站内</v>
      </c>
      <c r="B170" s="12" t="str">
        <v>拼多多-常规投放</v>
      </c>
      <c r="C170" s="11" t="str">
        <v>杭州匠泽电子商务有限公司</v>
      </c>
      <c r="D170" s="12"/>
      <c r="E170" s="12"/>
      <c r="F170" s="3" t="str">
        <v>自投</v>
      </c>
      <c r="G170" s="11" t="str">
        <v>上海寻梦信息技术有限公司</v>
      </c>
      <c r="H170" s="12"/>
      <c r="I170" s="12"/>
      <c r="J170" s="10" t="str">
        <v>拼多多花西子美妆专卖店-全站推广</v>
      </c>
      <c r="K170" s="11" t="str">
        <v>DP069-015</v>
      </c>
      <c r="L170" s="11"/>
      <c r="M170" s="11"/>
      <c r="N170" s="11" t="str">
        <v>否</v>
      </c>
      <c r="O170" s="12"/>
      <c r="P170" s="12"/>
      <c r="Q170" s="12"/>
      <c r="R170" s="12"/>
      <c r="S170" s="3">
        <f>VLOOKUP(B170,'Sheet9'!$B$2:$G$191,3,FALSE)</f>
      </c>
      <c r="T170" s="3">
        <f>VLOOKUP(B170,'Sheet9'!$B$2:$G$191,4,FALSE)</f>
      </c>
      <c r="U170" s="3">
        <f>VLOOKUP(B170,'Sheet9'!$B$2:$G$191,5,FALSE)</f>
      </c>
      <c r="V170" s="3" t="str">
        <v>综合渠道推广部</v>
      </c>
      <c r="W170" s="3">
        <f>VLOOKUP(K170,'Sheet11'!$X$2:$AH$279,11,FALSE)</f>
      </c>
      <c r="X170" s="12"/>
      <c r="Y170" s="12"/>
      <c r="Z170" s="12"/>
      <c r="AA170" s="12"/>
    </row>
    <row r="171">
      <c r="A171" s="3" t="str">
        <v>站内</v>
      </c>
      <c r="B171" s="12" t="str">
        <v>拼多多-常规投放</v>
      </c>
      <c r="C171" s="11" t="str">
        <v>杭州匠泽电子商务有限公司</v>
      </c>
      <c r="D171" s="12"/>
      <c r="E171" s="12"/>
      <c r="F171" s="3" t="str">
        <v>自投</v>
      </c>
      <c r="G171" s="11" t="str">
        <v>上海寻梦信息技术有限公司</v>
      </c>
      <c r="H171" s="12"/>
      <c r="I171" s="12"/>
      <c r="J171" s="10" t="str">
        <v>拼多多花西子美妆专卖店-明星店铺</v>
      </c>
      <c r="K171" s="11" t="str">
        <v>DP069-014</v>
      </c>
      <c r="L171" s="11"/>
      <c r="M171" s="11"/>
      <c r="N171" s="11" t="str">
        <v>否</v>
      </c>
      <c r="O171" s="12"/>
      <c r="P171" s="12"/>
      <c r="Q171" s="12"/>
      <c r="R171" s="12"/>
      <c r="S171" s="3">
        <f>VLOOKUP(B171,'Sheet9'!$B$2:$G$191,3,FALSE)</f>
      </c>
      <c r="T171" s="3">
        <f>VLOOKUP(B171,'Sheet9'!$B$2:$G$191,4,FALSE)</f>
      </c>
      <c r="U171" s="3">
        <f>VLOOKUP(B171,'Sheet9'!$B$2:$G$191,5,FALSE)</f>
      </c>
      <c r="V171" s="3" t="str">
        <v>综合渠道推广部</v>
      </c>
      <c r="W171" s="3">
        <f>VLOOKUP(K171,'Sheet11'!$X$2:$AH$279,11,FALSE)</f>
      </c>
      <c r="X171" s="12"/>
      <c r="Y171" s="12"/>
      <c r="Z171" s="12"/>
      <c r="AA171" s="12"/>
    </row>
    <row r="172">
      <c r="A172" s="3" t="str">
        <v>站内</v>
      </c>
      <c r="B172" s="12" t="str">
        <v>拼多多-常规投放</v>
      </c>
      <c r="C172" s="11" t="str">
        <v>杭州匠泽电子商务有限公司</v>
      </c>
      <c r="D172" s="12"/>
      <c r="E172" s="12"/>
      <c r="F172" s="3" t="str">
        <v>自投</v>
      </c>
      <c r="G172" s="11" t="str">
        <v>上海寻梦信息技术有限公司</v>
      </c>
      <c r="H172" s="12"/>
      <c r="I172" s="12"/>
      <c r="J172" s="10" t="str">
        <v>拼多多花西子美妆专卖店-直播推广</v>
      </c>
      <c r="K172" s="11" t="str">
        <v>DP069-011</v>
      </c>
      <c r="L172" s="11"/>
      <c r="M172" s="11"/>
      <c r="N172" s="11" t="str">
        <v>否</v>
      </c>
      <c r="O172" s="12"/>
      <c r="P172" s="12"/>
      <c r="Q172" s="12"/>
      <c r="R172" s="12"/>
      <c r="S172" s="3">
        <f>VLOOKUP(B172,'Sheet9'!$B$2:$G$191,3,FALSE)</f>
      </c>
      <c r="T172" s="3">
        <f>VLOOKUP(B172,'Sheet9'!$B$2:$G$191,4,FALSE)</f>
      </c>
      <c r="U172" s="3">
        <f>VLOOKUP(B172,'Sheet9'!$B$2:$G$191,5,FALSE)</f>
      </c>
      <c r="V172" s="3" t="str">
        <v>综合渠道推广部</v>
      </c>
      <c r="W172" s="3">
        <f>VLOOKUP(K172,'Sheet11'!$X$2:$AH$279,11,FALSE)</f>
      </c>
      <c r="X172" s="12"/>
      <c r="Y172" s="12"/>
      <c r="Z172" s="12"/>
      <c r="AA172" s="12"/>
    </row>
    <row r="173">
      <c r="A173" s="3" t="str">
        <v>站内</v>
      </c>
      <c r="B173" s="12" t="str">
        <v>拼多多-联合投放</v>
      </c>
      <c r="C173" s="11" t="str">
        <v>杭州匠泽电子商务有限公司</v>
      </c>
      <c r="D173" s="12"/>
      <c r="E173" s="12"/>
      <c r="F173" s="3" t="str">
        <v>自投</v>
      </c>
      <c r="G173" s="11" t="str">
        <v>上海寻梦信息技术有限公司</v>
      </c>
      <c r="H173" s="12"/>
      <c r="I173" s="12"/>
      <c r="J173" s="10" t="str">
        <v>拼多多花西子美妆专卖店-联合活动</v>
      </c>
      <c r="K173" s="11" t="str">
        <v>DP069-010</v>
      </c>
      <c r="L173" s="11"/>
      <c r="M173" s="11"/>
      <c r="N173" s="11" t="str">
        <v>否</v>
      </c>
      <c r="O173" s="12"/>
      <c r="P173" s="12"/>
      <c r="Q173" s="12"/>
      <c r="R173" s="12"/>
      <c r="S173" s="3">
        <f>VLOOKUP(B173,'Sheet9'!$B$2:$G$191,3,FALSE)</f>
      </c>
      <c r="T173" s="3">
        <f>VLOOKUP(B173,'Sheet9'!$B$2:$G$191,4,FALSE)</f>
      </c>
      <c r="U173" s="3">
        <f>VLOOKUP(B173,'Sheet9'!$B$2:$G$191,5,FALSE)</f>
      </c>
      <c r="V173" s="3" t="str">
        <v>综合渠道推广部</v>
      </c>
      <c r="W173" s="3">
        <f>VLOOKUP(K173,'Sheet11'!$X$2:$AH$279,11,FALSE)</f>
      </c>
      <c r="X173" s="12"/>
      <c r="Y173" s="12"/>
      <c r="Z173" s="12"/>
      <c r="AA173" s="12"/>
    </row>
    <row r="174">
      <c r="A174" s="3" t="str">
        <v>站内</v>
      </c>
      <c r="B174" s="12" t="str">
        <v>拼多多-常规投放</v>
      </c>
      <c r="C174" s="11" t="str">
        <v>杭州匠泽电子商务有限公司</v>
      </c>
      <c r="D174" s="12"/>
      <c r="E174" s="12"/>
      <c r="F174" s="3" t="str">
        <v>自投</v>
      </c>
      <c r="G174" s="11" t="str">
        <v>上海寻梦信息技术有限公司</v>
      </c>
      <c r="H174" s="12"/>
      <c r="I174" s="12"/>
      <c r="J174" s="10" t="str">
        <v>拼多多花西子美妆旗舰店-多多搜索</v>
      </c>
      <c r="K174" s="11" t="str">
        <v>DP071-013</v>
      </c>
      <c r="L174" s="11"/>
      <c r="M174" s="11"/>
      <c r="N174" s="11" t="str">
        <v>否</v>
      </c>
      <c r="O174" s="12"/>
      <c r="P174" s="12"/>
      <c r="Q174" s="12"/>
      <c r="R174" s="12"/>
      <c r="S174" s="3">
        <f>VLOOKUP(B174,'Sheet9'!$B$2:$G$191,3,FALSE)</f>
      </c>
      <c r="T174" s="3">
        <f>VLOOKUP(B174,'Sheet9'!$B$2:$G$191,4,FALSE)</f>
      </c>
      <c r="U174" s="3">
        <f>VLOOKUP(B174,'Sheet9'!$B$2:$G$191,5,FALSE)</f>
      </c>
      <c r="V174" s="3" t="str">
        <v>综合渠道推广部</v>
      </c>
      <c r="W174" s="3">
        <f>VLOOKUP(K174,'Sheet11'!$X$2:$AH$279,11,FALSE)</f>
      </c>
      <c r="X174" s="12"/>
      <c r="Y174" s="12"/>
      <c r="Z174" s="12"/>
      <c r="AA174" s="12"/>
    </row>
    <row r="175">
      <c r="A175" s="3" t="str">
        <v>站内</v>
      </c>
      <c r="B175" s="12" t="str">
        <v>拼多多-常规投放</v>
      </c>
      <c r="C175" s="11" t="str">
        <v>杭州匠泽电子商务有限公司</v>
      </c>
      <c r="D175" s="12"/>
      <c r="E175" s="12"/>
      <c r="F175" s="3" t="str">
        <v>自投</v>
      </c>
      <c r="G175" s="11" t="str">
        <v>上海寻梦信息技术有限公司</v>
      </c>
      <c r="H175" s="12"/>
      <c r="I175" s="12"/>
      <c r="J175" s="10" t="str">
        <v>拼多多花西子美妆旗舰店-多多场景</v>
      </c>
      <c r="K175" s="11" t="str">
        <v>DP071-012</v>
      </c>
      <c r="L175" s="11"/>
      <c r="M175" s="11"/>
      <c r="N175" s="11" t="str">
        <v>否</v>
      </c>
      <c r="O175" s="12"/>
      <c r="P175" s="12"/>
      <c r="Q175" s="12"/>
      <c r="R175" s="12"/>
      <c r="S175" s="3">
        <f>VLOOKUP(B175,'Sheet9'!$B$2:$G$191,3,FALSE)</f>
      </c>
      <c r="T175" s="3">
        <f>VLOOKUP(B175,'Sheet9'!$B$2:$G$191,4,FALSE)</f>
      </c>
      <c r="U175" s="3">
        <f>VLOOKUP(B175,'Sheet9'!$B$2:$G$191,5,FALSE)</f>
      </c>
      <c r="V175" s="3" t="str">
        <v>综合渠道推广部</v>
      </c>
      <c r="W175" s="3">
        <f>VLOOKUP(K175,'Sheet11'!$X$2:$AH$279,11,FALSE)</f>
      </c>
      <c r="X175" s="12"/>
      <c r="Y175" s="12"/>
      <c r="Z175" s="12"/>
      <c r="AA175" s="12"/>
    </row>
    <row r="176">
      <c r="A176" s="3" t="str">
        <v>站内</v>
      </c>
      <c r="B176" s="12" t="str">
        <v>拼多多-常规投放</v>
      </c>
      <c r="C176" s="11" t="str">
        <v>杭州匠泽电子商务有限公司</v>
      </c>
      <c r="D176" s="12"/>
      <c r="E176" s="12"/>
      <c r="F176" s="3" t="str">
        <v>自投</v>
      </c>
      <c r="G176" s="11" t="str">
        <v>上海寻梦信息技术有限公司</v>
      </c>
      <c r="H176" s="12"/>
      <c r="I176" s="12"/>
      <c r="J176" s="10" t="str">
        <v>拼多多花西子美妆旗舰店-全站推广</v>
      </c>
      <c r="K176" s="11" t="str">
        <v>DP071-015</v>
      </c>
      <c r="L176" s="11"/>
      <c r="M176" s="11"/>
      <c r="N176" s="11" t="str">
        <v>否</v>
      </c>
      <c r="O176" s="12"/>
      <c r="P176" s="12"/>
      <c r="Q176" s="12"/>
      <c r="R176" s="12"/>
      <c r="S176" s="3">
        <f>VLOOKUP(B176,'Sheet9'!$B$2:$G$191,3,FALSE)</f>
      </c>
      <c r="T176" s="3">
        <f>VLOOKUP(B176,'Sheet9'!$B$2:$G$191,4,FALSE)</f>
      </c>
      <c r="U176" s="3">
        <f>VLOOKUP(B176,'Sheet9'!$B$2:$G$191,5,FALSE)</f>
      </c>
      <c r="V176" s="3" t="str">
        <v>综合渠道推广部</v>
      </c>
      <c r="W176" s="3">
        <f>VLOOKUP(K176,'Sheet11'!$X$2:$AH$279,11,FALSE)</f>
      </c>
      <c r="X176" s="12"/>
      <c r="Y176" s="12"/>
      <c r="Z176" s="12"/>
      <c r="AA176" s="12"/>
    </row>
    <row r="177">
      <c r="A177" s="3" t="str">
        <v>站内</v>
      </c>
      <c r="B177" s="12" t="str">
        <v>拼多多-常规投放</v>
      </c>
      <c r="C177" s="11" t="str">
        <v>杭州匠泽电子商务有限公司</v>
      </c>
      <c r="D177" s="12"/>
      <c r="E177" s="12"/>
      <c r="F177" s="3" t="str">
        <v>自投</v>
      </c>
      <c r="G177" s="11" t="str">
        <v>上海寻梦信息技术有限公司</v>
      </c>
      <c r="H177" s="12"/>
      <c r="I177" s="12"/>
      <c r="J177" s="10" t="str">
        <v>拼多多花西子美妆旗舰店-明星店铺</v>
      </c>
      <c r="K177" s="11" t="str">
        <v>DP071-014</v>
      </c>
      <c r="L177" s="11"/>
      <c r="M177" s="11"/>
      <c r="N177" s="11" t="str">
        <v>否</v>
      </c>
      <c r="O177" s="12"/>
      <c r="P177" s="12"/>
      <c r="Q177" s="12"/>
      <c r="R177" s="12"/>
      <c r="S177" s="3">
        <f>VLOOKUP(B177,'Sheet9'!$B$2:$G$191,3,FALSE)</f>
      </c>
      <c r="T177" s="3">
        <f>VLOOKUP(B177,'Sheet9'!$B$2:$G$191,4,FALSE)</f>
      </c>
      <c r="U177" s="3">
        <f>VLOOKUP(B177,'Sheet9'!$B$2:$G$191,5,FALSE)</f>
      </c>
      <c r="V177" s="3" t="str">
        <v>综合渠道推广部</v>
      </c>
      <c r="W177" s="3">
        <f>VLOOKUP(K177,'Sheet11'!$X$2:$AH$279,11,FALSE)</f>
      </c>
      <c r="X177" s="12"/>
      <c r="Y177" s="12"/>
      <c r="Z177" s="12"/>
      <c r="AA177" s="12"/>
    </row>
    <row r="178">
      <c r="A178" s="3" t="str">
        <v>站内</v>
      </c>
      <c r="B178" s="12" t="str">
        <v>拼多多-常规投放</v>
      </c>
      <c r="C178" s="11" t="str">
        <v>杭州匠泽电子商务有限公司</v>
      </c>
      <c r="D178" s="12"/>
      <c r="E178" s="12"/>
      <c r="F178" s="3" t="str">
        <v>自投</v>
      </c>
      <c r="G178" s="11" t="str">
        <v>上海寻梦信息技术有限公司</v>
      </c>
      <c r="H178" s="12"/>
      <c r="I178" s="12"/>
      <c r="J178" s="10" t="str">
        <v>拼多多花西子美妆旗舰店-直播推广</v>
      </c>
      <c r="K178" s="11" t="str">
        <v>DP071-011</v>
      </c>
      <c r="L178" s="11"/>
      <c r="M178" s="11"/>
      <c r="N178" s="11" t="str">
        <v>否</v>
      </c>
      <c r="O178" s="12"/>
      <c r="P178" s="12"/>
      <c r="Q178" s="12"/>
      <c r="R178" s="12"/>
      <c r="S178" s="3">
        <f>VLOOKUP(B178,'Sheet9'!$B$2:$G$191,3,FALSE)</f>
      </c>
      <c r="T178" s="3">
        <f>VLOOKUP(B178,'Sheet9'!$B$2:$G$191,4,FALSE)</f>
      </c>
      <c r="U178" s="3">
        <f>VLOOKUP(B178,'Sheet9'!$B$2:$G$191,5,FALSE)</f>
      </c>
      <c r="V178" s="3" t="str">
        <v>综合渠道推广部</v>
      </c>
      <c r="W178" s="3">
        <f>VLOOKUP(K178,'Sheet11'!$X$2:$AH$279,11,FALSE)</f>
      </c>
      <c r="X178" s="12"/>
      <c r="Y178" s="12"/>
      <c r="Z178" s="12"/>
      <c r="AA178" s="12"/>
    </row>
    <row r="179">
      <c r="A179" s="3" t="str">
        <v>站内</v>
      </c>
      <c r="B179" s="12" t="str">
        <v>拼多多-联合投放</v>
      </c>
      <c r="C179" s="11" t="str">
        <v>杭州匠泽电子商务有限公司</v>
      </c>
      <c r="D179" s="12"/>
      <c r="E179" s="12"/>
      <c r="F179" s="3" t="str">
        <v>自投</v>
      </c>
      <c r="G179" s="11" t="str">
        <v>上海寻梦信息技术有限公司</v>
      </c>
      <c r="H179" s="12"/>
      <c r="I179" s="12"/>
      <c r="J179" s="10" t="str">
        <v>拼多多花西子美妆旗舰店-联合活动</v>
      </c>
      <c r="K179" s="11" t="str">
        <v>DP071-010</v>
      </c>
      <c r="L179" s="11"/>
      <c r="M179" s="11"/>
      <c r="N179" s="11" t="str">
        <v>否</v>
      </c>
      <c r="O179" s="12"/>
      <c r="P179" s="12"/>
      <c r="Q179" s="12"/>
      <c r="R179" s="12"/>
      <c r="S179" s="3">
        <f>VLOOKUP(B179,'Sheet9'!$B$2:$G$191,3,FALSE)</f>
      </c>
      <c r="T179" s="3">
        <f>VLOOKUP(B179,'Sheet9'!$B$2:$G$191,4,FALSE)</f>
      </c>
      <c r="U179" s="3">
        <f>VLOOKUP(B179,'Sheet9'!$B$2:$G$191,5,FALSE)</f>
      </c>
      <c r="V179" s="3" t="str">
        <v>综合渠道推广部</v>
      </c>
      <c r="W179" s="3">
        <f>VLOOKUP(K179,'Sheet11'!$X$2:$AH$279,11,FALSE)</f>
      </c>
      <c r="X179" s="12"/>
      <c r="Y179" s="12"/>
      <c r="Z179" s="12"/>
      <c r="AA179" s="12"/>
    </row>
    <row r="180">
      <c r="A180" s="3" t="str">
        <v>站内</v>
      </c>
      <c r="B180" s="12" t="str">
        <v>拼多多-常规投放</v>
      </c>
      <c r="C180" s="11" t="str">
        <v>杭州匠泽电子商务有限公司</v>
      </c>
      <c r="D180" s="12"/>
      <c r="E180" s="12"/>
      <c r="F180" s="3" t="str">
        <v>自投</v>
      </c>
      <c r="G180" s="11" t="str">
        <v>上海寻梦信息技术有限公司</v>
      </c>
      <c r="H180" s="12"/>
      <c r="I180" s="12"/>
      <c r="J180" s="10" t="str">
        <v>拼多多花西子匠泽店-多多搜索</v>
      </c>
      <c r="K180" s="11" t="str">
        <v>DP030-013</v>
      </c>
      <c r="L180" s="11"/>
      <c r="M180" s="11"/>
      <c r="N180" s="11" t="str">
        <v>否</v>
      </c>
      <c r="O180" s="12"/>
      <c r="P180" s="12"/>
      <c r="Q180" s="12"/>
      <c r="R180" s="12"/>
      <c r="S180" s="3">
        <f>VLOOKUP(B180,'Sheet9'!$B$2:$G$191,3,FALSE)</f>
      </c>
      <c r="T180" s="3">
        <f>VLOOKUP(B180,'Sheet9'!$B$2:$G$191,4,FALSE)</f>
      </c>
      <c r="U180" s="3">
        <f>VLOOKUP(B180,'Sheet9'!$B$2:$G$191,5,FALSE)</f>
      </c>
      <c r="V180" s="3" t="str">
        <v>综合渠道推广部</v>
      </c>
      <c r="W180" s="3">
        <f>VLOOKUP(K180,'Sheet11'!$X$2:$AH$279,11,FALSE)</f>
      </c>
      <c r="X180" s="12"/>
      <c r="Y180" s="12"/>
      <c r="Z180" s="12"/>
      <c r="AA180" s="12"/>
    </row>
    <row r="181">
      <c r="A181" s="3" t="str">
        <v>站内</v>
      </c>
      <c r="B181" s="12" t="str">
        <v>拼多多-常规投放</v>
      </c>
      <c r="C181" s="11" t="str">
        <v>杭州匠泽电子商务有限公司</v>
      </c>
      <c r="D181" s="12"/>
      <c r="E181" s="12"/>
      <c r="F181" s="3" t="str">
        <v>自投</v>
      </c>
      <c r="G181" s="11" t="str">
        <v>上海寻梦信息技术有限公司</v>
      </c>
      <c r="H181" s="12"/>
      <c r="I181" s="12"/>
      <c r="J181" s="10" t="str">
        <v>拼多多花西子匠泽店-多多场景</v>
      </c>
      <c r="K181" s="11" t="str">
        <v>DP030-012</v>
      </c>
      <c r="L181" s="11"/>
      <c r="M181" s="11"/>
      <c r="N181" s="11" t="str">
        <v>否</v>
      </c>
      <c r="O181" s="12"/>
      <c r="P181" s="12"/>
      <c r="Q181" s="12"/>
      <c r="R181" s="12"/>
      <c r="S181" s="3">
        <f>VLOOKUP(B181,'Sheet9'!$B$2:$G$191,3,FALSE)</f>
      </c>
      <c r="T181" s="3">
        <f>VLOOKUP(B181,'Sheet9'!$B$2:$G$191,4,FALSE)</f>
      </c>
      <c r="U181" s="3">
        <f>VLOOKUP(B181,'Sheet9'!$B$2:$G$191,5,FALSE)</f>
      </c>
      <c r="V181" s="3" t="str">
        <v>综合渠道推广部</v>
      </c>
      <c r="W181" s="3">
        <f>VLOOKUP(K181,'Sheet11'!$X$2:$AH$279,11,FALSE)</f>
      </c>
      <c r="X181" s="12"/>
      <c r="Y181" s="12"/>
      <c r="Z181" s="12"/>
      <c r="AA181" s="12"/>
    </row>
    <row r="182">
      <c r="A182" s="3" t="str">
        <v>站内</v>
      </c>
      <c r="B182" s="12" t="str">
        <v>拼多多-常规投放</v>
      </c>
      <c r="C182" s="11" t="str">
        <v>杭州匠泽电子商务有限公司</v>
      </c>
      <c r="D182" s="12"/>
      <c r="E182" s="12"/>
      <c r="F182" s="3" t="str">
        <v>自投</v>
      </c>
      <c r="G182" s="11" t="str">
        <v>上海寻梦信息技术有限公司</v>
      </c>
      <c r="H182" s="12"/>
      <c r="I182" s="12"/>
      <c r="J182" s="10" t="str">
        <v>拼多多花西子匠泽店-全站推广</v>
      </c>
      <c r="K182" s="11" t="str">
        <v>DP030-015</v>
      </c>
      <c r="L182" s="11"/>
      <c r="M182" s="11"/>
      <c r="N182" s="11" t="str">
        <v>否</v>
      </c>
      <c r="O182" s="12"/>
      <c r="P182" s="12"/>
      <c r="Q182" s="12"/>
      <c r="R182" s="12"/>
      <c r="S182" s="3">
        <f>VLOOKUP(B182,'Sheet9'!$B$2:$G$191,3,FALSE)</f>
      </c>
      <c r="T182" s="3">
        <f>VLOOKUP(B182,'Sheet9'!$B$2:$G$191,4,FALSE)</f>
      </c>
      <c r="U182" s="3">
        <f>VLOOKUP(B182,'Sheet9'!$B$2:$G$191,5,FALSE)</f>
      </c>
      <c r="V182" s="3" t="str">
        <v>综合渠道推广部</v>
      </c>
      <c r="W182" s="3">
        <f>VLOOKUP(K182,'Sheet11'!$X$2:$AH$279,11,FALSE)</f>
      </c>
      <c r="X182" s="12"/>
      <c r="Y182" s="12"/>
      <c r="Z182" s="12"/>
      <c r="AA182" s="12"/>
    </row>
    <row r="183">
      <c r="A183" s="3" t="str">
        <v>站内</v>
      </c>
      <c r="B183" s="12" t="str">
        <v>拼多多-常规投放</v>
      </c>
      <c r="C183" s="11" t="str">
        <v>杭州匠泽电子商务有限公司</v>
      </c>
      <c r="D183" s="12"/>
      <c r="E183" s="12"/>
      <c r="F183" s="3" t="str">
        <v>自投</v>
      </c>
      <c r="G183" s="11" t="str">
        <v>上海寻梦信息技术有限公司</v>
      </c>
      <c r="H183" s="12"/>
      <c r="I183" s="12"/>
      <c r="J183" s="10" t="str">
        <v>拼多多花西子匠泽店-明星店铺</v>
      </c>
      <c r="K183" s="11" t="str">
        <v>DP030-014</v>
      </c>
      <c r="L183" s="11"/>
      <c r="M183" s="11"/>
      <c r="N183" s="11" t="str">
        <v>否</v>
      </c>
      <c r="O183" s="12"/>
      <c r="P183" s="12"/>
      <c r="Q183" s="12"/>
      <c r="R183" s="12"/>
      <c r="S183" s="3">
        <f>VLOOKUP(B183,'Sheet9'!$B$2:$G$191,3,FALSE)</f>
      </c>
      <c r="T183" s="3">
        <f>VLOOKUP(B183,'Sheet9'!$B$2:$G$191,4,FALSE)</f>
      </c>
      <c r="U183" s="3">
        <f>VLOOKUP(B183,'Sheet9'!$B$2:$G$191,5,FALSE)</f>
      </c>
      <c r="V183" s="3" t="str">
        <v>综合渠道推广部</v>
      </c>
      <c r="W183" s="3">
        <f>VLOOKUP(K183,'Sheet11'!$X$2:$AH$279,11,FALSE)</f>
      </c>
      <c r="X183" s="12"/>
      <c r="Y183" s="12"/>
      <c r="Z183" s="12"/>
      <c r="AA183" s="12"/>
    </row>
    <row r="184">
      <c r="A184" s="3" t="str">
        <v>站内</v>
      </c>
      <c r="B184" s="12" t="str">
        <v>拼多多-常规投放</v>
      </c>
      <c r="C184" s="11" t="str">
        <v>杭州匠泽电子商务有限公司</v>
      </c>
      <c r="D184" s="12"/>
      <c r="E184" s="12"/>
      <c r="F184" s="3" t="str">
        <v>自投</v>
      </c>
      <c r="G184" s="11" t="str">
        <v>上海寻梦信息技术有限公司</v>
      </c>
      <c r="H184" s="12"/>
      <c r="I184" s="12"/>
      <c r="J184" s="10" t="str">
        <v>拼多多花西子匠泽店-直播推广</v>
      </c>
      <c r="K184" s="11" t="str">
        <v>DP030-011</v>
      </c>
      <c r="L184" s="11"/>
      <c r="M184" s="11"/>
      <c r="N184" s="11" t="str">
        <v>否</v>
      </c>
      <c r="O184" s="12"/>
      <c r="P184" s="12"/>
      <c r="Q184" s="12"/>
      <c r="R184" s="12"/>
      <c r="S184" s="3">
        <f>VLOOKUP(B184,'Sheet9'!$B$2:$G$191,3,FALSE)</f>
      </c>
      <c r="T184" s="3">
        <f>VLOOKUP(B184,'Sheet9'!$B$2:$G$191,4,FALSE)</f>
      </c>
      <c r="U184" s="3">
        <f>VLOOKUP(B184,'Sheet9'!$B$2:$G$191,5,FALSE)</f>
      </c>
      <c r="V184" s="3" t="str">
        <v>综合渠道推广部</v>
      </c>
      <c r="W184" s="3">
        <f>VLOOKUP(K184,'Sheet11'!$X$2:$AH$279,11,FALSE)</f>
      </c>
      <c r="X184" s="12"/>
      <c r="Y184" s="12"/>
      <c r="Z184" s="12"/>
      <c r="AA184" s="12"/>
    </row>
    <row r="185">
      <c r="A185" s="3" t="str">
        <v>站内</v>
      </c>
      <c r="B185" s="12" t="str">
        <v>拼多多-联合投放</v>
      </c>
      <c r="C185" s="11" t="str">
        <v>杭州匠泽电子商务有限公司</v>
      </c>
      <c r="D185" s="12"/>
      <c r="E185" s="12"/>
      <c r="F185" s="3" t="str">
        <v>自投</v>
      </c>
      <c r="G185" s="11" t="str">
        <v>上海寻梦信息技术有限公司</v>
      </c>
      <c r="H185" s="12"/>
      <c r="I185" s="12"/>
      <c r="J185" s="10" t="str">
        <v>拼多多花西子匠泽店-联合活动</v>
      </c>
      <c r="K185" s="11" t="str">
        <v>DP030-010</v>
      </c>
      <c r="L185" s="11"/>
      <c r="M185" s="11"/>
      <c r="N185" s="11" t="str">
        <v>否</v>
      </c>
      <c r="O185" s="12"/>
      <c r="P185" s="12"/>
      <c r="Q185" s="12"/>
      <c r="R185" s="12"/>
      <c r="S185" s="3">
        <f>VLOOKUP(B185,'Sheet9'!$B$2:$G$191,3,FALSE)</f>
      </c>
      <c r="T185" s="3">
        <f>VLOOKUP(B185,'Sheet9'!$B$2:$G$191,4,FALSE)</f>
      </c>
      <c r="U185" s="3">
        <f>VLOOKUP(B185,'Sheet9'!$B$2:$G$191,5,FALSE)</f>
      </c>
      <c r="V185" s="3" t="str">
        <v>综合渠道推广部</v>
      </c>
      <c r="W185" s="3">
        <f>VLOOKUP(K185,'Sheet11'!$X$2:$AH$279,11,FALSE)</f>
      </c>
      <c r="X185" s="12"/>
      <c r="Y185" s="12"/>
      <c r="Z185" s="12"/>
      <c r="AA185" s="12"/>
    </row>
    <row r="186">
      <c r="A186" s="18" t="str">
        <v>站外</v>
      </c>
      <c r="B186" s="18" t="str">
        <v>AD信息流</v>
      </c>
      <c r="C186" s="3" t="str">
        <v>杭州宜格化妆品有限公司</v>
      </c>
      <c r="D186" s="18" t="str">
        <v>抖音</v>
      </c>
      <c r="E186" s="12"/>
      <c r="F186" s="18" t="str">
        <v>自投</v>
      </c>
      <c r="G186" s="18" t="str">
        <v>江西五六七数字科技有限公司</v>
      </c>
      <c r="H186" s="12"/>
      <c r="I186" s="12"/>
      <c r="J186" s="18" t="str">
        <v>1639753233213454</v>
      </c>
      <c r="K186" s="18" t="str">
        <v>1639753233213454</v>
      </c>
      <c r="L186" s="12"/>
      <c r="M186" s="12"/>
      <c r="N186" s="11" t="str">
        <v>否</v>
      </c>
      <c r="O186" s="12"/>
      <c r="P186" s="18" t="str">
        <v>否</v>
      </c>
      <c r="Q186" s="18" t="str">
        <v>是</v>
      </c>
      <c r="R186" s="18" t="str">
        <v>是</v>
      </c>
      <c r="S186" s="18" t="str">
        <v>品牌运营中心</v>
      </c>
      <c r="T186" s="18" t="str">
        <v>天猫运营部</v>
      </c>
      <c r="U186" s="18" t="str">
        <v>推广中心部</v>
      </c>
      <c r="V186" s="12"/>
      <c r="W186" s="3">
        <f>VLOOKUP(K186,'Sheet11'!$X$2:$AH$279,11,FALSE)</f>
      </c>
      <c r="X186" s="12"/>
      <c r="Y186" s="12"/>
      <c r="Z186" s="12"/>
      <c r="AA186" s="12"/>
    </row>
    <row r="187">
      <c r="A187" s="18" t="str">
        <v>站外</v>
      </c>
      <c r="B187" s="18" t="str">
        <v>AD信息流</v>
      </c>
      <c r="C187" s="3" t="str">
        <v>杭州宜格化妆品有限公司</v>
      </c>
      <c r="D187" s="18" t="str">
        <v>抖音</v>
      </c>
      <c r="E187" s="12"/>
      <c r="F187" s="18" t="str">
        <v>自投</v>
      </c>
      <c r="G187" s="18" t="str">
        <v>江西五六七数字科技有限公司</v>
      </c>
      <c r="H187" s="12"/>
      <c r="I187" s="12"/>
      <c r="J187" s="18" t="str">
        <v>1642648003678215</v>
      </c>
      <c r="K187" s="18" t="str">
        <v>1642648003678215</v>
      </c>
      <c r="L187" s="12"/>
      <c r="M187" s="12"/>
      <c r="N187" s="11" t="str">
        <v>否</v>
      </c>
      <c r="O187" s="12"/>
      <c r="P187" s="18" t="str">
        <v>否</v>
      </c>
      <c r="Q187" s="18" t="str">
        <v>是</v>
      </c>
      <c r="R187" s="18" t="str">
        <v>是</v>
      </c>
      <c r="S187" s="18" t="str">
        <v>品牌运营中心</v>
      </c>
      <c r="T187" s="18" t="str">
        <v>天猫运营部</v>
      </c>
      <c r="U187" s="18" t="str">
        <v>推广中心部</v>
      </c>
      <c r="V187" s="12"/>
      <c r="W187" s="3">
        <f>VLOOKUP(K187,'Sheet11'!$X$2:$AH$279,11,FALSE)</f>
      </c>
      <c r="X187" s="12"/>
      <c r="Y187" s="12"/>
      <c r="Z187" s="12"/>
      <c r="AA187" s="12"/>
    </row>
    <row r="188">
      <c r="A188" s="18" t="str">
        <v>站外</v>
      </c>
      <c r="B188" s="18" t="str">
        <v>AD信息流</v>
      </c>
      <c r="C188" s="3" t="str">
        <v>杭州宜格化妆品有限公司</v>
      </c>
      <c r="D188" s="18" t="str">
        <v>抖音</v>
      </c>
      <c r="E188" s="12"/>
      <c r="F188" s="18" t="str">
        <v>自投</v>
      </c>
      <c r="G188" s="18" t="str">
        <v>乐推（上海）文化传播有限公司</v>
      </c>
      <c r="H188" s="12"/>
      <c r="I188" s="12"/>
      <c r="J188" s="18" t="str">
        <v>1646068321606668</v>
      </c>
      <c r="K188" s="18" t="str">
        <v>1646068321606668</v>
      </c>
      <c r="L188" s="12"/>
      <c r="M188" s="12"/>
      <c r="N188" s="11" t="str">
        <v>否</v>
      </c>
      <c r="O188" s="12"/>
      <c r="P188" s="18" t="str">
        <v>否</v>
      </c>
      <c r="Q188" s="18" t="str">
        <v>是</v>
      </c>
      <c r="R188" s="18" t="str">
        <v>是</v>
      </c>
      <c r="S188" s="18" t="str">
        <v>品牌运营中心</v>
      </c>
      <c r="T188" s="18" t="str">
        <v>天猫运营部</v>
      </c>
      <c r="U188" s="18" t="str">
        <v>推广中心部</v>
      </c>
      <c r="V188" s="12"/>
      <c r="W188" s="3">
        <f>VLOOKUP(K188,'Sheet11'!$X$2:$AH$279,11,FALSE)</f>
      </c>
      <c r="X188" s="12"/>
      <c r="Y188" s="12"/>
      <c r="Z188" s="12"/>
      <c r="AA188" s="12"/>
    </row>
    <row r="189">
      <c r="A189" s="18" t="str">
        <v>站外</v>
      </c>
      <c r="B189" s="18" t="str">
        <v>AD信息流</v>
      </c>
      <c r="C189" s="3" t="str">
        <v>杭州宜格化妆品有限公司</v>
      </c>
      <c r="D189" s="18" t="str">
        <v>抖音</v>
      </c>
      <c r="E189" s="12"/>
      <c r="F189" s="18" t="str">
        <v>自投</v>
      </c>
      <c r="G189" s="18" t="str">
        <v>江西五六七数字科技有限公司</v>
      </c>
      <c r="H189" s="12"/>
      <c r="I189" s="12"/>
      <c r="J189" s="18" t="str">
        <v>1650263841162253</v>
      </c>
      <c r="K189" s="18" t="str">
        <v>1650263841162253</v>
      </c>
      <c r="L189" s="12"/>
      <c r="M189" s="12"/>
      <c r="N189" s="11" t="str">
        <v>否</v>
      </c>
      <c r="O189" s="12"/>
      <c r="P189" s="18" t="str">
        <v>否</v>
      </c>
      <c r="Q189" s="18" t="str">
        <v>是</v>
      </c>
      <c r="R189" s="18" t="str">
        <v>是</v>
      </c>
      <c r="S189" s="18" t="str">
        <v>品牌运营中心</v>
      </c>
      <c r="T189" s="18" t="str">
        <v>天猫运营部</v>
      </c>
      <c r="U189" s="18" t="str">
        <v>推广中心部</v>
      </c>
      <c r="V189" s="12"/>
      <c r="W189" s="3">
        <f>VLOOKUP(K189,'Sheet11'!$X$2:$AH$279,11,FALSE)</f>
      </c>
      <c r="X189" s="12"/>
      <c r="Y189" s="12"/>
      <c r="Z189" s="12"/>
      <c r="AA189" s="12"/>
    </row>
    <row r="190">
      <c r="A190" s="18" t="str">
        <v>站外</v>
      </c>
      <c r="B190" s="18" t="str">
        <v>AD信息流</v>
      </c>
      <c r="C190" s="3" t="str">
        <v>杭州宜格化妆品有限公司</v>
      </c>
      <c r="D190" s="18" t="str">
        <v>抖音</v>
      </c>
      <c r="E190" s="12"/>
      <c r="F190" s="18" t="str">
        <v>自投</v>
      </c>
      <c r="G190" s="18" t="str">
        <v>上海博观瑞思传媒科技有限公司</v>
      </c>
      <c r="H190" s="12"/>
      <c r="I190" s="12"/>
      <c r="J190" s="18" t="str">
        <v>1676872811868174</v>
      </c>
      <c r="K190" s="18" t="str">
        <v>1676872811868174</v>
      </c>
      <c r="L190" s="12"/>
      <c r="M190" s="12"/>
      <c r="N190" s="11" t="str">
        <v>否</v>
      </c>
      <c r="O190" s="12"/>
      <c r="P190" s="18" t="str">
        <v>否</v>
      </c>
      <c r="Q190" s="18" t="str">
        <v>是</v>
      </c>
      <c r="R190" s="18" t="str">
        <v>是</v>
      </c>
      <c r="S190" s="18" t="str">
        <v>品牌运营中心</v>
      </c>
      <c r="T190" s="18" t="str">
        <v>天猫运营部</v>
      </c>
      <c r="U190" s="18" t="str">
        <v>推广中心部</v>
      </c>
      <c r="V190" s="12"/>
      <c r="W190" s="3">
        <f>VLOOKUP(K190,'Sheet11'!$X$2:$AH$279,11,FALSE)</f>
      </c>
      <c r="X190" s="12"/>
      <c r="Y190" s="12"/>
      <c r="Z190" s="12"/>
      <c r="AA190" s="12"/>
    </row>
    <row r="191">
      <c r="A191" s="18" t="str">
        <v>站外</v>
      </c>
      <c r="B191" s="18" t="str">
        <v>AD信息流</v>
      </c>
      <c r="C191" s="3" t="str">
        <v>杭州宜格化妆品有限公司</v>
      </c>
      <c r="D191" s="18" t="str">
        <v>抖音</v>
      </c>
      <c r="E191" s="12"/>
      <c r="F191" s="18" t="str">
        <v>自投</v>
      </c>
      <c r="G191" s="18" t="str">
        <v>上海博观瑞思传媒科技有限公司</v>
      </c>
      <c r="H191" s="12"/>
      <c r="I191" s="12"/>
      <c r="J191" s="18" t="str">
        <v>1676896800631816</v>
      </c>
      <c r="K191" s="18" t="str">
        <v>1676896800631816</v>
      </c>
      <c r="L191" s="12"/>
      <c r="M191" s="12"/>
      <c r="N191" s="11" t="str">
        <v>否</v>
      </c>
      <c r="O191" s="12"/>
      <c r="P191" s="18" t="str">
        <v>否</v>
      </c>
      <c r="Q191" s="18" t="str">
        <v>是</v>
      </c>
      <c r="R191" s="18" t="str">
        <v>是</v>
      </c>
      <c r="S191" s="18" t="str">
        <v>品牌运营中心</v>
      </c>
      <c r="T191" s="18" t="str">
        <v>天猫运营部</v>
      </c>
      <c r="U191" s="18" t="str">
        <v>推广中心部</v>
      </c>
      <c r="V191" s="12"/>
      <c r="W191" s="3">
        <f>VLOOKUP(K191,'Sheet11'!$X$2:$AH$279,11,FALSE)</f>
      </c>
      <c r="X191" s="12"/>
      <c r="Y191" s="12"/>
      <c r="Z191" s="12"/>
      <c r="AA191" s="12"/>
    </row>
    <row r="192">
      <c r="A192" s="18" t="str">
        <v>站外</v>
      </c>
      <c r="B192" s="18" t="str">
        <v>AD信息流</v>
      </c>
      <c r="C192" s="3" t="str">
        <v>杭州宜格化妆品有限公司</v>
      </c>
      <c r="D192" s="18" t="str">
        <v>抖音</v>
      </c>
      <c r="E192" s="12"/>
      <c r="F192" s="18" t="str">
        <v>自投</v>
      </c>
      <c r="G192" s="18" t="str">
        <v>珠海视通超然文化传媒有限公司</v>
      </c>
      <c r="H192" s="12"/>
      <c r="I192" s="12"/>
      <c r="J192" s="18" t="str">
        <v>1701900784348167</v>
      </c>
      <c r="K192" s="18" t="str">
        <v>1701900784348167</v>
      </c>
      <c r="L192" s="12"/>
      <c r="M192" s="12"/>
      <c r="N192" s="11" t="str">
        <v>否</v>
      </c>
      <c r="O192" s="12"/>
      <c r="P192" s="18" t="str">
        <v>否</v>
      </c>
      <c r="Q192" s="18" t="str">
        <v>是</v>
      </c>
      <c r="R192" s="18" t="str">
        <v>是</v>
      </c>
      <c r="S192" s="18" t="str">
        <v>品牌运营中心</v>
      </c>
      <c r="T192" s="18" t="str">
        <v>天猫运营部</v>
      </c>
      <c r="U192" s="18" t="str">
        <v>推广中心部</v>
      </c>
      <c r="V192" s="12"/>
      <c r="W192" s="3">
        <f>VLOOKUP(K192,'Sheet11'!$X$2:$AH$279,11,FALSE)</f>
      </c>
      <c r="X192" s="12"/>
      <c r="Y192" s="12"/>
      <c r="Z192" s="12"/>
      <c r="AA192" s="12"/>
    </row>
    <row r="193">
      <c r="A193" s="18" t="str">
        <v>站外</v>
      </c>
      <c r="B193" s="18" t="str">
        <v>AD信息流</v>
      </c>
      <c r="C193" s="3" t="str">
        <v>杭州宜格化妆品有限公司</v>
      </c>
      <c r="D193" s="18" t="str">
        <v>抖音</v>
      </c>
      <c r="E193" s="12"/>
      <c r="F193" s="18" t="str">
        <v>代投</v>
      </c>
      <c r="G193" s="18" t="str">
        <v>群邑（上海）广告有限公司</v>
      </c>
      <c r="H193" s="12"/>
      <c r="I193" s="12"/>
      <c r="J193" s="18" t="str">
        <v>1727635336734734</v>
      </c>
      <c r="K193" s="18" t="str">
        <v>1727635336734734</v>
      </c>
      <c r="L193" s="12"/>
      <c r="M193" s="12"/>
      <c r="N193" s="11" t="str">
        <v>否</v>
      </c>
      <c r="O193" s="12"/>
      <c r="P193" s="18" t="str">
        <v>否</v>
      </c>
      <c r="Q193" s="18" t="str">
        <v>是</v>
      </c>
      <c r="R193" s="18" t="str">
        <v>是</v>
      </c>
      <c r="S193" s="18" t="str">
        <v>品牌运营中心</v>
      </c>
      <c r="T193" s="18" t="str">
        <v>天猫运营部</v>
      </c>
      <c r="U193" s="18" t="str">
        <v>推广中心部</v>
      </c>
      <c r="V193" s="12"/>
      <c r="W193" s="3">
        <f>VLOOKUP(K193,'Sheet11'!$X$2:$AH$279,11,FALSE)</f>
      </c>
      <c r="X193" s="12"/>
      <c r="Y193" s="12"/>
      <c r="Z193" s="12"/>
      <c r="AA193" s="12"/>
    </row>
    <row r="194">
      <c r="A194" s="18" t="str">
        <v>站外</v>
      </c>
      <c r="B194" s="18" t="str">
        <v>AD信息流</v>
      </c>
      <c r="C194" s="3" t="str">
        <v>杭州宜格化妆品有限公司</v>
      </c>
      <c r="D194" s="18" t="str">
        <v>抖音</v>
      </c>
      <c r="E194" s="12"/>
      <c r="F194" s="18" t="str">
        <v>代投</v>
      </c>
      <c r="G194" s="18" t="str">
        <v>广东省广告集团股份有限公司</v>
      </c>
      <c r="H194" s="12"/>
      <c r="I194" s="12"/>
      <c r="J194" s="18" t="str">
        <v>1727907165074439</v>
      </c>
      <c r="K194" s="18" t="str">
        <v>1727907165074439</v>
      </c>
      <c r="L194" s="12"/>
      <c r="M194" s="12"/>
      <c r="N194" s="11" t="str">
        <v>否</v>
      </c>
      <c r="O194" s="12"/>
      <c r="P194" s="18" t="str">
        <v>否</v>
      </c>
      <c r="Q194" s="18" t="str">
        <v>是</v>
      </c>
      <c r="R194" s="18" t="str">
        <v>是</v>
      </c>
      <c r="S194" s="18" t="str">
        <v>品牌运营中心</v>
      </c>
      <c r="T194" s="18" t="str">
        <v>天猫运营部</v>
      </c>
      <c r="U194" s="18" t="str">
        <v>推广中心部</v>
      </c>
      <c r="V194" s="12"/>
      <c r="W194" s="3">
        <f>VLOOKUP(K194,'Sheet11'!$X$2:$AH$279,11,FALSE)</f>
      </c>
      <c r="X194" s="12"/>
      <c r="Y194" s="12"/>
      <c r="Z194" s="12"/>
      <c r="AA194" s="12"/>
    </row>
    <row r="195">
      <c r="A195" s="18" t="str">
        <v>站外</v>
      </c>
      <c r="B195" s="18" t="str">
        <v>AD信息流</v>
      </c>
      <c r="C195" s="3" t="str">
        <v>杭州宜格化妆品有限公司</v>
      </c>
      <c r="D195" s="18" t="str">
        <v>抖音</v>
      </c>
      <c r="E195" s="12"/>
      <c r="F195" s="18" t="str">
        <v>代投</v>
      </c>
      <c r="G195" s="18" t="str">
        <v>广东省广告集团股份有限公司</v>
      </c>
      <c r="H195" s="12"/>
      <c r="I195" s="12"/>
      <c r="J195" s="18" t="str">
        <v>1728523267016711</v>
      </c>
      <c r="K195" s="18" t="str">
        <v>1728523267016711</v>
      </c>
      <c r="L195" s="12"/>
      <c r="M195" s="12"/>
      <c r="N195" s="11" t="str">
        <v>否</v>
      </c>
      <c r="O195" s="12"/>
      <c r="P195" s="18" t="str">
        <v>否</v>
      </c>
      <c r="Q195" s="18" t="str">
        <v>是</v>
      </c>
      <c r="R195" s="18" t="str">
        <v>是</v>
      </c>
      <c r="S195" s="18" t="str">
        <v>品牌运营中心</v>
      </c>
      <c r="T195" s="18" t="str">
        <v>天猫运营部</v>
      </c>
      <c r="U195" s="18" t="str">
        <v>推广中心部</v>
      </c>
      <c r="V195" s="12"/>
      <c r="W195" s="3">
        <f>VLOOKUP(K195,'Sheet11'!$X$2:$AH$279,11,FALSE)</f>
      </c>
      <c r="X195" s="12"/>
      <c r="Y195" s="12"/>
      <c r="Z195" s="12"/>
      <c r="AA195" s="12"/>
    </row>
    <row r="196">
      <c r="A196" s="18" t="str">
        <v>站外</v>
      </c>
      <c r="B196" s="18" t="str">
        <v>AD信息流</v>
      </c>
      <c r="C196" s="3" t="str">
        <v>杭州宜格化妆品有限公司</v>
      </c>
      <c r="D196" s="18" t="str">
        <v>抖音</v>
      </c>
      <c r="E196" s="12"/>
      <c r="F196" s="18" t="str">
        <v>代投</v>
      </c>
      <c r="G196" s="18" t="str">
        <v>广东省广告集团股份有限公司</v>
      </c>
      <c r="H196" s="12"/>
      <c r="I196" s="12"/>
      <c r="J196" s="18" t="str">
        <v>1728523269498893</v>
      </c>
      <c r="K196" s="18" t="str">
        <v>1728523269498893</v>
      </c>
      <c r="L196" s="12"/>
      <c r="M196" s="12"/>
      <c r="N196" s="11" t="str">
        <v>否</v>
      </c>
      <c r="O196" s="12"/>
      <c r="P196" s="18" t="str">
        <v>否</v>
      </c>
      <c r="Q196" s="18" t="str">
        <v>是</v>
      </c>
      <c r="R196" s="18" t="str">
        <v>是</v>
      </c>
      <c r="S196" s="18" t="str">
        <v>品牌运营中心</v>
      </c>
      <c r="T196" s="18" t="str">
        <v>天猫运营部</v>
      </c>
      <c r="U196" s="18" t="str">
        <v>推广中心部</v>
      </c>
      <c r="V196" s="12"/>
      <c r="W196" s="3">
        <f>VLOOKUP(K196,'Sheet11'!$X$2:$AH$279,11,FALSE)</f>
      </c>
      <c r="X196" s="12"/>
      <c r="Y196" s="12"/>
      <c r="Z196" s="12"/>
      <c r="AA196" s="12"/>
    </row>
    <row r="197">
      <c r="A197" s="18" t="str">
        <v>站外</v>
      </c>
      <c r="B197" s="18" t="str">
        <v>AD信息流</v>
      </c>
      <c r="C197" s="3" t="str">
        <v>杭州宜格化妆品有限公司</v>
      </c>
      <c r="D197" s="18" t="str">
        <v>抖音</v>
      </c>
      <c r="E197" s="12"/>
      <c r="F197" s="18" t="str">
        <v>代投</v>
      </c>
      <c r="G197" s="18" t="str">
        <v>广东省广告集团股份有限公司</v>
      </c>
      <c r="H197" s="12"/>
      <c r="I197" s="12"/>
      <c r="J197" s="18" t="str">
        <v>1728523271383053</v>
      </c>
      <c r="K197" s="18" t="str">
        <v>1728523271383053</v>
      </c>
      <c r="L197" s="12"/>
      <c r="M197" s="12"/>
      <c r="N197" s="11" t="str">
        <v>否</v>
      </c>
      <c r="O197" s="12"/>
      <c r="P197" s="18" t="str">
        <v>否</v>
      </c>
      <c r="Q197" s="18" t="str">
        <v>是</v>
      </c>
      <c r="R197" s="18" t="str">
        <v>是</v>
      </c>
      <c r="S197" s="18" t="str">
        <v>品牌运营中心</v>
      </c>
      <c r="T197" s="18" t="str">
        <v>天猫运营部</v>
      </c>
      <c r="U197" s="18" t="str">
        <v>推广中心部</v>
      </c>
      <c r="V197" s="12"/>
      <c r="W197" s="3">
        <f>VLOOKUP(K197,'Sheet11'!$X$2:$AH$279,11,FALSE)</f>
      </c>
      <c r="X197" s="12"/>
      <c r="Y197" s="12"/>
      <c r="Z197" s="12"/>
      <c r="AA197" s="12"/>
    </row>
    <row r="198">
      <c r="A198" s="18" t="str">
        <v>站外</v>
      </c>
      <c r="B198" s="18" t="str">
        <v>AD信息流</v>
      </c>
      <c r="C198" s="3" t="str">
        <v>杭州宜格化妆品有限公司</v>
      </c>
      <c r="D198" s="18" t="str">
        <v>抖音</v>
      </c>
      <c r="E198" s="12"/>
      <c r="F198" s="18" t="str">
        <v>代投</v>
      </c>
      <c r="G198" s="18" t="str">
        <v>群邑（上海）广告有限公司</v>
      </c>
      <c r="H198" s="12"/>
      <c r="I198" s="12"/>
      <c r="J198" s="18" t="str">
        <v>1730073308801037</v>
      </c>
      <c r="K198" s="18" t="str">
        <v>1730073308801037</v>
      </c>
      <c r="L198" s="12"/>
      <c r="M198" s="12"/>
      <c r="N198" s="11" t="str">
        <v>否</v>
      </c>
      <c r="O198" s="12"/>
      <c r="P198" s="18" t="str">
        <v>否</v>
      </c>
      <c r="Q198" s="18" t="str">
        <v>是</v>
      </c>
      <c r="R198" s="18" t="str">
        <v>是</v>
      </c>
      <c r="S198" s="18" t="str">
        <v>品牌运营中心</v>
      </c>
      <c r="T198" s="18" t="str">
        <v>天猫运营部</v>
      </c>
      <c r="U198" s="18" t="str">
        <v>推广中心部</v>
      </c>
      <c r="V198" s="12"/>
      <c r="W198" s="3">
        <f>VLOOKUP(K198,'Sheet11'!$X$2:$AH$279,11,FALSE)</f>
      </c>
      <c r="X198" s="12"/>
      <c r="Y198" s="12"/>
      <c r="Z198" s="12"/>
      <c r="AA198" s="12"/>
    </row>
    <row r="199">
      <c r="A199" s="18" t="str">
        <v>站外</v>
      </c>
      <c r="B199" s="18" t="str">
        <v>AD信息流</v>
      </c>
      <c r="C199" s="3" t="str">
        <v>杭州宜格化妆品有限公司</v>
      </c>
      <c r="D199" s="18" t="str">
        <v>抖音</v>
      </c>
      <c r="E199" s="12"/>
      <c r="F199" s="18" t="str">
        <v>自投</v>
      </c>
      <c r="G199" s="18" t="str">
        <v>广东省广告集团股份有限公司</v>
      </c>
      <c r="H199" s="12"/>
      <c r="I199" s="12"/>
      <c r="J199" s="18" t="str">
        <v>1731351048004615</v>
      </c>
      <c r="K199" s="18" t="str">
        <v>1731351048004615</v>
      </c>
      <c r="L199" s="12"/>
      <c r="M199" s="12"/>
      <c r="N199" s="11" t="str">
        <v>否</v>
      </c>
      <c r="O199" s="12"/>
      <c r="P199" s="18" t="str">
        <v>否</v>
      </c>
      <c r="Q199" s="18" t="str">
        <v>是</v>
      </c>
      <c r="R199" s="18" t="str">
        <v>是</v>
      </c>
      <c r="S199" s="18" t="str">
        <v>品牌运营中心</v>
      </c>
      <c r="T199" s="18" t="str">
        <v>天猫运营部</v>
      </c>
      <c r="U199" s="18" t="str">
        <v>推广中心部</v>
      </c>
      <c r="V199" s="12"/>
      <c r="W199" s="3">
        <f>VLOOKUP(K199,'Sheet11'!$X$2:$AH$279,11,FALSE)</f>
      </c>
      <c r="X199" s="12"/>
      <c r="Y199" s="12"/>
      <c r="Z199" s="12"/>
      <c r="AA199" s="12"/>
    </row>
    <row r="200">
      <c r="A200" s="18" t="str">
        <v>站外</v>
      </c>
      <c r="B200" s="18" t="str">
        <v>AD信息流</v>
      </c>
      <c r="C200" s="3" t="str">
        <v>浙江宜格企业管理集团有限公司</v>
      </c>
      <c r="D200" s="18" t="str">
        <v>抖音</v>
      </c>
      <c r="E200" s="12"/>
      <c r="F200" s="18" t="str">
        <v>自投</v>
      </c>
      <c r="G200" s="18" t="str">
        <v>广东省广告集团股份有限公司</v>
      </c>
      <c r="H200" s="12"/>
      <c r="I200" s="12"/>
      <c r="J200" s="18" t="str">
        <v>1742589748362248</v>
      </c>
      <c r="K200" s="18" t="str">
        <v>1742589748362248</v>
      </c>
      <c r="L200" s="12"/>
      <c r="M200" s="12"/>
      <c r="N200" s="11" t="str">
        <v>否</v>
      </c>
      <c r="O200" s="12"/>
      <c r="P200" s="18" t="str">
        <v>否</v>
      </c>
      <c r="Q200" s="18" t="str">
        <v>是</v>
      </c>
      <c r="R200" s="18" t="str">
        <v>是</v>
      </c>
      <c r="S200" s="18" t="str">
        <v>品牌运营中心</v>
      </c>
      <c r="T200" s="18" t="str">
        <v>天猫运营部</v>
      </c>
      <c r="U200" s="18" t="str">
        <v>推广中心部</v>
      </c>
      <c r="V200" s="12"/>
      <c r="W200" s="3">
        <f>VLOOKUP(K200,'Sheet11'!$X$2:$AH$279,11,FALSE)</f>
      </c>
      <c r="X200" s="12"/>
      <c r="Y200" s="12"/>
      <c r="Z200" s="12"/>
      <c r="AA200" s="12"/>
    </row>
    <row r="201">
      <c r="A201" s="18" t="str">
        <v>站外</v>
      </c>
      <c r="B201" s="18" t="str">
        <v>AD信息流</v>
      </c>
      <c r="C201" s="3" t="str">
        <v>浙江宜格企业管理集团有限公司</v>
      </c>
      <c r="D201" s="18" t="str">
        <v>抖音</v>
      </c>
      <c r="E201" s="12"/>
      <c r="F201" s="18" t="str">
        <v>自投</v>
      </c>
      <c r="G201" s="18" t="str">
        <v>广东省广告集团股份有限公司</v>
      </c>
      <c r="H201" s="12"/>
      <c r="I201" s="12"/>
      <c r="J201" s="18" t="str">
        <v>1742589749370958</v>
      </c>
      <c r="K201" s="18" t="str">
        <v>1742589749370958</v>
      </c>
      <c r="L201" s="12"/>
      <c r="M201" s="12"/>
      <c r="N201" s="11" t="str">
        <v>否</v>
      </c>
      <c r="O201" s="12"/>
      <c r="P201" s="18" t="str">
        <v>否</v>
      </c>
      <c r="Q201" s="18" t="str">
        <v>是</v>
      </c>
      <c r="R201" s="18" t="str">
        <v>是</v>
      </c>
      <c r="S201" s="18" t="str">
        <v>品牌运营中心</v>
      </c>
      <c r="T201" s="18" t="str">
        <v>天猫运营部</v>
      </c>
      <c r="U201" s="18" t="str">
        <v>推广中心部</v>
      </c>
      <c r="V201" s="12"/>
      <c r="W201" s="3">
        <f>VLOOKUP(K201,'Sheet11'!$X$2:$AH$279,11,FALSE)</f>
      </c>
      <c r="X201" s="12"/>
      <c r="Y201" s="12"/>
      <c r="Z201" s="12"/>
      <c r="AA201" s="12"/>
    </row>
    <row r="202">
      <c r="A202" s="18" t="str">
        <v>站外</v>
      </c>
      <c r="B202" s="18" t="str">
        <v>AD信息流</v>
      </c>
      <c r="C202" s="3" t="str">
        <v>杭州宜格化妆品有限公司</v>
      </c>
      <c r="D202" s="18" t="str">
        <v>抖音</v>
      </c>
      <c r="E202" s="12"/>
      <c r="F202" s="18" t="str">
        <v>代投</v>
      </c>
      <c r="G202" s="18" t="str">
        <v>广东省广告集团股份有限公司</v>
      </c>
      <c r="H202" s="12"/>
      <c r="I202" s="12"/>
      <c r="J202" s="18" t="str">
        <v>1744631352392711</v>
      </c>
      <c r="K202" s="18" t="str">
        <v>1744631352392711</v>
      </c>
      <c r="L202" s="12"/>
      <c r="M202" s="12"/>
      <c r="N202" s="11" t="str">
        <v>否</v>
      </c>
      <c r="O202" s="12"/>
      <c r="P202" s="18" t="str">
        <v>否</v>
      </c>
      <c r="Q202" s="18" t="str">
        <v>是</v>
      </c>
      <c r="R202" s="18" t="str">
        <v>是</v>
      </c>
      <c r="S202" s="18" t="str">
        <v>品牌运营中心</v>
      </c>
      <c r="T202" s="18" t="str">
        <v>天猫运营部</v>
      </c>
      <c r="U202" s="18" t="str">
        <v>推广中心部</v>
      </c>
      <c r="V202" s="12"/>
      <c r="W202" s="3">
        <f>VLOOKUP(K202,'Sheet11'!$X$2:$AH$279,11,FALSE)</f>
      </c>
      <c r="X202" s="12"/>
      <c r="Y202" s="12"/>
      <c r="Z202" s="12"/>
      <c r="AA202" s="12"/>
    </row>
    <row r="203">
      <c r="A203" s="18" t="str">
        <v>站外</v>
      </c>
      <c r="B203" s="18" t="str">
        <v>AD信息流</v>
      </c>
      <c r="C203" s="3" t="str">
        <v>杭州宜格化妆品有限公司</v>
      </c>
      <c r="D203" s="18" t="str">
        <v>抖音</v>
      </c>
      <c r="E203" s="12"/>
      <c r="F203" s="18" t="str">
        <v>代投</v>
      </c>
      <c r="G203" s="18" t="str">
        <v>群邑（上海）广告有限公司</v>
      </c>
      <c r="H203" s="12"/>
      <c r="I203" s="12"/>
      <c r="J203" s="18" t="str">
        <v>1744649915421709</v>
      </c>
      <c r="K203" s="18" t="str">
        <v>1744649915421709</v>
      </c>
      <c r="L203" s="12"/>
      <c r="M203" s="12"/>
      <c r="N203" s="11" t="str">
        <v>否</v>
      </c>
      <c r="O203" s="12"/>
      <c r="P203" s="18" t="str">
        <v>否</v>
      </c>
      <c r="Q203" s="18" t="str">
        <v>是</v>
      </c>
      <c r="R203" s="18" t="str">
        <v>是</v>
      </c>
      <c r="S203" s="18" t="str">
        <v>品牌运营中心</v>
      </c>
      <c r="T203" s="18" t="str">
        <v>天猫运营部</v>
      </c>
      <c r="U203" s="18" t="str">
        <v>推广中心部</v>
      </c>
      <c r="V203" s="12"/>
      <c r="W203" s="3">
        <f>VLOOKUP(K203,'Sheet11'!$X$2:$AH$279,11,FALSE)</f>
      </c>
      <c r="X203" s="12"/>
      <c r="Y203" s="12"/>
      <c r="Z203" s="12"/>
      <c r="AA203" s="12"/>
    </row>
    <row r="204">
      <c r="A204" s="18" t="str">
        <v>站外</v>
      </c>
      <c r="B204" s="18" t="str">
        <v>AD信息流</v>
      </c>
      <c r="C204" s="3" t="str">
        <v>杭州宜格化妆品有限公司</v>
      </c>
      <c r="D204" s="18" t="str">
        <v>抖音</v>
      </c>
      <c r="E204" s="12"/>
      <c r="F204" s="18" t="str">
        <v>代投</v>
      </c>
      <c r="G204" s="18" t="str">
        <v>群邑（上海）广告有限公司</v>
      </c>
      <c r="H204" s="12"/>
      <c r="I204" s="12"/>
      <c r="J204" s="18" t="str">
        <v>1744649916001287</v>
      </c>
      <c r="K204" s="18" t="str">
        <v>1744649916001287</v>
      </c>
      <c r="L204" s="12"/>
      <c r="M204" s="12"/>
      <c r="N204" s="11" t="str">
        <v>否</v>
      </c>
      <c r="O204" s="12"/>
      <c r="P204" s="18" t="str">
        <v>否</v>
      </c>
      <c r="Q204" s="18" t="str">
        <v>是</v>
      </c>
      <c r="R204" s="18" t="str">
        <v>是</v>
      </c>
      <c r="S204" s="18" t="str">
        <v>品牌运营中心</v>
      </c>
      <c r="T204" s="18" t="str">
        <v>天猫运营部</v>
      </c>
      <c r="U204" s="18" t="str">
        <v>推广中心部</v>
      </c>
      <c r="V204" s="12"/>
      <c r="W204" s="3">
        <f>VLOOKUP(K204,'Sheet11'!$X$2:$AH$279,11,FALSE)</f>
      </c>
      <c r="X204" s="12"/>
      <c r="Y204" s="12"/>
      <c r="Z204" s="12"/>
      <c r="AA204" s="12"/>
    </row>
    <row r="205">
      <c r="A205" s="18" t="str">
        <v>站外</v>
      </c>
      <c r="B205" s="18" t="str">
        <v>AD信息流</v>
      </c>
      <c r="C205" s="3" t="str">
        <v>杭州宜格化妆品有限公司</v>
      </c>
      <c r="D205" s="18" t="str">
        <v>抖音</v>
      </c>
      <c r="E205" s="12"/>
      <c r="F205" s="18" t="str">
        <v>代投</v>
      </c>
      <c r="G205" s="18" t="str">
        <v>群邑（上海）广告有限公司</v>
      </c>
      <c r="H205" s="12"/>
      <c r="I205" s="12"/>
      <c r="J205" s="18" t="str">
        <v>1744649917219854</v>
      </c>
      <c r="K205" s="18" t="str">
        <v>1744649917219854</v>
      </c>
      <c r="L205" s="12"/>
      <c r="M205" s="12"/>
      <c r="N205" s="11" t="str">
        <v>否</v>
      </c>
      <c r="O205" s="12"/>
      <c r="P205" s="18" t="str">
        <v>否</v>
      </c>
      <c r="Q205" s="18" t="str">
        <v>是</v>
      </c>
      <c r="R205" s="18" t="str">
        <v>是</v>
      </c>
      <c r="S205" s="18" t="str">
        <v>品牌运营中心</v>
      </c>
      <c r="T205" s="18" t="str">
        <v>天猫运营部</v>
      </c>
      <c r="U205" s="18" t="str">
        <v>推广中心部</v>
      </c>
      <c r="V205" s="12"/>
      <c r="W205" s="3">
        <f>VLOOKUP(K205,'Sheet11'!$X$2:$AH$279,11,FALSE)</f>
      </c>
      <c r="X205" s="12"/>
      <c r="Y205" s="12"/>
      <c r="Z205" s="12"/>
      <c r="AA205" s="12"/>
    </row>
    <row r="206">
      <c r="A206" s="18" t="str">
        <v>站外</v>
      </c>
      <c r="B206" s="18" t="str">
        <v>AD信息流</v>
      </c>
      <c r="C206" s="3" t="str">
        <v>杭州宜格化妆品有限公司</v>
      </c>
      <c r="D206" s="18" t="str">
        <v>抖音</v>
      </c>
      <c r="E206" s="12"/>
      <c r="F206" s="18" t="str">
        <v>代投</v>
      </c>
      <c r="G206" s="18" t="str">
        <v>广东省广告集团股份有限公司</v>
      </c>
      <c r="H206" s="12"/>
      <c r="I206" s="12"/>
      <c r="J206" s="18" t="str">
        <v>1744729040047112</v>
      </c>
      <c r="K206" s="18" t="str">
        <v>1744729040047112</v>
      </c>
      <c r="L206" s="12"/>
      <c r="M206" s="12"/>
      <c r="N206" s="11" t="str">
        <v>否</v>
      </c>
      <c r="O206" s="12"/>
      <c r="P206" s="18" t="str">
        <v>否</v>
      </c>
      <c r="Q206" s="18" t="str">
        <v>是</v>
      </c>
      <c r="R206" s="18" t="str">
        <v>是</v>
      </c>
      <c r="S206" s="18" t="str">
        <v>品牌运营中心</v>
      </c>
      <c r="T206" s="18" t="str">
        <v>天猫运营部</v>
      </c>
      <c r="U206" s="18" t="str">
        <v>推广中心部</v>
      </c>
      <c r="V206" s="12"/>
      <c r="W206" s="3">
        <f>VLOOKUP(K206,'Sheet11'!$X$2:$AH$279,11,FALSE)</f>
      </c>
      <c r="X206" s="12"/>
      <c r="Y206" s="12"/>
      <c r="Z206" s="12"/>
      <c r="AA206" s="12"/>
    </row>
    <row r="207">
      <c r="A207" s="18" t="str">
        <v>站外</v>
      </c>
      <c r="B207" s="18" t="str">
        <v>AD信息流</v>
      </c>
      <c r="C207" s="3" t="str">
        <v>杭州宜格化妆品有限公司</v>
      </c>
      <c r="D207" s="18" t="str">
        <v>抖音</v>
      </c>
      <c r="E207" s="12"/>
      <c r="F207" s="18" t="str">
        <v>自投</v>
      </c>
      <c r="G207" s="18" t="str">
        <v>广东省广告集团股份有限公司</v>
      </c>
      <c r="H207" s="12"/>
      <c r="I207" s="12"/>
      <c r="J207" s="18" t="str">
        <v>1747107072823310</v>
      </c>
      <c r="K207" s="18" t="str">
        <v>1747107072823310</v>
      </c>
      <c r="L207" s="12"/>
      <c r="M207" s="12"/>
      <c r="N207" s="11" t="str">
        <v>否</v>
      </c>
      <c r="O207" s="12"/>
      <c r="P207" s="18" t="str">
        <v>否</v>
      </c>
      <c r="Q207" s="18" t="str">
        <v>是</v>
      </c>
      <c r="R207" s="18" t="str">
        <v>是</v>
      </c>
      <c r="S207" s="18" t="str">
        <v>品牌运营中心</v>
      </c>
      <c r="T207" s="18" t="str">
        <v>天猫运营部</v>
      </c>
      <c r="U207" s="18" t="str">
        <v>推广中心部</v>
      </c>
      <c r="V207" s="12"/>
      <c r="W207" s="3">
        <f>VLOOKUP(K207,'Sheet11'!$X$2:$AH$279,11,FALSE)</f>
      </c>
      <c r="X207" s="12"/>
      <c r="Y207" s="12"/>
      <c r="Z207" s="12"/>
      <c r="AA207" s="12"/>
    </row>
    <row r="208">
      <c r="A208" s="18" t="str">
        <v>站外</v>
      </c>
      <c r="B208" s="18" t="str">
        <v>AD信息流</v>
      </c>
      <c r="C208" s="3" t="str">
        <v>杭州宜格化妆品有限公司</v>
      </c>
      <c r="D208" s="18" t="str">
        <v>抖音</v>
      </c>
      <c r="E208" s="12"/>
      <c r="F208" s="18" t="str">
        <v>自投</v>
      </c>
      <c r="G208" s="18" t="str">
        <v>广东省广告集团股份有限公司</v>
      </c>
      <c r="H208" s="12"/>
      <c r="I208" s="12"/>
      <c r="J208" s="18" t="str">
        <v>1746462419856398</v>
      </c>
      <c r="K208" s="18" t="str">
        <v>1746462419856398</v>
      </c>
      <c r="L208" s="12"/>
      <c r="M208" s="12"/>
      <c r="N208" s="11" t="str">
        <v>否</v>
      </c>
      <c r="O208" s="12"/>
      <c r="P208" s="18" t="str">
        <v>否</v>
      </c>
      <c r="Q208" s="18" t="str">
        <v>是</v>
      </c>
      <c r="R208" s="18" t="str">
        <v>是</v>
      </c>
      <c r="S208" s="18" t="str">
        <v>品牌运营中心</v>
      </c>
      <c r="T208" s="18" t="str">
        <v>天猫运营部</v>
      </c>
      <c r="U208" s="18" t="str">
        <v>推广中心部</v>
      </c>
      <c r="V208" s="12"/>
      <c r="W208" s="3">
        <f>VLOOKUP(K208,'Sheet11'!$X$2:$AH$279,11,FALSE)</f>
      </c>
      <c r="X208" s="12"/>
      <c r="Y208" s="12"/>
      <c r="Z208" s="12"/>
      <c r="AA208" s="12"/>
    </row>
    <row r="209">
      <c r="A209" s="18" t="str">
        <v>站外</v>
      </c>
      <c r="B209" s="18" t="str">
        <v>AD信息流</v>
      </c>
      <c r="C209" s="18" t="str">
        <v>杭州宜格化妆品有限公司</v>
      </c>
      <c r="D209" s="18" t="str">
        <v>抖音</v>
      </c>
      <c r="E209" s="18"/>
      <c r="F209" s="18" t="str">
        <v>代投</v>
      </c>
      <c r="G209" s="18" t="str">
        <v>群邑（上海）广告有限公司</v>
      </c>
      <c r="H209" s="12"/>
      <c r="I209" s="12"/>
      <c r="J209" s="10" t="str">
        <v>1730073309761544</v>
      </c>
      <c r="K209" s="10" t="str">
        <v>1730073309761544</v>
      </c>
      <c r="L209" s="11"/>
      <c r="M209" s="11"/>
      <c r="N209" s="11" t="str">
        <v>是</v>
      </c>
      <c r="O209" s="11"/>
      <c r="P209" s="11" t="str">
        <v>否</v>
      </c>
      <c r="Q209" s="11" t="str">
        <v>是</v>
      </c>
      <c r="R209" s="11" t="str">
        <v>是</v>
      </c>
      <c r="S209" s="11" t="str">
        <v>品牌运营中心</v>
      </c>
      <c r="T209" s="11" t="str">
        <v>天猫运营部</v>
      </c>
      <c r="U209" s="11" t="str">
        <v>推广中心部</v>
      </c>
      <c r="V209" s="11"/>
      <c r="W209" s="3">
        <f>VLOOKUP(K209,'Sheet11'!$X$2:$AH$279,11,FALSE)</f>
      </c>
      <c r="X209" s="12"/>
      <c r="Y209" s="12"/>
      <c r="Z209" s="12"/>
      <c r="AA209" s="12"/>
    </row>
    <row r="210">
      <c r="A210" s="18" t="str">
        <v>站外</v>
      </c>
      <c r="B210" s="18" t="str">
        <v>AD信息流</v>
      </c>
      <c r="C210" s="18" t="str">
        <v>杭州宜格化妆品有限公司</v>
      </c>
      <c r="D210" s="18" t="str">
        <v>抖音</v>
      </c>
      <c r="E210" s="18"/>
      <c r="F210" s="18" t="str">
        <v>代投</v>
      </c>
      <c r="G210" s="18" t="str">
        <v>广东省广告集团股份有限公司</v>
      </c>
      <c r="H210" s="12"/>
      <c r="I210" s="12"/>
      <c r="J210" s="10" t="str">
        <v>1731427092912135</v>
      </c>
      <c r="K210" s="10" t="str">
        <v>1731427092912135</v>
      </c>
      <c r="L210" s="11"/>
      <c r="M210" s="11"/>
      <c r="N210" s="11" t="str">
        <v>是</v>
      </c>
      <c r="O210" s="11"/>
      <c r="P210" s="11" t="str">
        <v>否</v>
      </c>
      <c r="Q210" s="11" t="str">
        <v>是</v>
      </c>
      <c r="R210" s="11" t="str">
        <v>是</v>
      </c>
      <c r="S210" s="11" t="str">
        <v>品牌运营中心</v>
      </c>
      <c r="T210" s="11" t="str">
        <v>天猫运营部</v>
      </c>
      <c r="U210" s="11" t="str">
        <v>推广中心部</v>
      </c>
      <c r="V210" s="11"/>
      <c r="W210" s="3">
        <f>VLOOKUP(K210,'Sheet11'!$X$2:$AH$279,11,FALSE)</f>
      </c>
      <c r="X210" s="12"/>
      <c r="Y210" s="12"/>
      <c r="Z210" s="12"/>
      <c r="AA210" s="12"/>
    </row>
    <row r="211">
      <c r="A211" s="38" t="str">
        <v>站外</v>
      </c>
      <c r="B211" s="10" t="str">
        <v>B站起飞加热</v>
      </c>
      <c r="C211" s="3" t="str">
        <v>杭州宜格化妆品有限公司</v>
      </c>
      <c r="D211" s="12"/>
      <c r="E211" s="12"/>
      <c r="F211" s="38" t="str">
        <v>代投</v>
      </c>
      <c r="G211" s="16" t="str">
        <v>上海小花猫文化传播有限公司</v>
      </c>
      <c r="H211" s="12"/>
      <c r="I211" s="12"/>
      <c r="J211" s="10" t="s">
        <v>30</v>
      </c>
      <c r="K211" s="10" t="s">
        <v>30</v>
      </c>
      <c r="L211" s="11"/>
      <c r="M211" s="11"/>
      <c r="N211" s="11"/>
      <c r="O211" s="12"/>
      <c r="P211" s="38" t="str">
        <v>是</v>
      </c>
      <c r="Q211" s="38" t="str">
        <v>否</v>
      </c>
      <c r="R211" s="38" t="str">
        <v>是</v>
      </c>
      <c r="S211" s="38" t="str">
        <v>品牌运营中心</v>
      </c>
      <c r="T211" s="38" t="str">
        <v>市场推广部</v>
      </c>
      <c r="U211" s="10"/>
      <c r="V211" s="12"/>
      <c r="W211" s="3">
        <f>VLOOKUP(K211,'Sheet11'!$X$2:$AH$279,11,FALSE)</f>
      </c>
      <c r="X211" s="12"/>
      <c r="Y211" s="12"/>
      <c r="Z211" s="12"/>
      <c r="AA211" s="12"/>
    </row>
    <row r="212">
      <c r="A212" s="38" t="str">
        <v>站外</v>
      </c>
      <c r="B212" s="10" t="str">
        <v>B站起飞加热</v>
      </c>
      <c r="C212" s="3" t="str">
        <v>杭州宜格化妆品有限公司</v>
      </c>
      <c r="D212" s="12"/>
      <c r="E212" s="12"/>
      <c r="F212" s="38" t="str">
        <v>代投</v>
      </c>
      <c r="G212" s="17" t="str">
        <v>上海无堂网络科技有限公司</v>
      </c>
      <c r="H212" s="12"/>
      <c r="I212" s="12"/>
      <c r="J212" s="10" t="s">
        <v>24</v>
      </c>
      <c r="K212" s="10" t="s">
        <v>24</v>
      </c>
      <c r="L212" s="11"/>
      <c r="M212" s="11"/>
      <c r="N212" s="11"/>
      <c r="O212" s="12"/>
      <c r="P212" s="38" t="str">
        <v>是</v>
      </c>
      <c r="Q212" s="38" t="str">
        <v>否</v>
      </c>
      <c r="R212" s="38" t="str">
        <v>是</v>
      </c>
      <c r="S212" s="38" t="str">
        <v>品牌运营中心</v>
      </c>
      <c r="T212" s="38" t="str">
        <v>市场推广部</v>
      </c>
      <c r="U212" s="10"/>
      <c r="V212" s="12"/>
      <c r="W212" s="3">
        <f>VLOOKUP(K212,'Sheet11'!$X$2:$AH$279,11,FALSE)</f>
      </c>
      <c r="X212" s="12"/>
      <c r="Y212" s="12"/>
      <c r="Z212" s="12"/>
      <c r="AA212" s="12"/>
    </row>
    <row r="213">
      <c r="A213" s="38" t="str">
        <v>站外</v>
      </c>
      <c r="B213" s="10" t="str">
        <v>B站起飞加热</v>
      </c>
      <c r="C213" s="3" t="str">
        <v>杭州宜格化妆品有限公司</v>
      </c>
      <c r="D213" s="12"/>
      <c r="E213" s="12"/>
      <c r="F213" s="38" t="str">
        <v>代投</v>
      </c>
      <c r="G213" s="17" t="str">
        <v>上海无堂网络科技有限公司</v>
      </c>
      <c r="H213" s="12"/>
      <c r="I213" s="12"/>
      <c r="J213" s="10" t="s">
        <v>16</v>
      </c>
      <c r="K213" s="10" t="s">
        <v>16</v>
      </c>
      <c r="L213" s="11"/>
      <c r="M213" s="11"/>
      <c r="N213" s="11"/>
      <c r="O213" s="12"/>
      <c r="P213" s="38" t="str">
        <v>是</v>
      </c>
      <c r="Q213" s="38" t="str">
        <v>否</v>
      </c>
      <c r="R213" s="38" t="str">
        <v>是</v>
      </c>
      <c r="S213" s="38" t="str">
        <v>品牌运营中心</v>
      </c>
      <c r="T213" s="38" t="str">
        <v>市场推广部</v>
      </c>
      <c r="U213" s="10"/>
      <c r="V213" s="12"/>
      <c r="W213" s="3">
        <f>VLOOKUP(K213,'Sheet11'!$X$2:$AH$279,11,FALSE)</f>
      </c>
      <c r="X213" s="12"/>
      <c r="Y213" s="12"/>
      <c r="Z213" s="12"/>
      <c r="AA213" s="12"/>
    </row>
    <row r="214">
      <c r="A214" s="33"/>
      <c r="B214" s="33" t="str">
        <v>B站起飞加热</v>
      </c>
      <c r="C214" s="49" t="str">
        <v>杭州宜格化妆品有限公司</v>
      </c>
      <c r="D214" s="47"/>
      <c r="E214" s="47"/>
      <c r="F214" s="33"/>
      <c r="G214" s="33"/>
      <c r="H214" s="47"/>
      <c r="I214" s="47"/>
      <c r="J214" s="33" t="s">
        <v>15</v>
      </c>
      <c r="K214" s="33" t="s">
        <v>15</v>
      </c>
      <c r="L214" s="48"/>
      <c r="M214" s="48"/>
      <c r="N214" s="48"/>
      <c r="O214" s="47"/>
      <c r="P214" s="33"/>
      <c r="Q214" s="33"/>
      <c r="R214" s="33"/>
      <c r="S214" s="33"/>
      <c r="T214" s="33"/>
      <c r="U214" s="33"/>
      <c r="V214" s="47"/>
      <c r="W214" s="3">
        <f>VLOOKUP(K214,'Sheet11'!$X$2:$AH$279,11,FALSE)</f>
      </c>
      <c r="X214" s="47"/>
      <c r="Y214" s="47"/>
      <c r="Z214" s="47"/>
      <c r="AA214" s="47"/>
    </row>
    <row r="215">
      <c r="A215" s="10" t="str">
        <v>站外</v>
      </c>
      <c r="B215" s="10" t="str">
        <v>矩阵号千川信息流</v>
      </c>
      <c r="C215" s="3" t="str">
        <v>杭州宜格化妆品有限公司</v>
      </c>
      <c r="D215" s="12"/>
      <c r="E215" s="12"/>
      <c r="F215" s="10" t="str">
        <v>自投</v>
      </c>
      <c r="G215" s="10"/>
      <c r="H215" s="12"/>
      <c r="I215" s="12"/>
      <c r="J215" s="10" t="str">
        <v>思美-千川矩阵号（东方彩妆+眼妆有术）</v>
      </c>
      <c r="K215" s="10" t="str">
        <v>1697558073904142</v>
      </c>
      <c r="L215" s="11"/>
      <c r="M215" s="11"/>
      <c r="N215" s="11"/>
      <c r="O215" s="12"/>
      <c r="P215" s="10"/>
      <c r="Q215" s="10"/>
      <c r="R215" s="10"/>
      <c r="S215" s="10"/>
      <c r="T215" s="10"/>
      <c r="U215" s="10"/>
      <c r="V215" s="12"/>
      <c r="W215" s="3" t="str">
        <v>兴泉（韩兴泉）、可乐（周许颖）、意琳（肖意琳）、皮卡（王岑）</v>
      </c>
      <c r="X215" s="12"/>
      <c r="Y215" s="12"/>
      <c r="Z215" s="12"/>
      <c r="AA215" s="12"/>
    </row>
    <row r="216">
      <c r="A216" s="10" t="str">
        <v>站外</v>
      </c>
      <c r="B216" s="10" t="str">
        <v>矩阵号千川信息流</v>
      </c>
      <c r="C216" s="10" t="str">
        <v>杭州宜格化妆品有限公司</v>
      </c>
      <c r="D216" s="12"/>
      <c r="E216" s="12"/>
      <c r="F216" s="10" t="str">
        <v>自投</v>
      </c>
      <c r="G216" s="3" t="str">
        <v>上海剧星传媒股份有限公司</v>
      </c>
      <c r="H216" s="12"/>
      <c r="I216" s="12"/>
      <c r="J216" s="10" t="str">
        <v>剧星-矩阵直播-东方有佳人1</v>
      </c>
      <c r="K216" s="10" t="str">
        <v>1703257016159240</v>
      </c>
      <c r="L216" s="11"/>
      <c r="M216" s="11"/>
      <c r="N216" s="11"/>
      <c r="O216" s="12"/>
      <c r="P216" s="10"/>
      <c r="Q216" s="10"/>
      <c r="R216" s="10"/>
      <c r="S216" s="10"/>
      <c r="T216" s="10"/>
      <c r="U216" s="10"/>
      <c r="V216" s="12"/>
      <c r="W216" s="3" t="str">
        <v>兴泉（韩兴泉）、可乐（周许颖）、意琳（肖意琳）、皮卡（王岑）</v>
      </c>
      <c r="X216" s="12"/>
      <c r="Y216" s="12"/>
      <c r="Z216" s="12"/>
      <c r="AA216" s="12"/>
    </row>
    <row r="217">
      <c r="A217" s="10" t="str">
        <v>站外</v>
      </c>
      <c r="B217" s="10" t="str">
        <v>千川信息流</v>
      </c>
      <c r="C217" s="10" t="str">
        <v>杭州宜格化妆品有限公司</v>
      </c>
      <c r="D217" s="12"/>
      <c r="E217" s="12"/>
      <c r="F217" s="10" t="str">
        <v>自投</v>
      </c>
      <c r="G217" s="10" t="str">
        <v>北京云锐国际文化传媒有限公司</v>
      </c>
      <c r="H217" s="12"/>
      <c r="I217" s="12"/>
      <c r="J217" s="10" t="str">
        <v>云锐-直播-官号1-代投</v>
      </c>
      <c r="K217" s="10" t="str">
        <v>1726986202552398</v>
      </c>
      <c r="L217" s="11"/>
      <c r="M217" s="11"/>
      <c r="N217" s="11"/>
      <c r="O217" s="12"/>
      <c r="P217" s="10"/>
      <c r="Q217" s="10"/>
      <c r="R217" s="10"/>
      <c r="S217" s="10"/>
      <c r="T217" s="10"/>
      <c r="U217" s="10"/>
      <c r="V217" s="12"/>
      <c r="W217" s="3" t="str">
        <v>兴泉（韩兴泉）、流沙（俞君珠）、奶茶（唐丽）、榴莲（管晓辉）、三喜（王思雨）、白龙（樊苏北）</v>
      </c>
      <c r="X217" s="22"/>
      <c r="Y217" s="12"/>
      <c r="Z217" s="12"/>
      <c r="AA217" s="12"/>
    </row>
    <row r="218">
      <c r="A218" s="10" t="str">
        <v>站外</v>
      </c>
      <c r="B218" s="10" t="str">
        <v>千川信息流</v>
      </c>
      <c r="C218" s="10" t="str">
        <v>杭州宜格化妆品有限公司</v>
      </c>
      <c r="D218" s="12"/>
      <c r="E218" s="12"/>
      <c r="F218" s="10" t="str">
        <v>自投</v>
      </c>
      <c r="G218" s="10" t="str">
        <v>北京云锐国际文化传媒有限公司</v>
      </c>
      <c r="H218" s="12"/>
      <c r="I218" s="12"/>
      <c r="J218" s="10" t="str">
        <v>云锐-直播-官号2</v>
      </c>
      <c r="K218" s="10" t="str">
        <v>1727265617683470</v>
      </c>
      <c r="L218" s="11"/>
      <c r="M218" s="11"/>
      <c r="N218" s="11"/>
      <c r="O218" s="12"/>
      <c r="P218" s="10"/>
      <c r="Q218" s="10"/>
      <c r="R218" s="10"/>
      <c r="S218" s="10"/>
      <c r="T218" s="10"/>
      <c r="U218" s="10"/>
      <c r="V218" s="12"/>
      <c r="W218" s="3" t="str">
        <v>兴泉（韩兴泉）、流沙（俞君珠）、奶茶（唐丽）、榴莲（管晓辉）、三喜（王思雨）、白龙（樊苏北）</v>
      </c>
      <c r="X218" s="22"/>
      <c r="Y218" s="12"/>
      <c r="Z218" s="12"/>
      <c r="AA218" s="12"/>
    </row>
    <row r="219">
      <c r="A219" s="10" t="str">
        <v>站外</v>
      </c>
      <c r="B219" s="10" t="str">
        <v>千川信息流</v>
      </c>
      <c r="C219" s="10" t="str">
        <v>杭州宜格化妆品有限公司</v>
      </c>
      <c r="D219" s="12"/>
      <c r="E219" s="12"/>
      <c r="F219" s="10" t="str">
        <v>自投</v>
      </c>
      <c r="G219" s="10" t="str">
        <v>广东省广告集团股份有限公司</v>
      </c>
      <c r="H219" s="12"/>
      <c r="I219" s="12"/>
      <c r="J219" s="10" t="str">
        <v>省广-直播-官号1</v>
      </c>
      <c r="K219" s="10" t="str">
        <v>1727435690629130</v>
      </c>
      <c r="L219" s="11"/>
      <c r="M219" s="11"/>
      <c r="N219" s="11"/>
      <c r="O219" s="12"/>
      <c r="P219" s="10"/>
      <c r="Q219" s="10"/>
      <c r="R219" s="10"/>
      <c r="S219" s="10"/>
      <c r="T219" s="10"/>
      <c r="U219" s="10"/>
      <c r="V219" s="12"/>
      <c r="W219" s="3" t="str">
        <v>兴泉（韩兴泉）、流沙（俞君珠）、奶茶（唐丽）、榴莲（管晓辉）、三喜（王思雨）、白龙（樊苏北）</v>
      </c>
      <c r="X219" s="22"/>
      <c r="Y219" s="12"/>
      <c r="Z219" s="12"/>
      <c r="AA219" s="12"/>
    </row>
    <row r="220">
      <c r="A220" s="10" t="str">
        <v>站外</v>
      </c>
      <c r="B220" s="10" t="str">
        <v>矩阵号千川信息流</v>
      </c>
      <c r="C220" s="10" t="str">
        <v>杭州宜格化妆品有限公司</v>
      </c>
      <c r="D220" s="12"/>
      <c r="E220" s="12"/>
      <c r="F220" s="10" t="str">
        <v>自投</v>
      </c>
      <c r="G220" s="10" t="str">
        <v>广东省广告集团股份有限公司</v>
      </c>
      <c r="H220" s="12"/>
      <c r="I220" s="12"/>
      <c r="J220" s="10" t="str">
        <v>省广-矩阵直播-妆养</v>
      </c>
      <c r="K220" s="10" t="str">
        <v>1743277556435982</v>
      </c>
      <c r="L220" s="11"/>
      <c r="M220" s="11"/>
      <c r="N220" s="11"/>
      <c r="O220" s="12"/>
      <c r="P220" s="10"/>
      <c r="Q220" s="10"/>
      <c r="R220" s="10"/>
      <c r="S220" s="10"/>
      <c r="T220" s="10"/>
      <c r="U220" s="10"/>
      <c r="V220" s="12"/>
      <c r="W220" s="3" t="str">
        <v>兴泉（韩兴泉）、可乐（周许颖）、意琳（肖意琳）、皮卡（王岑）</v>
      </c>
      <c r="X220" s="12"/>
      <c r="Y220" s="12"/>
      <c r="Z220" s="12"/>
      <c r="AA220" s="12"/>
    </row>
    <row r="221">
      <c r="A221" s="10" t="str">
        <v>站外</v>
      </c>
      <c r="B221" s="10" t="str">
        <v>千川信息流</v>
      </c>
      <c r="C221" s="10" t="str">
        <v>杭州宜格化妆品有限公司</v>
      </c>
      <c r="D221" s="12"/>
      <c r="E221" s="12"/>
      <c r="F221" s="10" t="str">
        <v>自投</v>
      </c>
      <c r="G221" s="10" t="str">
        <v>上海博观瑞思传媒科技有限公司</v>
      </c>
      <c r="H221" s="12"/>
      <c r="I221" s="12"/>
      <c r="J221" s="10" t="str">
        <v>博观7-花西子-官号</v>
      </c>
      <c r="K221" s="10" t="str">
        <v>1765947662124040</v>
      </c>
      <c r="L221" s="11"/>
      <c r="M221" s="11"/>
      <c r="N221" s="11"/>
      <c r="O221" s="12"/>
      <c r="P221" s="10"/>
      <c r="Q221" s="10"/>
      <c r="R221" s="10"/>
      <c r="S221" s="10"/>
      <c r="T221" s="10"/>
      <c r="U221" s="10"/>
      <c r="V221" s="12"/>
      <c r="W221" s="3" t="str">
        <v>兴泉（韩兴泉）、流沙（俞君珠）、奶茶（唐丽）、榴莲（管晓辉）、三喜（王思雨）、白龙（樊苏北）</v>
      </c>
      <c r="X221" s="22"/>
      <c r="Y221" s="12"/>
      <c r="Z221" s="12"/>
      <c r="AA221" s="12"/>
    </row>
    <row r="222">
      <c r="A222" s="10" t="str">
        <v>站外</v>
      </c>
      <c r="B222" s="10" t="str">
        <v>矩阵号千川信息流</v>
      </c>
      <c r="C222" s="10" t="str">
        <v>杭州宜格化妆品有限公司</v>
      </c>
      <c r="D222" s="12"/>
      <c r="E222" s="12"/>
      <c r="F222" s="10" t="str">
        <v>自投</v>
      </c>
      <c r="G222" s="10" t="str">
        <v>知定堂文化传媒（上海）有限公司</v>
      </c>
      <c r="H222" s="12"/>
      <c r="I222" s="12"/>
      <c r="J222" s="10" t="str">
        <v>知定堂2户-妆养</v>
      </c>
      <c r="K222" s="10" t="str">
        <v>1766309736108040</v>
      </c>
      <c r="L222" s="11"/>
      <c r="M222" s="11"/>
      <c r="N222" s="11"/>
      <c r="O222" s="12"/>
      <c r="P222" s="10"/>
      <c r="Q222" s="10"/>
      <c r="R222" s="10"/>
      <c r="S222" s="10"/>
      <c r="T222" s="10"/>
      <c r="U222" s="10"/>
      <c r="V222" s="12"/>
      <c r="W222" s="3" t="str">
        <v>兴泉（韩兴泉）、可乐（周许颖）、意琳（肖意琳）、皮卡（王岑）</v>
      </c>
      <c r="X222" s="12"/>
      <c r="Y222" s="12"/>
      <c r="Z222" s="12"/>
      <c r="AA222" s="12"/>
    </row>
    <row r="223">
      <c r="A223" s="10" t="str">
        <v>站外</v>
      </c>
      <c r="B223" s="10" t="str">
        <v>矩阵号千川信息流</v>
      </c>
      <c r="C223" s="10" t="str">
        <v>杭州宜格化妆品有限公司</v>
      </c>
      <c r="D223" s="12"/>
      <c r="E223" s="12"/>
      <c r="F223" s="10" t="str">
        <v>自投</v>
      </c>
      <c r="G223" s="10" t="str">
        <v>知定堂文化传媒（上海）有限公司</v>
      </c>
      <c r="H223" s="12"/>
      <c r="I223" s="12"/>
      <c r="J223" s="10" t="str">
        <v>知定堂3户-东方有佳人</v>
      </c>
      <c r="K223" s="10" t="str">
        <v>1766564041175070</v>
      </c>
      <c r="L223" s="11"/>
      <c r="M223" s="11"/>
      <c r="N223" s="11"/>
      <c r="O223" s="12"/>
      <c r="P223" s="10"/>
      <c r="Q223" s="10"/>
      <c r="R223" s="10"/>
      <c r="S223" s="10"/>
      <c r="T223" s="10"/>
      <c r="U223" s="10"/>
      <c r="V223" s="12"/>
      <c r="W223" s="3" t="str">
        <v>兴泉（韩兴泉）、可乐（周许颖）、意琳（肖意琳）、皮卡（王岑）</v>
      </c>
      <c r="X223" s="12"/>
      <c r="Y223" s="12"/>
      <c r="Z223" s="12"/>
      <c r="AA223" s="12"/>
    </row>
    <row r="224">
      <c r="A224" s="10" t="str">
        <v>站外</v>
      </c>
      <c r="B224" s="10" t="str">
        <v>矩阵号千川信息流</v>
      </c>
      <c r="C224" s="10" t="str">
        <v>杭州宜格化妆品有限公司</v>
      </c>
      <c r="D224" s="12"/>
      <c r="E224" s="12"/>
      <c r="F224" s="10" t="str">
        <v>自投</v>
      </c>
      <c r="G224" s="10" t="str">
        <v>上海博观瑞思传媒科技有限公司</v>
      </c>
      <c r="H224" s="12"/>
      <c r="I224" s="12"/>
      <c r="J224" s="10" t="str">
        <v>博观4户-东方有佳人</v>
      </c>
      <c r="K224" s="10" t="str">
        <v>1760519144208530</v>
      </c>
      <c r="L224" s="11"/>
      <c r="M224" s="11"/>
      <c r="N224" s="11"/>
      <c r="O224" s="12"/>
      <c r="P224" s="10"/>
      <c r="Q224" s="10"/>
      <c r="R224" s="10"/>
      <c r="S224" s="10"/>
      <c r="T224" s="10"/>
      <c r="U224" s="10"/>
      <c r="V224" s="12"/>
      <c r="W224" s="3" t="str">
        <v>兴泉（韩兴泉）、可乐（周许颖）、意琳（肖意琳）、皮卡（王岑）</v>
      </c>
      <c r="X224" s="12"/>
      <c r="Y224" s="12"/>
      <c r="Z224" s="12"/>
      <c r="AA224" s="12"/>
    </row>
    <row r="225">
      <c r="A225" s="10" t="str">
        <v>站外</v>
      </c>
      <c r="B225" s="10" t="str">
        <v>矩阵号千川信息流</v>
      </c>
      <c r="C225" s="10" t="str">
        <v>杭州宜格化妆品有限公司</v>
      </c>
      <c r="D225" s="12"/>
      <c r="E225" s="12"/>
      <c r="F225" s="10" t="str">
        <v>自投</v>
      </c>
      <c r="G225" s="10" t="str">
        <v>上海博观瑞思传媒科技有限公司</v>
      </c>
      <c r="H225" s="12"/>
      <c r="I225" s="12"/>
      <c r="J225" s="10" t="str">
        <v>博观5户-礼物精选</v>
      </c>
      <c r="K225" s="10" t="str">
        <v>1761057229537293</v>
      </c>
      <c r="L225" s="11"/>
      <c r="M225" s="11"/>
      <c r="N225" s="11"/>
      <c r="O225" s="12"/>
      <c r="P225" s="10"/>
      <c r="Q225" s="10"/>
      <c r="R225" s="10"/>
      <c r="S225" s="10"/>
      <c r="T225" s="10"/>
      <c r="U225" s="10"/>
      <c r="V225" s="12"/>
      <c r="W225" s="3" t="str">
        <v>兴泉（韩兴泉）、可乐（周许颖）、意琳（肖意琳）、皮卡（王岑）</v>
      </c>
      <c r="X225" s="12"/>
      <c r="Y225" s="12"/>
      <c r="Z225" s="12"/>
      <c r="AA225" s="12"/>
    </row>
    <row r="226">
      <c r="A226" s="10" t="str">
        <v>站外</v>
      </c>
      <c r="B226" s="10" t="str">
        <v>矩阵号千川信息流</v>
      </c>
      <c r="C226" s="10" t="str">
        <v>杭州宜格化妆品有限公司</v>
      </c>
      <c r="D226" s="12"/>
      <c r="E226" s="12"/>
      <c r="F226" s="10" t="str">
        <v>自投</v>
      </c>
      <c r="G226" s="10" t="str">
        <v>上海博观瑞思传媒科技有限公司</v>
      </c>
      <c r="H226" s="12"/>
      <c r="I226" s="12"/>
      <c r="J226" s="10" t="str">
        <v>博观6户-彩妆有术</v>
      </c>
      <c r="K226" s="10" t="str">
        <v>1761057340544014</v>
      </c>
      <c r="L226" s="11"/>
      <c r="M226" s="11"/>
      <c r="N226" s="11"/>
      <c r="O226" s="12"/>
      <c r="P226" s="10"/>
      <c r="Q226" s="10"/>
      <c r="R226" s="10"/>
      <c r="S226" s="10"/>
      <c r="T226" s="10"/>
      <c r="U226" s="10"/>
      <c r="V226" s="12"/>
      <c r="W226" s="3" t="str">
        <v>兴泉（韩兴泉）、可乐（周许颖）、意琳（肖意琳）、皮卡（王岑）</v>
      </c>
      <c r="X226" s="12"/>
      <c r="Y226" s="12"/>
      <c r="Z226" s="12"/>
      <c r="AA226" s="12"/>
    </row>
    <row r="227">
      <c r="A227" s="10" t="str">
        <v>站外</v>
      </c>
      <c r="B227" s="10" t="str">
        <v>矩阵号千川信息流</v>
      </c>
      <c r="C227" s="10" t="str">
        <v>杭州宜格化妆品有限公司</v>
      </c>
      <c r="D227" s="12"/>
      <c r="E227" s="12"/>
      <c r="F227" s="10" t="str">
        <v>自投</v>
      </c>
      <c r="G227" s="10" t="str">
        <v>上海博观瑞思传媒科技有限公司</v>
      </c>
      <c r="H227" s="12"/>
      <c r="I227" s="12"/>
      <c r="J227" s="10" t="str">
        <v>博观3户-彩妆有术</v>
      </c>
      <c r="K227" s="10" t="str">
        <v>1760519091540999</v>
      </c>
      <c r="L227" s="11"/>
      <c r="M227" s="11"/>
      <c r="N227" s="11"/>
      <c r="O227" s="12"/>
      <c r="P227" s="10"/>
      <c r="Q227" s="10"/>
      <c r="R227" s="10"/>
      <c r="S227" s="10"/>
      <c r="T227" s="10"/>
      <c r="U227" s="10"/>
      <c r="V227" s="12"/>
      <c r="W227" s="3" t="str">
        <v>兴泉（韩兴泉）、可乐（周许颖）、意琳（肖意琳）、皮卡（王岑）</v>
      </c>
      <c r="X227" s="12"/>
      <c r="Y227" s="12"/>
      <c r="Z227" s="12"/>
      <c r="AA227" s="12"/>
    </row>
    <row r="228">
      <c r="A228" s="10" t="str">
        <v>站外</v>
      </c>
      <c r="B228" s="10" t="str">
        <v>矩阵号千川信息流</v>
      </c>
      <c r="C228" s="10" t="str">
        <v>杭州宜格化妆品有限公司</v>
      </c>
      <c r="D228" s="12"/>
      <c r="E228" s="12"/>
      <c r="F228" s="10" t="str">
        <v>自投</v>
      </c>
      <c r="G228" s="10" t="str">
        <v>知定堂文化传媒（上海）有限公司</v>
      </c>
      <c r="H228" s="12"/>
      <c r="I228" s="12"/>
      <c r="J228" s="10" t="str">
        <v>知定堂1户-妆养</v>
      </c>
      <c r="K228" s="10" t="str">
        <v>1761153809509390</v>
      </c>
      <c r="L228" s="11"/>
      <c r="M228" s="11"/>
      <c r="N228" s="11"/>
      <c r="O228" s="12"/>
      <c r="P228" s="10"/>
      <c r="Q228" s="10"/>
      <c r="R228" s="10"/>
      <c r="S228" s="10"/>
      <c r="T228" s="10"/>
      <c r="U228" s="10"/>
      <c r="V228" s="12"/>
      <c r="W228" s="3" t="str">
        <v>兴泉（韩兴泉）、可乐（周许颖）、意琳（肖意琳）、皮卡（王岑）</v>
      </c>
      <c r="X228" s="12"/>
      <c r="Y228" s="12"/>
      <c r="Z228" s="12"/>
      <c r="AA228" s="12"/>
    </row>
    <row r="229">
      <c r="A229" s="10" t="str">
        <v>站外</v>
      </c>
      <c r="B229" s="10" t="str">
        <v>磁力金牛</v>
      </c>
      <c r="C229" s="38" t="str">
        <v>杭州宜格化妆品有限公司</v>
      </c>
      <c r="D229" s="12"/>
      <c r="E229" s="12"/>
      <c r="F229" s="10" t="str">
        <v>自投</v>
      </c>
      <c r="G229" s="10" t="str">
        <v>群邑（上海）广告有限公司</v>
      </c>
      <c r="H229" s="12"/>
      <c r="I229" s="12"/>
      <c r="J229" s="10" t="str">
        <v>花西子官方旗舰店-群邑2</v>
      </c>
      <c r="K229" s="10">
        <v>16909143</v>
      </c>
      <c r="L229" s="11"/>
      <c r="M229" s="11"/>
      <c r="N229" s="11"/>
      <c r="O229" s="12"/>
      <c r="P229" s="38" t="str">
        <v>否</v>
      </c>
      <c r="Q229" s="38" t="str">
        <v>是</v>
      </c>
      <c r="R229" s="38" t="str">
        <v>否</v>
      </c>
      <c r="S229" s="38" t="str">
        <v>品牌运营中心</v>
      </c>
      <c r="T229" s="38" t="str">
        <v>快手部</v>
      </c>
      <c r="U229" s="38" t="str">
        <v>快手运营推广部</v>
      </c>
      <c r="V229" s="12"/>
      <c r="W229" s="3">
        <f>VLOOKUP(K229,'Sheet11'!$X$2:$AH$279,11,FALSE)</f>
      </c>
      <c r="X229" s="12"/>
      <c r="Y229" s="12"/>
      <c r="Z229" s="12"/>
      <c r="AA229" s="12"/>
    </row>
    <row r="230">
      <c r="A230" s="10" t="str">
        <v>站外</v>
      </c>
      <c r="B230" s="10" t="str">
        <v>磁力金牛</v>
      </c>
      <c r="C230" s="38" t="str">
        <v>杭州宜格化妆品有限公司</v>
      </c>
      <c r="D230" s="12"/>
      <c r="E230" s="12"/>
      <c r="F230" s="10" t="str">
        <v>自投</v>
      </c>
      <c r="G230" s="10" t="str">
        <v>群邑（上海）广告有限公司</v>
      </c>
      <c r="H230" s="12"/>
      <c r="I230" s="12"/>
      <c r="J230" s="10" t="str">
        <v>花西子官方旗舰店-群邑4</v>
      </c>
      <c r="K230" s="10">
        <v>16909147</v>
      </c>
      <c r="L230" s="11"/>
      <c r="M230" s="11"/>
      <c r="N230" s="11"/>
      <c r="O230" s="12"/>
      <c r="P230" s="38" t="str">
        <v>否</v>
      </c>
      <c r="Q230" s="38" t="str">
        <v>是</v>
      </c>
      <c r="R230" s="38" t="str">
        <v>否</v>
      </c>
      <c r="S230" s="38" t="str">
        <v>品牌运营中心</v>
      </c>
      <c r="T230" s="38" t="str">
        <v>快手部</v>
      </c>
      <c r="U230" s="38" t="str">
        <v>快手运营推广部</v>
      </c>
      <c r="V230" s="12"/>
      <c r="W230" s="3">
        <f>VLOOKUP(K230,'Sheet11'!$X$2:$AH$279,11,FALSE)</f>
      </c>
      <c r="X230" s="12"/>
      <c r="Y230" s="12"/>
      <c r="Z230" s="12"/>
      <c r="AA230" s="12"/>
    </row>
    <row r="231">
      <c r="A231" s="10" t="str">
        <v>站外</v>
      </c>
      <c r="B231" s="10" t="str">
        <v>磁力金牛</v>
      </c>
      <c r="C231" s="38" t="str">
        <v>杭州宜格化妆品有限公司</v>
      </c>
      <c r="D231" s="12"/>
      <c r="E231" s="12"/>
      <c r="F231" s="10" t="str">
        <v>自投</v>
      </c>
      <c r="G231" s="10" t="str">
        <v>群邑（上海）广告有限公司</v>
      </c>
      <c r="H231" s="12"/>
      <c r="I231" s="12"/>
      <c r="J231" s="10" t="str">
        <v>花西子官方旗舰店-群邑3</v>
      </c>
      <c r="K231" s="10">
        <v>16909144</v>
      </c>
      <c r="L231" s="11"/>
      <c r="M231" s="11"/>
      <c r="N231" s="11"/>
      <c r="O231" s="12"/>
      <c r="P231" s="38" t="str">
        <v>否</v>
      </c>
      <c r="Q231" s="38" t="str">
        <v>是</v>
      </c>
      <c r="R231" s="38" t="str">
        <v>否</v>
      </c>
      <c r="S231" s="38" t="str">
        <v>品牌运营中心</v>
      </c>
      <c r="T231" s="38" t="str">
        <v>快手部</v>
      </c>
      <c r="U231" s="38" t="str">
        <v>快手运营推广部</v>
      </c>
      <c r="V231" s="12"/>
      <c r="W231" s="3">
        <f>VLOOKUP(K231,'Sheet11'!$X$2:$AH$279,11,FALSE)</f>
      </c>
      <c r="X231" s="12"/>
      <c r="Y231" s="12"/>
      <c r="Z231" s="12"/>
      <c r="AA231" s="12"/>
    </row>
    <row r="232">
      <c r="A232" s="10" t="str">
        <v>站外</v>
      </c>
      <c r="B232" s="10" t="str">
        <v>磁力金牛</v>
      </c>
      <c r="C232" s="38" t="str">
        <v>杭州宜格化妆品有限公司</v>
      </c>
      <c r="D232" s="12"/>
      <c r="E232" s="12"/>
      <c r="F232" s="10" t="str">
        <v>自投</v>
      </c>
      <c r="G232" s="38" t="str">
        <v>群邑（上海）广告有限公司</v>
      </c>
      <c r="H232" s="12"/>
      <c r="I232" s="12"/>
      <c r="J232" s="10" t="str">
        <v>花西子官方旗舰店-全站ROI</v>
      </c>
      <c r="K232" s="10">
        <v>16909146</v>
      </c>
      <c r="L232" s="11"/>
      <c r="M232" s="11"/>
      <c r="N232" s="11"/>
      <c r="O232" s="12"/>
      <c r="P232" s="38" t="str">
        <v>否</v>
      </c>
      <c r="Q232" s="38" t="str">
        <v>是</v>
      </c>
      <c r="R232" s="38" t="str">
        <v>否</v>
      </c>
      <c r="S232" s="38" t="str">
        <v>品牌运营中心</v>
      </c>
      <c r="T232" s="38" t="str">
        <v>快手部</v>
      </c>
      <c r="U232" s="38" t="str">
        <v>快手运营推广部</v>
      </c>
      <c r="V232" s="12"/>
      <c r="W232" s="3">
        <f>VLOOKUP(K232,'Sheet11'!$X$2:$AH$279,11,FALSE)</f>
      </c>
      <c r="X232" s="12"/>
      <c r="Y232" s="12"/>
      <c r="Z232" s="12"/>
      <c r="AA232" s="12"/>
    </row>
    <row r="233">
      <c r="A233" s="10" t="str">
        <v>站外</v>
      </c>
      <c r="B233" s="33" t="str">
        <v>磁力金牛</v>
      </c>
      <c r="C233" s="34" t="str">
        <v>杭州宜格化妆品有限公司</v>
      </c>
      <c r="D233" s="12"/>
      <c r="E233" s="12"/>
      <c r="F233" s="10" t="str">
        <v>自投</v>
      </c>
      <c r="G233" s="13" t="str">
        <v>北京云锐国际文化传媒有限公司</v>
      </c>
      <c r="H233" s="12"/>
      <c r="I233" s="12"/>
      <c r="J233" s="33" t="str">
        <v>花西子Florasis-云锐测试</v>
      </c>
      <c r="K233" s="33">
        <v>13304453</v>
      </c>
      <c r="L233" s="11"/>
      <c r="M233" s="11"/>
      <c r="N233" s="11"/>
      <c r="O233" s="12"/>
      <c r="P233" s="34" t="str">
        <v>否</v>
      </c>
      <c r="Q233" s="34" t="str">
        <v>否</v>
      </c>
      <c r="R233" s="34" t="str">
        <v>否</v>
      </c>
      <c r="S233" s="34" t="str">
        <v>品牌运营中心</v>
      </c>
      <c r="T233" s="34" t="str">
        <v>快手部</v>
      </c>
      <c r="U233" s="34" t="str">
        <v>快手运营推广部</v>
      </c>
      <c r="V233" s="12"/>
      <c r="W233" s="3">
        <f>VLOOKUP(K233,'Sheet11'!$X$2:$AH$279,11,FALSE)</f>
      </c>
      <c r="X233" s="12"/>
      <c r="Y233" s="12"/>
      <c r="Z233" s="12"/>
      <c r="AA233" s="12"/>
    </row>
    <row r="234">
      <c r="A234" s="10" t="str">
        <v>站外</v>
      </c>
      <c r="B234" s="33" t="str">
        <v>磁力金牛</v>
      </c>
      <c r="C234" s="34" t="str">
        <v>杭州宜格化妆品有限公司</v>
      </c>
      <c r="D234" s="12"/>
      <c r="E234" s="12"/>
      <c r="F234" s="10" t="str">
        <v>自投</v>
      </c>
      <c r="G234" s="33"/>
      <c r="H234" s="12"/>
      <c r="I234" s="12"/>
      <c r="J234" s="33" t="str">
        <v>花西子官方旗舰店-返货2户</v>
      </c>
      <c r="K234" s="33">
        <v>16909148</v>
      </c>
      <c r="L234" s="11"/>
      <c r="M234" s="11"/>
      <c r="N234" s="11"/>
      <c r="O234" s="12"/>
      <c r="P234" s="34" t="str">
        <v>否</v>
      </c>
      <c r="Q234" s="34" t="str">
        <v>否</v>
      </c>
      <c r="R234" s="34" t="str">
        <v>否</v>
      </c>
      <c r="S234" s="34" t="str">
        <v>品牌运营中心</v>
      </c>
      <c r="T234" s="34" t="str">
        <v>快手部</v>
      </c>
      <c r="U234" s="34" t="str">
        <v>快手运营推广部</v>
      </c>
      <c r="V234" s="12"/>
      <c r="W234" s="3">
        <f>VLOOKUP(K234,'Sheet11'!$X$2:$AH$279,11,FALSE)</f>
      </c>
      <c r="X234" s="12"/>
      <c r="Y234" s="12"/>
      <c r="Z234" s="12"/>
      <c r="AA234" s="12"/>
    </row>
    <row r="235">
      <c r="A235" s="10" t="str">
        <v>站外</v>
      </c>
      <c r="B235" s="33" t="str">
        <v>磁力金牛</v>
      </c>
      <c r="C235" s="34" t="str">
        <v>杭州宜格化妆品有限公司</v>
      </c>
      <c r="D235" s="12"/>
      <c r="E235" s="12"/>
      <c r="F235" s="10" t="str">
        <v>自投</v>
      </c>
      <c r="G235" s="33"/>
      <c r="H235" s="12"/>
      <c r="I235" s="12"/>
      <c r="J235" s="33" t="str">
        <v>花西子官方旗舰店（浅度账户）</v>
      </c>
      <c r="K235" s="33">
        <v>16481647</v>
      </c>
      <c r="L235" s="11"/>
      <c r="M235" s="11"/>
      <c r="N235" s="11"/>
      <c r="O235" s="12"/>
      <c r="P235" s="34" t="str">
        <v>否</v>
      </c>
      <c r="Q235" s="34" t="str">
        <v>否</v>
      </c>
      <c r="R235" s="34" t="str">
        <v>否</v>
      </c>
      <c r="S235" s="34" t="str">
        <v>品牌运营中心</v>
      </c>
      <c r="T235" s="34" t="str">
        <v>快手部</v>
      </c>
      <c r="U235" s="34" t="str">
        <v>快手运营推广部</v>
      </c>
      <c r="V235" s="12"/>
      <c r="W235" s="3">
        <f>VLOOKUP(K235,'Sheet11'!$X$2:$AH$279,11,FALSE)</f>
      </c>
      <c r="X235" s="12"/>
      <c r="Y235" s="12"/>
      <c r="Z235" s="12"/>
      <c r="AA235" s="12"/>
    </row>
    <row r="236">
      <c r="A236" s="10" t="str">
        <v>站外</v>
      </c>
      <c r="B236" s="33" t="str">
        <v>磁力金牛</v>
      </c>
      <c r="C236" s="34" t="str">
        <v>杭州宜格化妆品有限公司</v>
      </c>
      <c r="D236" s="12"/>
      <c r="E236" s="12"/>
      <c r="F236" s="10" t="str">
        <v>自投</v>
      </c>
      <c r="G236" s="33"/>
      <c r="H236" s="12"/>
      <c r="I236" s="12"/>
      <c r="J236" s="33" t="str">
        <v>花西子官方旗舰店-直播托管对投-李楠楠</v>
      </c>
      <c r="K236" s="33">
        <v>17553440</v>
      </c>
      <c r="L236" s="11"/>
      <c r="M236" s="11"/>
      <c r="N236" s="11"/>
      <c r="O236" s="12"/>
      <c r="P236" s="34" t="str">
        <v>否</v>
      </c>
      <c r="Q236" s="34" t="str">
        <v>否</v>
      </c>
      <c r="R236" s="34" t="str">
        <v>否</v>
      </c>
      <c r="S236" s="34" t="str">
        <v>品牌运营中心</v>
      </c>
      <c r="T236" s="34" t="str">
        <v>快手部</v>
      </c>
      <c r="U236" s="34" t="str">
        <v>快手运营推广部</v>
      </c>
      <c r="V236" s="12"/>
      <c r="W236" s="3">
        <f>VLOOKUP(K236,'Sheet11'!$X$2:$AH$279,11,FALSE)</f>
      </c>
      <c r="X236" s="12"/>
      <c r="Y236" s="12"/>
      <c r="Z236" s="12"/>
      <c r="AA236" s="12"/>
    </row>
    <row customHeight="true" ht="19" r="237">
      <c r="A237" s="10" t="str">
        <v>站外</v>
      </c>
      <c r="B237" s="10" t="str">
        <v>磁力金牛</v>
      </c>
      <c r="C237" s="38" t="str">
        <v>杭州宜格化妆品有限公司</v>
      </c>
      <c r="D237" s="12"/>
      <c r="E237" s="12"/>
      <c r="F237" s="10" t="str">
        <v>自投</v>
      </c>
      <c r="G237" s="10" t="str">
        <v>群邑（上海）广告有限公司</v>
      </c>
      <c r="H237" s="12"/>
      <c r="I237" s="12"/>
      <c r="J237" s="52" t="str">
        <v>花西子官方旗舰店-矩阵号投放</v>
      </c>
      <c r="K237" s="52">
        <v>20384258</v>
      </c>
      <c r="L237" s="11"/>
      <c r="M237" s="11"/>
      <c r="N237" s="11"/>
      <c r="O237" s="12"/>
      <c r="P237" s="34" t="str">
        <v>否</v>
      </c>
      <c r="Q237" s="51"/>
      <c r="R237" s="34" t="str">
        <v>否</v>
      </c>
      <c r="S237" s="51" t="str">
        <v>品牌运营中心</v>
      </c>
      <c r="T237" s="51" t="str">
        <v>快手部</v>
      </c>
      <c r="U237" s="51" t="str">
        <v>快手运营推广部</v>
      </c>
      <c r="V237" s="12"/>
      <c r="W237" s="3" t="str">
        <v>难却（楼俞成达）</v>
      </c>
      <c r="X237" s="12"/>
      <c r="Y237" s="12"/>
      <c r="Z237" s="12"/>
      <c r="AA237" s="12"/>
    </row>
    <row r="238">
      <c r="A238" s="16" t="str">
        <v>站内</v>
      </c>
      <c r="B238" s="10" t="str">
        <v>小红书加热</v>
      </c>
      <c r="C238" s="3" t="str">
        <v>杭州宜格化妆品有限公司</v>
      </c>
      <c r="D238" s="12"/>
      <c r="E238" s="16" t="str">
        <v>小红书(TFPT08)</v>
      </c>
      <c r="F238" s="16" t="str">
        <v>自投</v>
      </c>
      <c r="G238" s="16" t="str">
        <v>江苏拾光宝盒信息技术有限公司(VEN01761)</v>
      </c>
      <c r="H238" s="12"/>
      <c r="I238" s="12"/>
      <c r="J238" s="16" t="str">
        <v>拾光宝盒（花西子Florasis5）</v>
      </c>
      <c r="K238" s="16">
        <v>395388</v>
      </c>
      <c r="L238" s="11"/>
      <c r="M238" s="11"/>
      <c r="N238" s="11"/>
      <c r="O238" s="12"/>
      <c r="P238" s="16" t="str">
        <v>是(YES)</v>
      </c>
      <c r="Q238" s="16" t="str">
        <v>是(YES)</v>
      </c>
      <c r="R238" s="16" t="str">
        <v>否</v>
      </c>
      <c r="S238" s="38" t="str">
        <v>品牌运营中心</v>
      </c>
      <c r="T238" s="3">
        <f>VLOOKUP(B238,'Sheet9'!$B$2:$G$191,4,FALSE)</f>
      </c>
      <c r="U238" s="3">
        <f>VLOOKUP(B238,'Sheet9'!$B$2:$G$191,5,FALSE)</f>
      </c>
      <c r="V238" s="3" t="str">
        <v>内容投放组</v>
      </c>
      <c r="W238" s="3">
        <f>VLOOKUP(K238,'Sheet11'!$X$2:$AH$279,11,FALSE)</f>
      </c>
      <c r="X238" s="12"/>
      <c r="Y238" s="12"/>
      <c r="Z238" s="12"/>
      <c r="AA238" s="12"/>
    </row>
    <row r="239">
      <c r="A239" s="16" t="str">
        <v>站内</v>
      </c>
      <c r="B239" s="10" t="str">
        <v>小红书加热</v>
      </c>
      <c r="C239" s="3" t="str">
        <v>杭州宜格化妆品有限公司</v>
      </c>
      <c r="D239" s="12"/>
      <c r="E239" s="16" t="str">
        <v>小红书(TFPT08)</v>
      </c>
      <c r="F239" s="16" t="str">
        <v>自投</v>
      </c>
      <c r="G239" s="16" t="str">
        <v>江苏拾光宝盒信息技术有限公司(VEN01761)</v>
      </c>
      <c r="H239" s="12"/>
      <c r="I239" s="12"/>
      <c r="J239" s="16" t="str">
        <v>拾光宝盒（花西子Florasis6）</v>
      </c>
      <c r="K239" s="16">
        <v>395393</v>
      </c>
      <c r="L239" s="11"/>
      <c r="M239" s="11"/>
      <c r="N239" s="11"/>
      <c r="O239" s="12"/>
      <c r="P239" s="16" t="str">
        <v>是(YES)</v>
      </c>
      <c r="Q239" s="16" t="str">
        <v>是(YES)</v>
      </c>
      <c r="R239" s="16" t="str">
        <v>否</v>
      </c>
      <c r="S239" s="38" t="str">
        <v>品牌运营中心</v>
      </c>
      <c r="T239" s="3">
        <f>VLOOKUP(B239,'Sheet9'!$B$2:$G$191,4,FALSE)</f>
      </c>
      <c r="U239" s="3">
        <f>VLOOKUP(B239,'Sheet9'!$B$2:$G$191,5,FALSE)</f>
      </c>
      <c r="V239" s="3" t="str">
        <v>内容投放组</v>
      </c>
      <c r="W239" s="3" t="str">
        <v>一样（谢炀）</v>
      </c>
      <c r="X239" s="12"/>
      <c r="Y239" s="12"/>
      <c r="Z239" s="12"/>
      <c r="AA239" s="12"/>
    </row>
    <row r="240">
      <c r="A240" s="16" t="str">
        <v>站内</v>
      </c>
      <c r="B240" s="10" t="str">
        <v>小红书加热</v>
      </c>
      <c r="C240" s="3" t="str">
        <v>杭州宜格化妆品有限公司</v>
      </c>
      <c r="D240" s="12"/>
      <c r="E240" s="16" t="str">
        <v>小红书(TFPT08)</v>
      </c>
      <c r="F240" s="16" t="str">
        <v>自投</v>
      </c>
      <c r="G240" s="16" t="str">
        <v>江苏拾光宝盒信息技术有限公司(VEN01761)</v>
      </c>
      <c r="H240" s="12"/>
      <c r="I240" s="12"/>
      <c r="J240" s="16" t="str">
        <v>拾光宝盒（花西子Florasis7）</v>
      </c>
      <c r="K240" s="16">
        <v>395350</v>
      </c>
      <c r="L240" s="11"/>
      <c r="M240" s="11"/>
      <c r="N240" s="11"/>
      <c r="O240" s="12"/>
      <c r="P240" s="16" t="str">
        <v>是(YES)</v>
      </c>
      <c r="Q240" s="16" t="str">
        <v>是(YES)</v>
      </c>
      <c r="R240" s="16" t="str">
        <v>否</v>
      </c>
      <c r="S240" s="38" t="str">
        <v>品牌运营中心</v>
      </c>
      <c r="T240" s="3">
        <f>VLOOKUP(B240,'Sheet9'!$B$2:$G$191,4,FALSE)</f>
      </c>
      <c r="U240" s="3">
        <f>VLOOKUP(B240,'Sheet9'!$B$2:$G$191,5,FALSE)</f>
      </c>
      <c r="V240" s="3" t="str">
        <v>内容投放组</v>
      </c>
      <c r="W240" s="3">
        <f>VLOOKUP(K240,'Sheet11'!$X$2:$AH$279,11,FALSE)</f>
      </c>
      <c r="X240" s="12"/>
      <c r="Y240" s="12"/>
      <c r="Z240" s="12"/>
      <c r="AA240" s="12"/>
    </row>
    <row r="241">
      <c r="A241" s="16" t="str">
        <v>站内</v>
      </c>
      <c r="B241" s="10" t="str">
        <v>小红书加热</v>
      </c>
      <c r="C241" s="3" t="str">
        <v>杭州宜格化妆品有限公司</v>
      </c>
      <c r="D241" s="12"/>
      <c r="E241" s="16" t="str">
        <v>小红书(TFPT08)</v>
      </c>
      <c r="F241" s="16" t="str">
        <v>自投</v>
      </c>
      <c r="G241" s="16" t="str">
        <v>上海小花猫文化传播有限公司(VEN04752)</v>
      </c>
      <c r="H241" s="12"/>
      <c r="I241" s="12"/>
      <c r="J241" s="11" t="str">
        <v>小花猫（花西子Florasis）5</v>
      </c>
      <c r="K241" s="12">
        <v>436489</v>
      </c>
      <c r="M241" s="11"/>
      <c r="N241" s="11"/>
      <c r="O241" s="12"/>
      <c r="P241" s="16" t="str">
        <v>是(YES)</v>
      </c>
      <c r="Q241" s="16" t="str">
        <v>是(YES)</v>
      </c>
      <c r="R241" s="16" t="str">
        <v>否</v>
      </c>
      <c r="S241" s="38" t="str">
        <v>品牌运营中心</v>
      </c>
      <c r="T241" s="3" t="str">
        <v>市场广告推广部</v>
      </c>
      <c r="U241" s="3" t="str">
        <v>市场推广部</v>
      </c>
      <c r="V241" s="3" t="str">
        <v>内容投放组</v>
      </c>
      <c r="W241" s="3">
        <f>VLOOKUP(K241,'Sheet11'!$X$2:$AH$279,11,FALSE)</f>
      </c>
      <c r="X241" s="12"/>
      <c r="Y241" s="12"/>
      <c r="Z241" s="12"/>
      <c r="AA241" s="12"/>
    </row>
    <row r="242">
      <c r="A242" s="16" t="str">
        <v>站内</v>
      </c>
      <c r="B242" s="10" t="str">
        <v>小红书加热</v>
      </c>
      <c r="C242" s="3" t="str">
        <v>杭州宜格化妆品有限公司</v>
      </c>
      <c r="D242" s="12"/>
      <c r="E242" s="16" t="str">
        <v>小红书(TFPT08)</v>
      </c>
      <c r="F242" s="16" t="str">
        <v>自投</v>
      </c>
      <c r="G242" s="16" t="str">
        <v>上海小花猫文化传播有限公司(VEN04752)</v>
      </c>
      <c r="H242" s="12"/>
      <c r="I242" s="12"/>
      <c r="J242" s="11" t="str">
        <v>小花猫（花西子Florasis）4</v>
      </c>
      <c r="K242" s="11">
        <v>436491</v>
      </c>
      <c r="M242" s="11"/>
      <c r="N242" s="11"/>
      <c r="O242" s="12"/>
      <c r="P242" s="16" t="str">
        <v>是(YES)</v>
      </c>
      <c r="Q242" s="16" t="str">
        <v>是(YES)</v>
      </c>
      <c r="R242" s="16" t="str">
        <v>否</v>
      </c>
      <c r="S242" s="38" t="str">
        <v>品牌运营中心</v>
      </c>
      <c r="T242" s="3" t="str">
        <v>市场广告推广部</v>
      </c>
      <c r="U242" s="3" t="str">
        <v>市场推广部</v>
      </c>
      <c r="V242" s="3" t="str">
        <v>内容投放组</v>
      </c>
      <c r="W242" s="3">
        <f>VLOOKUP(K242,'Sheet11'!$X$2:$AH$279,11,FALSE)</f>
      </c>
      <c r="X242" s="12"/>
      <c r="Y242" s="12"/>
      <c r="Z242" s="12"/>
      <c r="AA242" s="12"/>
    </row>
    <row r="243">
      <c r="A243" s="16" t="str">
        <v>站内</v>
      </c>
      <c r="B243" s="10" t="str">
        <v>小红书加热</v>
      </c>
      <c r="C243" s="3" t="str">
        <v>杭州宜格化妆品有限公司</v>
      </c>
      <c r="D243" s="12"/>
      <c r="E243" s="16" t="str">
        <v>小红书(TFPT08)</v>
      </c>
      <c r="F243" s="16" t="str">
        <v>自投</v>
      </c>
      <c r="G243" s="16" t="str">
        <v>江苏拾光宝盒信息技术有限公司(VEN01761)</v>
      </c>
      <c r="H243" s="12"/>
      <c r="I243" s="12"/>
      <c r="J243" s="16" t="str">
        <v>拾光宝盒（花西子Florasis8）</v>
      </c>
      <c r="K243" s="16">
        <v>409695</v>
      </c>
      <c r="L243" s="11"/>
      <c r="M243" s="11"/>
      <c r="N243" s="11"/>
      <c r="O243" s="12"/>
      <c r="P243" s="16" t="str">
        <v>是(YES)</v>
      </c>
      <c r="Q243" s="16" t="str">
        <v>是(YES)</v>
      </c>
      <c r="R243" s="16" t="str">
        <v>否</v>
      </c>
      <c r="S243" s="38" t="str">
        <v>品牌运营中心</v>
      </c>
      <c r="T243" s="3" t="str">
        <v>市场广告推广部</v>
      </c>
      <c r="U243" s="3" t="str">
        <v>市场推广部</v>
      </c>
      <c r="V243" s="3" t="str">
        <v>内容投放组</v>
      </c>
      <c r="W243" s="3">
        <f>VLOOKUP(K243,'Sheet11'!$X$2:$AH$279,11,FALSE)</f>
      </c>
      <c r="X243" s="12"/>
      <c r="Y243" s="12"/>
      <c r="Z243" s="12"/>
      <c r="AA243" s="12"/>
    </row>
    <row r="244">
      <c r="A244" s="16" t="str">
        <v>站内</v>
      </c>
      <c r="B244" s="10" t="str">
        <v>小红书加热</v>
      </c>
      <c r="C244" s="3" t="str">
        <v>杭州宜格化妆品有限公司</v>
      </c>
      <c r="D244" s="12"/>
      <c r="E244" s="16" t="str">
        <v>小红书(TFPT08)</v>
      </c>
      <c r="F244" s="16" t="str">
        <v>自投</v>
      </c>
      <c r="G244" s="16" t="str">
        <v>江苏拾光宝盒信息技术有限公司(VEN01761)</v>
      </c>
      <c r="H244" s="12"/>
      <c r="I244" s="12"/>
      <c r="J244" s="16" t="str">
        <v>拾光宝盒（花西子Florasis9）</v>
      </c>
      <c r="K244" s="16">
        <v>409688</v>
      </c>
      <c r="L244" s="11"/>
      <c r="M244" s="11"/>
      <c r="N244" s="11"/>
      <c r="O244" s="12"/>
      <c r="P244" s="16" t="str">
        <v>是(YES)</v>
      </c>
      <c r="Q244" s="16" t="str">
        <v>是(YES)</v>
      </c>
      <c r="R244" s="16" t="str">
        <v>否</v>
      </c>
      <c r="S244" s="38" t="str">
        <v>品牌运营中心</v>
      </c>
      <c r="T244" s="3" t="str">
        <v>市场广告推广部</v>
      </c>
      <c r="U244" s="3" t="str">
        <v>市场推广部</v>
      </c>
      <c r="V244" s="3" t="str">
        <v>内容投放组</v>
      </c>
      <c r="W244" s="3">
        <f>VLOOKUP(K244,'Sheet11'!$X$2:$AH$279,11,FALSE)</f>
      </c>
      <c r="X244" s="12"/>
      <c r="Y244" s="12"/>
      <c r="Z244" s="12"/>
      <c r="AA244" s="12"/>
    </row>
    <row r="245">
      <c r="A245" s="16" t="str">
        <v>站内</v>
      </c>
      <c r="B245" s="10" t="str">
        <v>小红书加热</v>
      </c>
      <c r="C245" s="3" t="str">
        <v>杭州宜格化妆品有限公司</v>
      </c>
      <c r="D245" s="12"/>
      <c r="E245" s="16" t="str">
        <v>小红书(TFPT08)</v>
      </c>
      <c r="F245" s="16" t="str">
        <v>自投</v>
      </c>
      <c r="G245" s="16" t="str">
        <v>江苏拾光宝盒信息技术有限公司(VEN01761)</v>
      </c>
      <c r="H245" s="12"/>
      <c r="I245" s="12"/>
      <c r="J245" s="16" t="str">
        <v>拾光宝盒（花西子Florasis10）</v>
      </c>
      <c r="K245" s="16">
        <v>409687</v>
      </c>
      <c r="L245" s="11"/>
      <c r="M245" s="11"/>
      <c r="N245" s="11"/>
      <c r="O245" s="12"/>
      <c r="P245" s="16" t="str">
        <v>是(YES)</v>
      </c>
      <c r="Q245" s="16" t="str">
        <v>是(YES)</v>
      </c>
      <c r="R245" s="16" t="str">
        <v>否</v>
      </c>
      <c r="S245" s="38" t="str">
        <v>品牌运营中心</v>
      </c>
      <c r="T245" s="3" t="str">
        <v>市场广告推广部</v>
      </c>
      <c r="U245" s="3" t="str">
        <v>市场推广部</v>
      </c>
      <c r="V245" s="3" t="str">
        <v>内容投放组</v>
      </c>
      <c r="W245" s="3">
        <f>VLOOKUP(K245,'Sheet11'!$X$2:$AH$279,11,FALSE)</f>
      </c>
      <c r="X245" s="12"/>
      <c r="Y245" s="12"/>
      <c r="Z245" s="12"/>
      <c r="AA245" s="12"/>
    </row>
    <row r="246">
      <c r="A246" s="16" t="str">
        <v>站内</v>
      </c>
      <c r="B246" s="10" t="str">
        <v>小红书加热</v>
      </c>
      <c r="C246" s="3" t="str">
        <v>杭州宜格化妆品有限公司</v>
      </c>
      <c r="D246" s="12"/>
      <c r="E246" s="16" t="str">
        <v>小红书(TFPT08)</v>
      </c>
      <c r="F246" s="16" t="str">
        <v>自投</v>
      </c>
      <c r="G246" s="16" t="str">
        <v>广东省广告集团股份有限公司(VEN02800)</v>
      </c>
      <c r="H246" s="12"/>
      <c r="I246" s="12"/>
      <c r="J246" s="16" t="str">
        <v>省广集团（花西子美妆）03</v>
      </c>
      <c r="K246" s="16">
        <v>118100</v>
      </c>
      <c r="L246" s="11"/>
      <c r="M246" s="11"/>
      <c r="N246" s="11"/>
      <c r="O246" s="12"/>
      <c r="P246" s="16" t="str">
        <v>是(YES)</v>
      </c>
      <c r="Q246" s="16" t="str">
        <v>是(YES)</v>
      </c>
      <c r="R246" s="16" t="str">
        <v>否</v>
      </c>
      <c r="S246" s="38" t="str">
        <v>品牌运营中心</v>
      </c>
      <c r="T246" s="3" t="str">
        <v>市场广告推广部</v>
      </c>
      <c r="U246" s="3" t="str">
        <v>市场推广部</v>
      </c>
      <c r="V246" s="3" t="str">
        <v>内容投放组</v>
      </c>
      <c r="W246" s="3">
        <f>VLOOKUP(K246,'Sheet11'!$X$2:$AH$279,11,FALSE)</f>
      </c>
      <c r="X246" s="12"/>
      <c r="Y246" s="12"/>
      <c r="Z246" s="12"/>
      <c r="AA246" s="12"/>
    </row>
    <row r="247">
      <c r="A247" s="16" t="str">
        <v>站内</v>
      </c>
      <c r="B247" s="10" t="str">
        <v>小红书加热</v>
      </c>
      <c r="C247" s="3" t="str">
        <v>杭州宜格化妆品有限公司</v>
      </c>
      <c r="D247" s="12"/>
      <c r="E247" s="16" t="str">
        <v>小红书(TFPT08)</v>
      </c>
      <c r="F247" s="16" t="str">
        <v>自投</v>
      </c>
      <c r="G247" s="16" t="str">
        <v>上海小花猫文化传播有限公司(VEN04752)</v>
      </c>
      <c r="H247" s="12"/>
      <c r="I247" s="12"/>
      <c r="J247" s="16" t="str">
        <v>小花猫（花西子Florasis）6</v>
      </c>
      <c r="K247" s="16">
        <v>435968</v>
      </c>
      <c r="L247" s="11"/>
      <c r="M247" s="11"/>
      <c r="N247" s="11"/>
      <c r="O247" s="12"/>
      <c r="P247" s="16" t="str">
        <v>是(YES)</v>
      </c>
      <c r="Q247" s="16" t="str">
        <v>是(YES)</v>
      </c>
      <c r="R247" s="16" t="str">
        <v>否</v>
      </c>
      <c r="S247" s="38" t="str">
        <v>品牌运营中心</v>
      </c>
      <c r="T247" s="3" t="str">
        <v>市场广告推广部</v>
      </c>
      <c r="U247" s="3" t="str">
        <v>市场推广部</v>
      </c>
      <c r="V247" s="3" t="str">
        <v>内容投放组</v>
      </c>
      <c r="W247" s="3">
        <f>VLOOKUP(K247,'Sheet11'!$X$2:$AH$279,11,FALSE)</f>
      </c>
      <c r="X247" s="12"/>
      <c r="Y247" s="12"/>
      <c r="Z247" s="12"/>
      <c r="AA247" s="12"/>
    </row>
    <row r="248">
      <c r="A248" s="16" t="str">
        <v>站内</v>
      </c>
      <c r="B248" s="10" t="str">
        <v>小红书加热</v>
      </c>
      <c r="C248" s="3" t="str">
        <v>杭州宜格化妆品有限公司</v>
      </c>
      <c r="D248" s="12"/>
      <c r="E248" s="16" t="str">
        <v>小红书(TFPT08)</v>
      </c>
      <c r="F248" s="16" t="str">
        <v>自投</v>
      </c>
      <c r="G248" s="16" t="str">
        <v>上海小花猫文化传播有限公司(VEN04752)</v>
      </c>
      <c r="H248" s="12"/>
      <c r="I248" s="12"/>
      <c r="J248" s="16" t="str">
        <v>小花猫（花西子Florasis）3</v>
      </c>
      <c r="K248" s="16">
        <v>424140</v>
      </c>
      <c r="L248" s="11"/>
      <c r="M248" s="11"/>
      <c r="N248" s="11"/>
      <c r="O248" s="12"/>
      <c r="P248" s="16" t="str">
        <v>是(YES)</v>
      </c>
      <c r="Q248" s="16" t="str">
        <v>是(YES)</v>
      </c>
      <c r="R248" s="16" t="str">
        <v>否</v>
      </c>
      <c r="S248" s="38" t="str">
        <v>品牌运营中心</v>
      </c>
      <c r="T248" s="3" t="str">
        <v>市场广告推广部</v>
      </c>
      <c r="U248" s="3" t="str">
        <v>市场推广部</v>
      </c>
      <c r="V248" s="3" t="str">
        <v>内容投放组</v>
      </c>
      <c r="W248" s="3">
        <f>VLOOKUP(K248,'Sheet11'!$X$2:$AH$279,11,FALSE)</f>
      </c>
      <c r="X248" s="12"/>
      <c r="Y248" s="12"/>
      <c r="Z248" s="12"/>
      <c r="AA248" s="12"/>
    </row>
    <row r="249">
      <c r="A249" s="16" t="str">
        <v>站内</v>
      </c>
      <c r="B249" s="10" t="str">
        <v>小红书加热</v>
      </c>
      <c r="C249" s="3" t="str">
        <v>杭州宜格化妆品有限公司</v>
      </c>
      <c r="D249" s="12"/>
      <c r="E249" s="16" t="str">
        <v>小红书(TFPT08)</v>
      </c>
      <c r="F249" s="16" t="str">
        <v>自投</v>
      </c>
      <c r="G249" s="16" t="str">
        <v>上海小花猫文化传播有限公司(VEN04752)</v>
      </c>
      <c r="H249" s="12"/>
      <c r="I249" s="12"/>
      <c r="J249" s="16" t="s">
        <v>27</v>
      </c>
      <c r="K249" s="16">
        <v>424127</v>
      </c>
      <c r="L249" s="11"/>
      <c r="M249" s="11"/>
      <c r="N249" s="11"/>
      <c r="O249" s="12"/>
      <c r="P249" s="16" t="str">
        <v>是(YES)</v>
      </c>
      <c r="Q249" s="16" t="str">
        <v>是(YES)</v>
      </c>
      <c r="R249" s="16" t="str">
        <v>否</v>
      </c>
      <c r="S249" s="38" t="str">
        <v>品牌运营中心</v>
      </c>
      <c r="T249" s="3" t="str">
        <v>市场广告推广部</v>
      </c>
      <c r="U249" s="3" t="str">
        <v>市场推广部</v>
      </c>
      <c r="V249" s="3" t="str">
        <v>内容投放组</v>
      </c>
      <c r="W249" s="3">
        <f>VLOOKUP(K249,'Sheet11'!$X$2:$AH$279,11,FALSE)</f>
      </c>
      <c r="X249" s="12"/>
      <c r="Y249" s="12"/>
      <c r="Z249" s="12"/>
      <c r="AA249" s="12"/>
    </row>
    <row r="250">
      <c r="A250" s="16" t="str">
        <v>站内</v>
      </c>
      <c r="B250" s="10" t="str">
        <v>小红书加热</v>
      </c>
      <c r="C250" s="3" t="str">
        <v>杭州宜格化妆品有限公司</v>
      </c>
      <c r="D250" s="12"/>
      <c r="E250" s="16" t="str">
        <v>小红书(TFPT08)</v>
      </c>
      <c r="F250" s="16" t="str">
        <v>自投</v>
      </c>
      <c r="G250" s="16" t="str">
        <v>上海小花猫文化传播有限公司(VEN04752)</v>
      </c>
      <c r="H250" s="12"/>
      <c r="I250" s="12"/>
      <c r="J250" s="16" t="str">
        <v>小花猫（花西子Florasis）1</v>
      </c>
      <c r="K250" s="16">
        <v>424132</v>
      </c>
      <c r="L250" s="11"/>
      <c r="M250" s="11"/>
      <c r="N250" s="11"/>
      <c r="O250" s="12"/>
      <c r="P250" s="16" t="str">
        <v>是(YES)</v>
      </c>
      <c r="Q250" s="16" t="str">
        <v>是(YES)</v>
      </c>
      <c r="R250" s="16" t="str">
        <v>否</v>
      </c>
      <c r="S250" s="38" t="str">
        <v>品牌运营中心</v>
      </c>
      <c r="T250" s="3" t="str">
        <v>市场广告推广部</v>
      </c>
      <c r="U250" s="3" t="str">
        <v>市场推广部</v>
      </c>
      <c r="V250" s="3" t="str">
        <v>内容投放组</v>
      </c>
      <c r="W250" s="3">
        <f>VLOOKUP(K250,'Sheet11'!$X$2:$AH$279,11,FALSE)</f>
      </c>
      <c r="X250" s="12"/>
      <c r="Y250" s="12"/>
      <c r="Z250" s="12"/>
      <c r="AA250" s="12"/>
    </row>
    <row r="251">
      <c r="A251" s="16" t="str">
        <v>站内</v>
      </c>
      <c r="B251" s="10" t="str">
        <v>小红书加热</v>
      </c>
      <c r="C251" s="3" t="str">
        <v>杭州宜格化妆品有限公司</v>
      </c>
      <c r="D251" s="12"/>
      <c r="E251" s="16" t="str">
        <v>小红书(TFPT08)</v>
      </c>
      <c r="F251" s="16" t="str">
        <v>自投</v>
      </c>
      <c r="G251" s="16" t="str">
        <v>杭州凡淳品牌管理有限公司(VEN05112)</v>
      </c>
      <c r="H251" s="12"/>
      <c r="I251" s="12"/>
      <c r="J251" s="16" t="str">
        <v>（FC）花西子小黛伞</v>
      </c>
      <c r="K251" s="16">
        <v>433696</v>
      </c>
      <c r="L251" s="11"/>
      <c r="M251" s="11"/>
      <c r="N251" s="11"/>
      <c r="O251" s="12"/>
      <c r="P251" s="16"/>
      <c r="Q251" s="16"/>
      <c r="R251" s="16" t="str">
        <v>否</v>
      </c>
      <c r="S251" s="38" t="str">
        <v>品牌运营中心</v>
      </c>
      <c r="T251" s="3" t="str">
        <v>市场广告推广部</v>
      </c>
      <c r="U251" s="3" t="str">
        <v>市场推广部</v>
      </c>
      <c r="V251" s="3" t="str">
        <v>内容投放组</v>
      </c>
      <c r="W251" s="3">
        <f>VLOOKUP(K251,'Sheet11'!$X$2:$AH$279,11,FALSE)</f>
      </c>
      <c r="X251" s="12"/>
      <c r="Y251" s="12"/>
      <c r="Z251" s="12"/>
      <c r="AA251" s="12"/>
    </row>
    <row r="252">
      <c r="A252" s="16" t="str">
        <v>站内</v>
      </c>
      <c r="B252" s="10" t="str">
        <v>小红书加热</v>
      </c>
      <c r="C252" s="3" t="str">
        <v>杭州宜格化妆品有限公司</v>
      </c>
      <c r="D252" s="12"/>
      <c r="E252" s="16" t="str">
        <v>小红书(TFPT08)</v>
      </c>
      <c r="F252" s="16" t="str">
        <v>自投</v>
      </c>
      <c r="G252" s="16" t="str">
        <v>杭州凡淳品牌管理有限公司(VEN05112)</v>
      </c>
      <c r="H252" s="12"/>
      <c r="I252" s="12"/>
      <c r="J252" s="16" t="str">
        <v>（FC）花西子三花喷雾</v>
      </c>
      <c r="K252" s="16">
        <v>436678</v>
      </c>
      <c r="L252" s="11"/>
      <c r="M252" s="11"/>
      <c r="N252" s="11"/>
      <c r="O252" s="12"/>
      <c r="P252" s="16"/>
      <c r="Q252" s="16"/>
      <c r="R252" s="16" t="str">
        <v>否</v>
      </c>
      <c r="S252" s="38" t="str">
        <v>品牌运营中心</v>
      </c>
      <c r="T252" s="3" t="str">
        <v>市场广告推广部</v>
      </c>
      <c r="U252" s="3" t="str">
        <v>市场推广部</v>
      </c>
      <c r="V252" s="3" t="str">
        <v>内容投放组</v>
      </c>
      <c r="W252" s="3">
        <f>VLOOKUP(K252,'Sheet11'!$X$2:$AH$279,11,FALSE)</f>
      </c>
      <c r="X252" s="12"/>
      <c r="Y252" s="12"/>
      <c r="Z252" s="12"/>
      <c r="AA252" s="12"/>
    </row>
    <row r="253">
      <c r="A253" s="16" t="str">
        <v>站内</v>
      </c>
      <c r="B253" s="10" t="str">
        <v>小红书加热</v>
      </c>
      <c r="C253" s="3" t="str">
        <v>杭州宜格化妆品有限公司</v>
      </c>
      <c r="D253" s="12"/>
      <c r="E253" s="16" t="str">
        <v>小红书(TFPT08)</v>
      </c>
      <c r="F253" s="16" t="str">
        <v>自投</v>
      </c>
      <c r="G253" s="16" t="str">
        <v>杭州凡淳品牌管理有限公司(VEN05112)</v>
      </c>
      <c r="H253" s="12"/>
      <c r="I253" s="12"/>
      <c r="J253" s="16" t="str">
        <v>（FC）花西子</v>
      </c>
      <c r="K253" s="16">
        <v>423721</v>
      </c>
      <c r="L253" s="11"/>
      <c r="M253" s="11"/>
      <c r="N253" s="11"/>
      <c r="O253" s="12"/>
      <c r="P253" s="16"/>
      <c r="Q253" s="16"/>
      <c r="R253" s="16" t="str">
        <v>否</v>
      </c>
      <c r="S253" s="38" t="str">
        <v>品牌运营中心</v>
      </c>
      <c r="T253" s="3" t="str">
        <v>市场广告推广部</v>
      </c>
      <c r="U253" s="3" t="str">
        <v>市场推广部</v>
      </c>
      <c r="V253" s="3" t="str">
        <v>内容投放组</v>
      </c>
      <c r="W253" s="3">
        <f>VLOOKUP(K253,'Sheet11'!$X$2:$AH$279,11,FALSE)</f>
      </c>
      <c r="X253" s="12"/>
      <c r="Y253" s="12"/>
      <c r="Z253" s="12"/>
      <c r="AA253" s="12"/>
    </row>
    <row r="254">
      <c r="A254" s="16" t="str">
        <v>站外</v>
      </c>
      <c r="B254" s="21" t="str">
        <v>微信-ADQ推广</v>
      </c>
      <c r="C254" s="28" t="str">
        <v>杭州花凝香生物科技有限公司</v>
      </c>
      <c r="D254" s="12"/>
      <c r="E254" s="12" t="str">
        <v>微信</v>
      </c>
      <c r="F254" s="16" t="str">
        <v>自投</v>
      </c>
      <c r="G254" s="27" t="str">
        <v>深圳市新广数字科技有限公司</v>
      </c>
      <c r="H254" s="12"/>
      <c r="I254" s="12"/>
      <c r="J254" s="28" t="str">
        <v>杭州花凝香生物科技有限公司</v>
      </c>
      <c r="K254" s="11">
        <v>29658645</v>
      </c>
      <c r="L254" s="11"/>
      <c r="M254" s="11"/>
      <c r="N254" s="11"/>
      <c r="O254" s="12"/>
      <c r="P254" s="12"/>
      <c r="Q254" s="12"/>
      <c r="R254" s="12"/>
      <c r="S254" s="3"/>
      <c r="T254" s="3"/>
      <c r="U254" s="3"/>
      <c r="V254" s="3"/>
      <c r="W254" s="12" t="str">
        <v>煜橙（刘橙昱）、王小猫</v>
      </c>
      <c r="X254" s="12"/>
      <c r="Y254" s="12"/>
      <c r="Z254" s="12"/>
      <c r="AA254" s="12"/>
    </row>
    <row customHeight="true" ht="19" r="255">
      <c r="A255" s="16" t="str">
        <v>站外</v>
      </c>
      <c r="B255" s="21" t="str">
        <v>微信-ADQ推广</v>
      </c>
      <c r="C255" s="41" t="str">
        <v>杭州宜格化妆品有限公司</v>
      </c>
      <c r="D255" s="12"/>
      <c r="E255" s="12" t="str">
        <v>微信</v>
      </c>
      <c r="F255" s="16" t="str">
        <v>自投</v>
      </c>
      <c r="G255" s="27" t="str">
        <v>深圳市新广数字科技有限公司</v>
      </c>
      <c r="H255" s="12"/>
      <c r="I255" s="12"/>
      <c r="J255" s="41" t="str">
        <v>杭州宜格化妆品有限公司</v>
      </c>
      <c r="K255" s="40">
        <v>30385115</v>
      </c>
      <c r="L255" s="11"/>
      <c r="M255" s="11"/>
      <c r="N255" s="11"/>
      <c r="O255" s="12"/>
      <c r="P255" s="12"/>
      <c r="Q255" s="12"/>
      <c r="R255" s="12"/>
      <c r="S255" s="3"/>
      <c r="T255" s="3"/>
      <c r="U255" s="3"/>
      <c r="V255" s="3"/>
      <c r="W255" s="12" t="str">
        <v>煜橙（刘橙昱）、王小猫</v>
      </c>
      <c r="X255" s="12"/>
      <c r="Y255" s="12"/>
      <c r="Z255" s="12"/>
      <c r="AA255" s="12"/>
    </row>
    <row customHeight="true" ht="19" r="256">
      <c r="A256" s="16" t="str">
        <v>站外</v>
      </c>
      <c r="B256" s="21" t="str">
        <v>内容热推</v>
      </c>
      <c r="C256" s="41" t="str">
        <v>杭州宜格化妆品有限公司</v>
      </c>
      <c r="D256" s="12"/>
      <c r="E256" s="12" t="str">
        <v>抖音</v>
      </c>
      <c r="F256" s="16" t="str">
        <v>代投</v>
      </c>
      <c r="G256" s="21" t="str">
        <v>上海博观瑞思传媒科技有限公司</v>
      </c>
      <c r="H256" s="12"/>
      <c r="I256" s="12"/>
      <c r="J256" s="21" t="str">
        <v>内容热推</v>
      </c>
      <c r="K256" s="40" t="str">
        <v>NRRT</v>
      </c>
      <c r="L256" s="11"/>
      <c r="M256" s="11"/>
      <c r="N256" s="11"/>
      <c r="O256" s="12"/>
      <c r="P256" s="12"/>
      <c r="Q256" s="12"/>
      <c r="R256" s="12"/>
      <c r="S256" s="3"/>
      <c r="T256" s="3"/>
      <c r="U256" s="3"/>
      <c r="V256" s="3"/>
      <c r="W256" s="12" t="str">
        <v>清和（费萍萍）</v>
      </c>
      <c r="X256" s="12"/>
      <c r="Y256" s="12"/>
      <c r="Z256" s="12"/>
      <c r="AA256" s="12"/>
    </row>
    <row customHeight="true" ht="19" r="257">
      <c r="A257" s="16" t="str">
        <v>站外</v>
      </c>
      <c r="B257" s="21" t="str">
        <v>微信-ADQ推广</v>
      </c>
      <c r="C257" s="28" t="str">
        <v>杭州花凝香生物科技有限公司</v>
      </c>
      <c r="D257" s="12"/>
      <c r="E257" s="12" t="str">
        <v>微信</v>
      </c>
      <c r="F257" s="16" t="str">
        <v>自投</v>
      </c>
      <c r="G257" s="21" t="str">
        <v>杭州炬美网络科技有限公司</v>
      </c>
      <c r="H257" s="12"/>
      <c r="I257" s="12"/>
      <c r="J257" s="64" t="str">
        <v>杭州花凝香生物科技有限公司</v>
      </c>
      <c r="K257" s="63" t="s">
        <v>31</v>
      </c>
      <c r="L257" s="11"/>
      <c r="M257" s="11"/>
      <c r="N257" s="11"/>
      <c r="O257" s="12"/>
      <c r="P257" s="12"/>
      <c r="Q257" s="12"/>
      <c r="R257" s="12"/>
      <c r="S257" s="3"/>
      <c r="T257" s="3"/>
      <c r="U257" s="3"/>
      <c r="V257" s="3"/>
      <c r="W257" s="12" t="str">
        <v>煜橙（刘橙昱）、王小猫</v>
      </c>
      <c r="X257" s="12"/>
      <c r="Y257" s="12"/>
      <c r="Z257" s="12"/>
      <c r="AA257" s="12"/>
    </row>
    <row customHeight="true" ht="19" r="258">
      <c r="A258" s="16" t="str">
        <v>站外</v>
      </c>
      <c r="B258" s="21" t="str">
        <v>B站起飞加热</v>
      </c>
      <c r="C258" s="22" t="str">
        <v>杭州宜格化妆品有限公司</v>
      </c>
      <c r="D258" s="12"/>
      <c r="E258" s="12" t="str">
        <v>B站</v>
      </c>
      <c r="F258" s="16"/>
      <c r="G258" s="35" t="str">
        <v>上海无堂网络科技有限公司</v>
      </c>
      <c r="H258" s="12"/>
      <c r="I258" s="12"/>
      <c r="J258" s="19" t="str">
        <v>花西子-带货起飞-淘联-3</v>
      </c>
      <c r="K258" s="19">
        <v>1520692</v>
      </c>
      <c r="L258" s="11"/>
      <c r="M258" s="11"/>
      <c r="N258" s="11"/>
      <c r="O258" s="12"/>
      <c r="P258" s="12"/>
      <c r="Q258" s="12"/>
      <c r="R258" s="12"/>
      <c r="S258" s="3"/>
      <c r="T258" s="3"/>
      <c r="U258" s="3"/>
      <c r="V258" s="3"/>
      <c r="W258" s="20" t="str">
        <v>一样（谢炀）</v>
      </c>
      <c r="X258" s="12"/>
      <c r="Y258" s="12"/>
      <c r="Z258" s="12"/>
      <c r="AA258" s="12"/>
    </row>
    <row r="259">
      <c r="A259" s="16" t="str">
        <v>站外</v>
      </c>
      <c r="B259" s="21" t="str">
        <v>B站起飞加热</v>
      </c>
      <c r="C259" s="22" t="str">
        <v>杭州宜格化妆品有限公司</v>
      </c>
      <c r="E259" s="12" t="str">
        <v>B站</v>
      </c>
      <c r="G259" s="35" t="str">
        <v>上海小花猫文化传播有限公司</v>
      </c>
      <c r="J259" s="19" t="str">
        <v>花西子旗舰店-01-带货起飞</v>
      </c>
      <c r="K259" s="19">
        <v>1544559</v>
      </c>
      <c r="W259" s="20" t="str">
        <v>一样（谢炀）</v>
      </c>
    </row>
    <row r="260">
      <c r="A260" s="16" t="str">
        <v>站外</v>
      </c>
      <c r="B260" s="21" t="str">
        <v>B站起飞加热</v>
      </c>
      <c r="C260" s="22" t="str">
        <v>杭州宜格化妆品有限公司</v>
      </c>
      <c r="E260" s="12" t="str">
        <v>B站</v>
      </c>
      <c r="G260" s="35" t="str">
        <v>上海无堂网络科技有限公司</v>
      </c>
      <c r="J260" s="19" t="str">
        <v>花西子-卸妆湿巾-达人-带货起飞</v>
      </c>
      <c r="K260" s="19">
        <v>1552525</v>
      </c>
      <c r="W260" s="20" t="str">
        <v>一样（谢炀）</v>
      </c>
    </row>
    <row r="261">
      <c r="A261" s="16" t="str">
        <v>站外</v>
      </c>
      <c r="B261" s="21" t="str">
        <v>B站起飞加热</v>
      </c>
      <c r="C261" s="22" t="str">
        <v>杭州宜格化妆品有限公司</v>
      </c>
      <c r="E261" s="12" t="str">
        <v>B站</v>
      </c>
      <c r="G261" s="35" t="str">
        <v>上海无堂网络科技有限公司</v>
      </c>
      <c r="J261" s="39" t="str">
        <v>花西子-带货起飞-淘联-4</v>
      </c>
      <c r="K261" s="19">
        <v>1520691</v>
      </c>
      <c r="W261" s="20" t="str">
        <v>一样（谢炀）</v>
      </c>
    </row>
    <row r="262">
      <c r="A262" s="16" t="str">
        <v>站外</v>
      </c>
      <c r="B262" s="21" t="str">
        <v>B站起飞加热</v>
      </c>
      <c r="C262" s="22" t="str">
        <v>杭州宜格化妆品有限公司</v>
      </c>
      <c r="E262" s="12" t="str">
        <v>B站</v>
      </c>
      <c r="G262" s="61" t="str">
        <v>杭州羽联信息科技有限公司</v>
      </c>
      <c r="J262" s="39" t="str">
        <v>花西子旗舰店-88-带货起飞（补授权）</v>
      </c>
      <c r="K262" s="22">
        <v>940634</v>
      </c>
      <c r="W262" s="20" t="str">
        <v>一样（谢炀）</v>
      </c>
    </row>
    <row r="263">
      <c r="A263" s="16" t="str">
        <v>站外</v>
      </c>
      <c r="B263" s="21" t="str">
        <v>B站起飞加热</v>
      </c>
      <c r="C263" s="22" t="str">
        <v>杭州宜格化妆品有限公司</v>
      </c>
      <c r="E263" s="12" t="str">
        <v>B站</v>
      </c>
      <c r="G263" s="35" t="str">
        <v>杭州羽联信息科技有限公司</v>
      </c>
      <c r="J263" s="19" t="str">
        <v>花西子旗舰店-玉养蜜粉-带货起飞</v>
      </c>
      <c r="K263" s="35">
        <v>1458778</v>
      </c>
      <c r="W263" s="20" t="str">
        <v>一样（谢炀）</v>
      </c>
    </row>
    <row r="264">
      <c r="A264" s="16" t="str">
        <v>站外</v>
      </c>
      <c r="B264" s="21" t="str">
        <v>B站起飞加热</v>
      </c>
      <c r="C264" s="22" t="str">
        <v>杭州宜格化妆品有限公司</v>
      </c>
      <c r="E264" s="12" t="str">
        <v>B站</v>
      </c>
      <c r="G264" s="35" t="str">
        <v>杭州羽联信息科技有限公司</v>
      </c>
      <c r="J264" s="19" t="str">
        <v>花西子旗舰店-蜜粉饼-带货起飞</v>
      </c>
      <c r="K264" s="35">
        <v>1467309</v>
      </c>
      <c r="W264" s="20" t="str">
        <v>一样（谢炀）</v>
      </c>
    </row>
    <row r="265">
      <c r="A265" s="16" t="str">
        <v>站外</v>
      </c>
      <c r="B265" s="21" t="str">
        <v>B站起飞加热</v>
      </c>
      <c r="C265" s="22" t="str">
        <v>杭州宜格化妆品有限公司</v>
      </c>
      <c r="E265" s="12" t="str">
        <v>B站</v>
      </c>
      <c r="G265" s="19" t="str">
        <v>杭州掘木科技有限公司</v>
      </c>
      <c r="J265" s="19" t="str">
        <v>花西子玉养气垫-带货起飞</v>
      </c>
      <c r="K265" s="19">
        <v>1649273</v>
      </c>
      <c r="W265" s="20" t="str">
        <v>一样（谢炀）</v>
      </c>
    </row>
    <row r="266">
      <c r="A266" s="16" t="str">
        <v>站外</v>
      </c>
      <c r="B266" s="21" t="str">
        <v>B站起飞加热</v>
      </c>
      <c r="C266" s="22" t="str">
        <v>杭州宜格化妆品有限公司</v>
      </c>
      <c r="E266" s="12" t="str">
        <v>B站</v>
      </c>
      <c r="G266" s="19" t="str">
        <v>杭州掘木科技有限公司</v>
      </c>
      <c r="J266" s="19" t="str">
        <v>花西子玉养气垫-1-带货起飞</v>
      </c>
      <c r="K266" s="19">
        <v>1649274</v>
      </c>
      <c r="W266" s="20" t="str">
        <v>一样（谢炀）</v>
      </c>
    </row>
    <row r="267">
      <c r="A267" s="16" t="str">
        <v>站外</v>
      </c>
      <c r="B267" s="21" t="str">
        <v>B站起飞加热</v>
      </c>
      <c r="C267" s="22" t="str">
        <v>杭州宜格化妆品有限公司</v>
      </c>
      <c r="E267" s="12" t="str">
        <v>B站</v>
      </c>
      <c r="G267" s="19" t="str">
        <v>杭州掘木科技有限公司</v>
      </c>
      <c r="J267" s="19" t="str">
        <v>花西子玉养气垫-2-带货起飞</v>
      </c>
      <c r="K267" s="19">
        <v>1649275</v>
      </c>
      <c r="W267" s="20" t="str">
        <v>一样（谢炀）</v>
      </c>
    </row>
    <row r="268">
      <c r="A268" s="16" t="str">
        <v>站外</v>
      </c>
      <c r="B268" s="21" t="str">
        <v>B站起飞加热</v>
      </c>
      <c r="C268" s="22" t="str">
        <v>杭州宜格化妆品有限公司</v>
      </c>
      <c r="E268" s="12" t="str">
        <v>B站</v>
      </c>
      <c r="G268" s="19" t="str">
        <v>杭州掘木科技有限公司</v>
      </c>
      <c r="J268" s="19" t="str">
        <v>花西子玉养气垫-3-带货起飞</v>
      </c>
      <c r="K268" s="19">
        <v>1649276</v>
      </c>
      <c r="W268" s="20" t="str">
        <v>一样（谢炀）</v>
      </c>
    </row>
    <row r="269">
      <c r="A269" s="16" t="str">
        <v>站外</v>
      </c>
      <c r="B269" s="21" t="str">
        <v>B站起飞加热</v>
      </c>
      <c r="C269" s="22" t="str">
        <v>杭州宜格化妆品有限公司</v>
      </c>
      <c r="E269" s="12" t="str">
        <v>B站</v>
      </c>
      <c r="G269" s="19" t="str">
        <v>杭州掘木科技有限公司</v>
      </c>
      <c r="J269" s="19" t="str">
        <v>花西子花雕口红-带货起飞</v>
      </c>
      <c r="K269" s="19">
        <v>1719944</v>
      </c>
      <c r="W269" s="20" t="str">
        <v>一样（谢炀）</v>
      </c>
    </row>
    <row r="270">
      <c r="A270" s="16" t="str">
        <v>站外</v>
      </c>
      <c r="B270" s="21" t="str">
        <v>B站起飞加热</v>
      </c>
      <c r="C270" s="22" t="str">
        <v>杭州宜格化妆品有限公司</v>
      </c>
      <c r="E270" s="12" t="str">
        <v>B站</v>
      </c>
      <c r="G270" s="19" t="str">
        <v>杭州掘木科技有限公司</v>
      </c>
      <c r="J270" s="19" t="str">
        <v>花西子花雕口红-3-带货起飞</v>
      </c>
      <c r="K270" s="19">
        <v>1719947</v>
      </c>
      <c r="W270" s="20" t="str">
        <v>一样（谢炀）</v>
      </c>
    </row>
    <row r="271">
      <c r="A271" s="16" t="str">
        <v>站外</v>
      </c>
      <c r="B271" s="21" t="str">
        <v>B站起飞加热</v>
      </c>
      <c r="C271" s="22" t="str">
        <v>杭州宜格化妆品有限公司</v>
      </c>
      <c r="E271" s="12" t="str">
        <v>B站</v>
      </c>
      <c r="G271" s="19" t="str">
        <v>杭州掘木科技有限公司</v>
      </c>
      <c r="J271" s="19" t="str">
        <v>花西子唇纱-带货起飞</v>
      </c>
      <c r="K271" s="19">
        <v>1719948</v>
      </c>
      <c r="W271" s="20" t="str">
        <v>一样（谢炀）</v>
      </c>
    </row>
    <row r="272">
      <c r="A272" s="16" t="str">
        <v>站外</v>
      </c>
      <c r="B272" s="21" t="str">
        <v>B站起飞加热</v>
      </c>
      <c r="C272" s="22" t="str">
        <v>杭州宜格化妆品有限公司</v>
      </c>
      <c r="E272" s="12" t="str">
        <v>B站</v>
      </c>
      <c r="G272" s="19" t="str">
        <v>杭州掘木科技有限公司</v>
      </c>
      <c r="J272" s="19" t="str">
        <v>花西子唇纱-3-带货起飞</v>
      </c>
      <c r="K272" s="19">
        <v>1719959</v>
      </c>
      <c r="W272" s="20" t="str">
        <v>一样（谢炀）</v>
      </c>
    </row>
    <row r="273">
      <c r="A273" s="16" t="str">
        <v>站外</v>
      </c>
      <c r="B273" s="21" t="str">
        <v>B站起飞加热</v>
      </c>
      <c r="C273" s="22" t="str">
        <v>杭州宜格化妆品有限公司</v>
      </c>
      <c r="E273" s="12" t="str">
        <v>B站</v>
      </c>
      <c r="G273" s="19" t="str">
        <v>杭州掘木科技有限公司</v>
      </c>
      <c r="J273" s="19" t="str">
        <v>花西子花雕口红-1-带货起飞</v>
      </c>
      <c r="K273" s="19">
        <v>1719945</v>
      </c>
      <c r="W273" s="20" t="str">
        <v>一样（谢炀）</v>
      </c>
    </row>
    <row r="274">
      <c r="A274" s="16" t="str">
        <v>站外</v>
      </c>
      <c r="B274" s="21" t="str">
        <v>B站起飞加热</v>
      </c>
      <c r="C274" s="22" t="str">
        <v>杭州宜格化妆品有限公司</v>
      </c>
      <c r="E274" s="12" t="str">
        <v>B站</v>
      </c>
      <c r="G274" s="19" t="str">
        <v>杭州掘木科技有限公司</v>
      </c>
      <c r="J274" s="19" t="str">
        <v>花西子花雕口红-2-带货起飞</v>
      </c>
      <c r="K274" s="19">
        <v>1719946</v>
      </c>
      <c r="W274" s="20" t="str">
        <v>一样（谢炀）</v>
      </c>
    </row>
    <row r="275">
      <c r="A275" s="16" t="str">
        <v>站外</v>
      </c>
      <c r="B275" s="21" t="str">
        <v>B站起飞加热</v>
      </c>
      <c r="C275" s="22" t="str">
        <v>杭州宜格化妆品有限公司</v>
      </c>
      <c r="E275" s="12" t="str">
        <v>B站</v>
      </c>
      <c r="G275" s="19" t="str">
        <v>杭州掘木科技有限公司</v>
      </c>
      <c r="J275" s="19" t="str">
        <v>花西子唇纱-1-带货起飞</v>
      </c>
      <c r="K275" s="19">
        <v>1719951</v>
      </c>
      <c r="W275" s="20" t="str">
        <v>一样（谢炀）</v>
      </c>
    </row>
    <row r="276">
      <c r="A276" s="16" t="str">
        <v>站外</v>
      </c>
      <c r="B276" s="21" t="str">
        <v>B站起飞加热</v>
      </c>
      <c r="C276" s="22" t="str">
        <v>杭州宜格化妆品有限公司</v>
      </c>
      <c r="E276" s="12" t="str">
        <v>B站</v>
      </c>
      <c r="G276" s="19" t="str">
        <v>杭州掘木科技有限公司</v>
      </c>
      <c r="J276" s="19" t="str">
        <v>花西子唇纱-2-带货起飞</v>
      </c>
      <c r="K276" s="19">
        <v>1719953</v>
      </c>
      <c r="W276" s="20" t="str">
        <v>一样（谢炀）</v>
      </c>
    </row>
    <row r="277">
      <c r="A277" s="16" t="str">
        <v>站外</v>
      </c>
      <c r="B277" s="21" t="str">
        <v>B站起飞加热</v>
      </c>
      <c r="C277" s="22" t="str">
        <v>杭州宜格化妆品有限公司</v>
      </c>
      <c r="E277" s="12" t="str">
        <v>B站</v>
      </c>
      <c r="G277" s="19" t="str">
        <v>上海无堂网络科技有限公司</v>
      </c>
      <c r="J277" s="19" t="str">
        <v>花西子-带货起飞</v>
      </c>
      <c r="K277" s="19">
        <v>834600</v>
      </c>
      <c r="W277" s="20" t="str">
        <v>一样（谢炀）</v>
      </c>
    </row>
    <row r="278">
      <c r="A278" s="16" t="str">
        <v>站外</v>
      </c>
      <c r="B278" s="21" t="str">
        <v>B站起飞加热</v>
      </c>
      <c r="C278" s="22" t="str">
        <v>杭州宜格化妆品有限公司</v>
      </c>
      <c r="E278" s="12" t="str">
        <v>B站</v>
      </c>
      <c r="G278" s="19" t="str">
        <v>上海无堂网络科技有限公司</v>
      </c>
      <c r="J278" s="19" t="str">
        <v>花西子-带货起飞-1</v>
      </c>
      <c r="K278" s="19">
        <v>868476</v>
      </c>
      <c r="W278" s="20" t="str">
        <v>一样（谢炀）</v>
      </c>
    </row>
    <row r="279">
      <c r="A279" s="16" t="str">
        <v>站外</v>
      </c>
      <c r="B279" s="21" t="str">
        <v>B站起飞加热</v>
      </c>
      <c r="C279" s="22" t="str">
        <v>杭州宜格化妆品有限公司</v>
      </c>
      <c r="E279" s="12" t="str">
        <v>B站</v>
      </c>
      <c r="G279" s="19" t="str">
        <v>上海无堂网络科技有限公司</v>
      </c>
      <c r="J279" s="19" t="str">
        <v>花西子-带货起飞-2</v>
      </c>
      <c r="K279" s="19">
        <v>1047599</v>
      </c>
      <c r="W279" s="20" t="str">
        <v>一样（谢炀）</v>
      </c>
    </row>
    <row r="280">
      <c r="A280" s="16" t="str">
        <v>站外</v>
      </c>
      <c r="B280" s="21" t="str">
        <v>B站起飞加热</v>
      </c>
      <c r="C280" s="22" t="str">
        <v>杭州宜格化妆品有限公司</v>
      </c>
      <c r="E280" s="12" t="str">
        <v>B站</v>
      </c>
      <c r="G280" s="19" t="str">
        <v>上海无堂网络科技有限公司</v>
      </c>
      <c r="J280" s="19" t="str">
        <v>花西子-带货起飞-淘联</v>
      </c>
      <c r="K280" s="19">
        <v>1062222</v>
      </c>
      <c r="W280" s="20" t="str">
        <v>一样（谢炀）</v>
      </c>
    </row>
    <row r="281">
      <c r="A281" s="16" t="str">
        <v>站外</v>
      </c>
      <c r="B281" s="21" t="str">
        <v>B站起飞加热</v>
      </c>
      <c r="C281" s="22" t="str">
        <v>杭州宜格化妆品有限公司</v>
      </c>
      <c r="E281" s="12" t="str">
        <v>B站</v>
      </c>
      <c r="G281" s="19" t="str">
        <v>上海无堂网络科技有限公司</v>
      </c>
      <c r="J281" s="19" t="str">
        <v>花西子-带货起飞-淘联-1</v>
      </c>
      <c r="K281" s="19">
        <v>1452421</v>
      </c>
      <c r="W281" s="20" t="str">
        <v>一样（谢炀）</v>
      </c>
    </row>
    <row r="282">
      <c r="A282" s="16" t="str">
        <v>站外</v>
      </c>
      <c r="B282" s="21" t="str">
        <v>B站起飞加热</v>
      </c>
      <c r="C282" s="22" t="str">
        <v>杭州宜格化妆品有限公司</v>
      </c>
      <c r="E282" s="12" t="str">
        <v>B站</v>
      </c>
      <c r="G282" s="19" t="str">
        <v>上海无堂网络科技有限公司</v>
      </c>
      <c r="J282" s="19" t="str">
        <v>花西子-带货起飞-淘联-2</v>
      </c>
      <c r="K282" s="19">
        <v>1477822</v>
      </c>
      <c r="W282" s="20" t="str">
        <v>一样（谢炀）</v>
      </c>
    </row>
    <row r="283">
      <c r="A283" s="16" t="str">
        <v>站外</v>
      </c>
      <c r="B283" s="21" t="str">
        <v>B站起飞加热</v>
      </c>
      <c r="C283" s="22" t="str">
        <v>杭州宜格化妆品有限公司</v>
      </c>
      <c r="E283" s="12" t="str">
        <v>B站</v>
      </c>
      <c r="G283" s="19" t="str">
        <v>上海无堂网络科技有限公司</v>
      </c>
      <c r="J283" s="19" t="str">
        <v>花西子-东方妆奁-达人-带货起飞</v>
      </c>
      <c r="K283" s="19">
        <v>1552363</v>
      </c>
      <c r="W283" s="20" t="str">
        <v>一样（谢炀）</v>
      </c>
    </row>
    <row r="284">
      <c r="A284" s="16" t="str">
        <v>站外</v>
      </c>
      <c r="B284" s="21" t="str">
        <v>B站起飞加热</v>
      </c>
      <c r="C284" s="22" t="str">
        <v>杭州宜格化妆品有限公司</v>
      </c>
      <c r="E284" s="12" t="str">
        <v>B站</v>
      </c>
      <c r="G284" s="19" t="str">
        <v>上海无堂网络科技有限公司</v>
      </c>
      <c r="J284" s="19" t="str">
        <v>花西子-唇纱礼盒-达人-带货起飞</v>
      </c>
      <c r="K284" s="19">
        <v>1552368</v>
      </c>
      <c r="W284" s="20" t="str">
        <v>一样（谢炀）</v>
      </c>
    </row>
    <row r="285">
      <c r="A285" s="16" t="str">
        <v>站外</v>
      </c>
      <c r="B285" s="21" t="str">
        <v>B站起飞加热</v>
      </c>
      <c r="C285" s="22" t="str">
        <v>杭州宜格化妆品有限公司</v>
      </c>
      <c r="E285" s="12" t="str">
        <v>B站</v>
      </c>
      <c r="G285" s="19" t="str">
        <v>上海无堂网络科技有限公司</v>
      </c>
      <c r="J285" s="19" t="str">
        <v>花西子-唇纱礼盒-混剪-带货起飞</v>
      </c>
      <c r="K285" s="19">
        <v>1552369</v>
      </c>
      <c r="W285" s="20" t="str">
        <v>一样（谢炀）</v>
      </c>
    </row>
    <row r="286">
      <c r="A286" s="16" t="str">
        <v>站外</v>
      </c>
      <c r="B286" s="21" t="str">
        <v>B站起飞加热</v>
      </c>
      <c r="C286" s="22" t="str">
        <v>杭州宜格化妆品有限公司</v>
      </c>
      <c r="E286" s="12" t="str">
        <v>B站</v>
      </c>
      <c r="G286" s="19" t="str">
        <v>上海无堂网络科技有限公司</v>
      </c>
      <c r="J286" s="19" t="str">
        <v>花西子-同心锁-达人-带货起飞</v>
      </c>
      <c r="K286" s="19">
        <v>1552370</v>
      </c>
      <c r="W286" s="20" t="str">
        <v>一样（谢炀）</v>
      </c>
    </row>
    <row r="287">
      <c r="A287" s="16" t="str">
        <v>站外</v>
      </c>
      <c r="B287" s="26" t="str">
        <v>千川信息流</v>
      </c>
      <c r="C287" s="22" t="str">
        <v>杭州宜格化妆品有限公司</v>
      </c>
      <c r="E287" s="12" t="str">
        <v>抖音</v>
      </c>
      <c r="G287" s="25" t="str">
        <v>上海博观瑞思传媒科技有限公司</v>
      </c>
      <c r="J287" s="25" t="str">
        <v>博观-直播-官号3-品牌</v>
      </c>
      <c r="K287" s="25" t="str">
        <v>1733226975596551</v>
      </c>
      <c r="W287" s="22" t="str">
        <v>兴泉（韩兴泉）</v>
      </c>
    </row>
    <row r="288">
      <c r="A288" s="16" t="str">
        <v>站外</v>
      </c>
      <c r="B288" s="26" t="str">
        <v>千川信息流</v>
      </c>
      <c r="C288" s="22" t="str">
        <v>杭州宜格化妆品有限公司</v>
      </c>
      <c r="E288" s="12" t="str">
        <v>抖音</v>
      </c>
      <c r="G288" s="25" t="str">
        <v>上海博观瑞思传媒科技有限公司</v>
      </c>
      <c r="J288" s="25" t="str">
        <v>博观8户-花西子-达播-田恬</v>
      </c>
      <c r="K288" s="25" t="str">
        <v>1766774482023437</v>
      </c>
      <c r="W288" s="22" t="str">
        <v>兴泉（韩兴泉）</v>
      </c>
    </row>
    <row r="289">
      <c r="A289" s="16" t="str">
        <v>站外</v>
      </c>
      <c r="B289" s="21" t="str">
        <v>B站起飞加热</v>
      </c>
      <c r="C289" s="22" t="str">
        <v>杭州宜格化妆品有限公司</v>
      </c>
      <c r="E289" s="12" t="str">
        <v>B站</v>
      </c>
      <c r="G289" s="19" t="str">
        <v>杭州掘木科技有限公司</v>
      </c>
      <c r="J289" s="25" t="str">
        <v>花西子礼盒-带货起飞</v>
      </c>
      <c r="K289" s="25">
        <v>1767279</v>
      </c>
      <c r="W289" s="20" t="str">
        <v>一样（谢炀）</v>
      </c>
    </row>
    <row r="290">
      <c r="A290" s="16" t="str">
        <v>站外</v>
      </c>
      <c r="B290" s="21" t="str">
        <v>B站起飞加热</v>
      </c>
      <c r="C290" s="22" t="str">
        <v>杭州宜格化妆品有限公司</v>
      </c>
      <c r="E290" s="12" t="str">
        <v>B站</v>
      </c>
      <c r="G290" s="19" t="str">
        <v>杭州掘木科技有限公司</v>
      </c>
      <c r="J290" s="25" t="str">
        <v>花西子礼盒1-带货起飞</v>
      </c>
      <c r="K290" s="25">
        <v>1767362</v>
      </c>
      <c r="W290" s="20" t="str">
        <v>一样（谢炀）</v>
      </c>
    </row>
    <row r="291">
      <c r="A291" s="16" t="str">
        <v>站外</v>
      </c>
      <c r="B291" s="26" t="str">
        <v>千川信息流</v>
      </c>
      <c r="C291" s="22" t="str">
        <v>杭州宜格化妆品有限公司</v>
      </c>
      <c r="E291" s="12" t="str">
        <v>抖音</v>
      </c>
      <c r="G291" s="16" t="str">
        <v>上海剧星传媒股份有限公司(VEN00363)</v>
      </c>
      <c r="J291" s="20" t="str">
        <v>剧星-图文-引流</v>
      </c>
      <c r="K291" s="25" t="str">
        <v>1748174727745550</v>
      </c>
      <c r="W291" s="22" t="str">
        <v>兴泉（韩兴泉）</v>
      </c>
    </row>
    <row r="292">
      <c r="A292" s="16" t="str">
        <v>站外</v>
      </c>
      <c r="B292" s="26" t="str">
        <v>千川信息流</v>
      </c>
      <c r="C292" s="22" t="str">
        <v>杭州宜格化妆品有限公司</v>
      </c>
      <c r="E292" s="12" t="str">
        <v>抖音</v>
      </c>
      <c r="G292" s="19" t="str">
        <v>上海剧星传媒股份有限公司(VEN00363)</v>
      </c>
      <c r="J292" s="20" t="str">
        <v>剧星-图文3-引流</v>
      </c>
      <c r="K292" s="20" t="str">
        <v>1751708694640653</v>
      </c>
      <c r="W292" s="22" t="str">
        <v>兴泉（韩兴泉）</v>
      </c>
    </row>
  </sheetData>
  <conditionalFormatting sqref="K1:K1048576">
    <cfRule dxfId="0" priority="2" stopIfTrue="true" type="duplicateValues"/>
  </conditionalFormatting>
  <hyperlinks>
    <hyperlink ref="K19" display="gancao@yige-group.com" r:id="rId1"/>
    <hyperlink ref="K26" display="huaxizi_xinxliuad8@163.com" r:id="rId2"/>
    <hyperlink ref="I15" display="https://ad.bilibili.com/#/home" r:id="rId3"/>
    <hyperlink ref="K212" display="huaxizicai2@eastgarden.com" r:id="rId4"/>
    <hyperlink ref="K8" display="huaxizi_xhongshu2@163.com" r:id="rId5"/>
    <hyperlink ref="I19" display="https://ad.bilibili.com/#/home" r:id="rId6"/>
    <hyperlink ref="J23" display="huaxizi_xinxiliuad4@163.com" r:id="rId7"/>
    <hyperlink ref="J26" display="huaxizi_xinxliuad8@163.com" r:id="rId8"/>
    <hyperlink ref="I16" display="https://ad.bilibili.com/#/home" r:id="rId9"/>
    <hyperlink ref="K18" display="kongqing@yige-group.com" r:id="rId10"/>
    <hyperlink ref="J24" display="huaxizi_xinxliuad5@163.com" r:id="rId11"/>
    <hyperlink ref="K211" display="huaxizicai1@eastgarden.com" r:id="rId12"/>
    <hyperlink ref="I20" display="https://ad.weibo.com/" r:id="rId13"/>
    <hyperlink ref="J28" display="joy.du@mindshareworld.com" r:id="rId14"/>
    <hyperlink ref="I24" display="https://ad.oceanengine.com/" r:id="rId15"/>
    <hyperlink ref="I17" display="https://ad.bilibili.com/#/home" r:id="rId16"/>
    <hyperlink ref="J22" display="huaxizi_xinxiliuad@163.com" r:id="rId17"/>
    <hyperlink ref="K213" display="hxzcaizhuang10@eastgarden.com" r:id="rId18"/>
    <hyperlink ref="I22" display="https://ad.oceanengine.com/" r:id="rId19"/>
    <hyperlink ref="I4" display="https://business.oceanengine.com/site/promotion?#/account" r:id="rId20"/>
    <hyperlink ref="I33" display="https://niu.e.kuaishou.com/manage?__accountId__=13304454" r:id="rId21"/>
    <hyperlink ref="I14" display="https://ad.bilibili.com/#/home" r:id="rId22"/>
    <hyperlink ref="K214" display="yige18072932996@163.com" r:id="rId23"/>
    <hyperlink ref="I28" display="https://ad.oceanengine.com/" r:id="rId24"/>
    <hyperlink ref="J249" display="xhm_huaxizi02@163.com" r:id="rId25"/>
    <hyperlink ref="K17" display="qinghe@zhimei.us" r:id="rId26"/>
    <hyperlink ref="K72" display="sd_xx@visionstar.cn" r:id="rId27"/>
    <hyperlink ref="J214" display="yige18072932996@163.com" r:id="rId28"/>
    <hyperlink ref="J212" display="huaxizicai2@eastgarden.com" r:id="rId29"/>
    <hyperlink ref="I23" display="https://ad.oceanengine.com/" r:id="rId30"/>
    <hyperlink ref="J25" display="huaxizi_xinxliuad7@163.com" r:id="rId31"/>
    <hyperlink ref="K24" display="huaxizi_xinxliuad5@163.com" r:id="rId32"/>
    <hyperlink ref="K14" display="hongjin@yige-group.com" r:id="rId33"/>
    <hyperlink ref="J27" display="huaxizi_xinxliuad9@163.com" r:id="rId34"/>
    <hyperlink ref="K27" display="huaxizi_xinxliuad9@163.com" r:id="rId35"/>
    <hyperlink ref="K30" display="adserving_ud0754@weibo.com" r:id="rId36"/>
    <hyperlink ref="K23" display="huaxizi_xinxiliuad4@163.com" r:id="rId37"/>
    <hyperlink ref="I32" display="https://ad.e.kuaishou.com/manage?__accountId__=14861051" r:id="rId38"/>
    <hyperlink ref="J211" display="huaxizicai1@eastgarden.com" r:id="rId39"/>
    <hyperlink ref="I31" display="https://cas.baidu.com/?tpl=www2&amp;fromu=http%3A%2F%2Fwww2.b...ommon%2Fappinit.ajax" r:id="rId40"/>
    <hyperlink ref="I27" display="https://ad.oceanengine.com/" r:id="rId41"/>
    <hyperlink ref="K16" display="tangli@yige.us" r:id="rId42"/>
    <hyperlink ref="K25" display="huaxizi_xinxliuad7@163.com" r:id="rId43"/>
    <hyperlink ref="K22" display="huaxizi_xinxiliuad@163.com" r:id="rId44"/>
    <hyperlink ref="J30" display="adserving_ud0754@weibo.com" r:id="rId45"/>
    <hyperlink ref="I26" display="https://ad.oceanengine.com/" r:id="rId46"/>
    <hyperlink ref="I29" display="https://unidesk.taobao.com/index.html" r:id="rId47"/>
    <hyperlink ref="I34" display="https://ad.qq.com/atlas/23959502/index" r:id="rId48"/>
    <hyperlink ref="I30" display="https://ad.weibo.com/promote2/advertisements?customer_id=6336556296" r:id="rId49"/>
    <hyperlink ref="I25" display="https://ad.oceanengine.com/" r:id="rId50"/>
    <hyperlink ref="I18" display="https://ad.bilibili.com/#/home" r:id="rId51"/>
    <hyperlink ref="K4" display="huaxizi_xinxliuad2@163.com" r:id="rId52"/>
    <hyperlink ref="J213" display="hxzcaizhuang10@eastgarden.com" r:id="rId53"/>
    <hyperlink ref="K15" display="wanwan@yige-group.com" r:id="rId54"/>
    <hyperlink ref="K28" display="joy.du@mindshareworld.com" r:id="rId55"/>
    <hyperlink ref="I3" display="https://partner.kaola.com/index" r:id="rId56"/>
  </hyperlinks>
  <picture r:id="rId57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4"/>
    <col collapsed="false" customWidth="true" hidden="false" max="2" min="2" style="0" width="44"/>
    <col collapsed="false" customWidth="true" hidden="false" max="3" min="3" style="0" width="39"/>
    <col collapsed="false" customWidth="true" hidden="false" max="4" min="4" style="0" width="31"/>
    <col collapsed="false" customWidth="true" hidden="false" max="5" min="5" style="0" width="44"/>
    <col collapsed="false" customWidth="true" hidden="false" max="6" min="6" style="0" width="41"/>
    <col collapsed="false" customWidth="true" hidden="false" max="7" min="7" style="0" width="39"/>
    <col collapsed="false" customWidth="true" hidden="false" max="8" min="8" style="0" width="26"/>
    <col collapsed="false" customWidth="true" hidden="true" max="8" min="8" style="0" width="26"/>
    <col collapsed="false" customWidth="true" hidden="false" max="9" min="9" style="0" width="34"/>
    <col collapsed="false" customWidth="true" hidden="true" max="9" min="9" style="0" width="34"/>
    <col collapsed="false" customWidth="true" hidden="false" max="10" min="10" style="0" width="41"/>
    <col collapsed="false" customWidth="true" hidden="true" max="10" min="10" style="0" width="41"/>
    <col collapsed="false" customWidth="true" hidden="false" max="11" min="11" style="0" width="34"/>
    <col collapsed="false" customWidth="true" hidden="true" max="11" min="11" style="0" width="34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24"/>
    <col collapsed="false" customWidth="true" hidden="false" max="15" min="15" style="0" width="21"/>
    <col collapsed="false" customWidth="true" hidden="false" max="16" min="16" style="0" width="23"/>
    <col collapsed="false" customWidth="true" hidden="false" max="17" min="17" style="0" width="24"/>
    <col collapsed="false" customWidth="true" hidden="false" max="18" min="18" style="0" width="28"/>
    <col collapsed="false" customWidth="true" hidden="false" max="19" min="19" style="0" width="38"/>
    <col collapsed="false" customWidth="true" hidden="false" max="20" min="20" style="0" width="38"/>
    <col collapsed="false" customWidth="true" hidden="false" max="21" min="21" style="0" width="38"/>
    <col collapsed="false" customWidth="true" hidden="false" max="22" min="22" style="0" width="38"/>
    <col collapsed="false" customWidth="true" hidden="false" max="24" min="24" style="0" width="28"/>
    <col collapsed="false" customWidth="true" hidden="false" max="25" min="25" style="0" width="14"/>
    <col collapsed="false" customWidth="true" hidden="false" max="26" min="26" style="0" width="14"/>
  </cols>
  <sheetData>
    <row r="1">
      <c r="A1" s="77"/>
      <c r="B1" s="77" t="str">
        <v>公司主体</v>
      </c>
      <c r="C1" s="77" t="str">
        <v>投放平台</v>
      </c>
      <c r="D1" s="77" t="str">
        <v>投放方式</v>
      </c>
      <c r="E1" s="77" t="str">
        <v>平台对合作应供应商名称</v>
      </c>
      <c r="F1" s="77" t="str">
        <v>账号</v>
      </c>
      <c r="G1" s="77" t="str">
        <v>编码</v>
      </c>
      <c r="H1" s="77" t="str">
        <v>是否按消耗开票</v>
      </c>
      <c r="I1" s="77" t="str">
        <v>是否为充值账户</v>
      </c>
      <c r="J1" s="77" t="str">
        <v>是否能取到充值/消耗明细</v>
      </c>
      <c r="K1" s="77" t="str">
        <v>是否存在充值赠送金</v>
      </c>
      <c r="L1" s="77" t="str">
        <v>是否存在返利</v>
      </c>
      <c r="M1" s="77" t="str">
        <v>是否通过此账户申请开票</v>
      </c>
      <c r="N1" s="77" t="str">
        <v>使用中心</v>
      </c>
      <c r="O1" s="77" t="str">
        <v>使用二级部门</v>
      </c>
      <c r="P1" s="77" t="str">
        <v>使用三级部门</v>
      </c>
      <c r="Q1" s="77" t="str">
        <v>业务对接人</v>
      </c>
      <c r="R1" s="77" t="str">
        <v>财务对接人</v>
      </c>
    </row>
    <row r="2">
      <c r="A2" s="71"/>
      <c r="B2" s="71" t="str">
        <v>杭州宜格化妆品有限公司</v>
      </c>
      <c r="C2" s="11" t="str">
        <v>天猫</v>
      </c>
      <c r="D2" s="71" t="str">
        <v>自投</v>
      </c>
      <c r="E2" s="71" t="str">
        <v>杭州阿里妈妈软件服务有限公司</v>
      </c>
      <c r="F2" s="11" t="str">
        <v>天猫花西子旗舰店-直通车</v>
      </c>
      <c r="G2" s="71" t="str">
        <v>DP015-ZTC</v>
      </c>
      <c r="H2" s="71"/>
      <c r="I2" s="71" t="str">
        <v>是</v>
      </c>
      <c r="J2" s="71" t="str">
        <v>是</v>
      </c>
      <c r="K2" s="71" t="str">
        <v>否</v>
      </c>
      <c r="L2" s="71" t="str">
        <v>否</v>
      </c>
      <c r="M2" s="71" t="str">
        <v>是</v>
      </c>
      <c r="N2" s="71" t="str">
        <v>品牌运营中心</v>
      </c>
      <c r="O2" s="71" t="str">
        <v>广告投放部</v>
      </c>
      <c r="P2" s="71" t="str">
        <v>平台电商部</v>
      </c>
      <c r="Q2" s="22" t="str">
        <v>盐首（刘如敏）</v>
      </c>
      <c r="R2" s="71" t="str">
        <v>贝果</v>
      </c>
    </row>
    <row r="3">
      <c r="A3" s="71"/>
      <c r="B3" s="71" t="str">
        <v>杭州宜格化妆品有限公司</v>
      </c>
      <c r="C3" s="11" t="str">
        <v>天猫</v>
      </c>
      <c r="D3" s="71" t="str">
        <v>自投</v>
      </c>
      <c r="E3" s="71" t="str">
        <v>杭州阿里妈妈软件服务有限公司</v>
      </c>
      <c r="F3" s="11" t="str">
        <v>天猫花西子旗舰店-引力魔方</v>
      </c>
      <c r="G3" s="71" t="str">
        <v>DP015-YLMF</v>
      </c>
      <c r="H3" s="71"/>
      <c r="I3" s="71" t="str">
        <v>是</v>
      </c>
      <c r="J3" s="71" t="str">
        <v>是</v>
      </c>
      <c r="K3" s="71" t="str">
        <v>否</v>
      </c>
      <c r="L3" s="71" t="str">
        <v>否</v>
      </c>
      <c r="M3" s="71" t="str">
        <v>是</v>
      </c>
      <c r="N3" s="71" t="str">
        <v>品牌运营中心</v>
      </c>
      <c r="O3" s="71" t="str">
        <v>广告投放部</v>
      </c>
      <c r="P3" s="71" t="str">
        <v>平台电商部</v>
      </c>
      <c r="Q3" s="22" t="str">
        <v>盐首（刘如敏）</v>
      </c>
      <c r="R3" s="71" t="str">
        <v>贝果</v>
      </c>
    </row>
    <row r="4">
      <c r="A4" s="71"/>
      <c r="B4" s="71" t="str">
        <v>杭州宜格化妆品有限公司</v>
      </c>
      <c r="C4" s="11" t="str">
        <v>天猫</v>
      </c>
      <c r="D4" s="71" t="str">
        <v>自投</v>
      </c>
      <c r="E4" s="71" t="str">
        <v>浙江阿里巴巴通信技术有限公司</v>
      </c>
      <c r="F4" s="11" t="str">
        <v>天猫花西子旗舰店-万相台</v>
      </c>
      <c r="G4" s="71" t="str">
        <v>DP015-WXT</v>
      </c>
      <c r="H4" s="71"/>
      <c r="I4" s="71" t="str">
        <v>是</v>
      </c>
      <c r="J4" s="71" t="str">
        <v>是</v>
      </c>
      <c r="K4" s="71" t="str">
        <v>否</v>
      </c>
      <c r="L4" s="71" t="str">
        <v>否</v>
      </c>
      <c r="M4" s="71" t="str">
        <v>是</v>
      </c>
      <c r="N4" s="71" t="str">
        <v>品牌运营中心</v>
      </c>
      <c r="O4" s="71" t="str">
        <v>广告投放部</v>
      </c>
      <c r="P4" s="71" t="str">
        <v>平台电商部</v>
      </c>
      <c r="Q4" s="22" t="str">
        <v>洛竹（程铭）</v>
      </c>
      <c r="R4" s="71" t="str">
        <v>贝果</v>
      </c>
    </row>
    <row r="5">
      <c r="A5" s="24" t="str">
        <v>淘宝匠泽-直通车</v>
      </c>
      <c r="B5" s="71" t="str">
        <v>杭州匠泽电子商务有限公司</v>
      </c>
      <c r="C5" s="11" t="str">
        <v>天猫</v>
      </c>
      <c r="D5" s="71" t="str">
        <v>自投</v>
      </c>
      <c r="E5" s="71" t="str">
        <v>杭州阿里妈妈软件服务有限公司</v>
      </c>
      <c r="F5" s="11" t="str">
        <v>天猫花西子匠泽店-直通车</v>
      </c>
      <c r="G5" s="71" t="str">
        <v>DP001-ZTC</v>
      </c>
      <c r="H5" s="71"/>
      <c r="I5" s="71" t="str">
        <v>是</v>
      </c>
      <c r="J5" s="71" t="str">
        <v>是</v>
      </c>
      <c r="K5" s="71" t="str">
        <v>否</v>
      </c>
      <c r="L5" s="71" t="str">
        <v>否</v>
      </c>
      <c r="M5" s="71" t="str">
        <v>是</v>
      </c>
      <c r="N5" s="71" t="str">
        <v>品牌运营中心</v>
      </c>
      <c r="O5" s="71" t="str">
        <v>广告投放部</v>
      </c>
      <c r="P5" s="71" t="str">
        <v>平台电商部</v>
      </c>
      <c r="Q5" s="22" t="str">
        <v>盐首（刘如敏）</v>
      </c>
      <c r="R5" s="71" t="str">
        <v>贝果</v>
      </c>
    </row>
    <row r="6">
      <c r="A6" s="24" t="str">
        <v>淘宝匠泽-引力魔方</v>
      </c>
      <c r="B6" s="71" t="str">
        <v>杭州匠泽电子商务有限公司</v>
      </c>
      <c r="C6" s="11" t="str">
        <v>天猫</v>
      </c>
      <c r="D6" s="71" t="str">
        <v>自投</v>
      </c>
      <c r="E6" s="71" t="str">
        <v>杭州阿里妈妈软件服务有限公司</v>
      </c>
      <c r="F6" s="11" t="str">
        <v>天猫花西子匠泽店-引力魔方</v>
      </c>
      <c r="G6" s="22" t="str">
        <v>DP001-YLMF</v>
      </c>
      <c r="H6" s="71"/>
      <c r="I6" s="71" t="str">
        <v>是</v>
      </c>
      <c r="J6" s="71" t="str">
        <v>是</v>
      </c>
      <c r="K6" s="71" t="str">
        <v>否</v>
      </c>
      <c r="L6" s="71" t="str">
        <v>否</v>
      </c>
      <c r="M6" s="71" t="str">
        <v>是</v>
      </c>
      <c r="N6" s="71" t="str">
        <v>品牌运营中心</v>
      </c>
      <c r="O6" s="71" t="str">
        <v>广告投放部</v>
      </c>
      <c r="P6" s="71" t="str">
        <v>平台电商部</v>
      </c>
      <c r="Q6" s="22" t="str">
        <v>盐首（刘如敏）</v>
      </c>
      <c r="R6" s="71" t="str">
        <v>贝果</v>
      </c>
    </row>
    <row r="7">
      <c r="A7" s="71"/>
      <c r="B7" s="71" t="str">
        <v>杭州匠泽电子商务有限公司</v>
      </c>
      <c r="C7" s="11" t="str">
        <v>天猫</v>
      </c>
      <c r="D7" s="71" t="str">
        <v>自投</v>
      </c>
      <c r="E7" s="71" t="str">
        <v>浙江阿里巴巴通信技术有限公司</v>
      </c>
      <c r="F7" s="11" t="str">
        <v>天猫花西子匠泽店-万相台</v>
      </c>
      <c r="G7" s="22" t="str">
        <v>DP001-WXT</v>
      </c>
      <c r="H7" s="71"/>
      <c r="I7" s="71" t="str">
        <v>是</v>
      </c>
      <c r="J7" s="71" t="str">
        <v>是</v>
      </c>
      <c r="K7" s="71" t="str">
        <v>否</v>
      </c>
      <c r="L7" s="71" t="str">
        <v>否</v>
      </c>
      <c r="M7" s="71" t="str">
        <v>是</v>
      </c>
      <c r="N7" s="71" t="str">
        <v>品牌运营中心</v>
      </c>
      <c r="O7" s="71" t="str">
        <v>广告投放部</v>
      </c>
      <c r="P7" s="71" t="str">
        <v>平台电商部</v>
      </c>
      <c r="Q7" s="22" t="str">
        <v>盐首（刘如敏）</v>
      </c>
      <c r="R7" s="71" t="str">
        <v>贝果</v>
      </c>
    </row>
    <row r="8">
      <c r="A8" s="78"/>
      <c r="B8" s="78" t="str">
        <v>杭州宜格化妆品有限公司</v>
      </c>
      <c r="C8" s="48" t="str">
        <v>天猫</v>
      </c>
      <c r="D8" s="78" t="str">
        <v>自投</v>
      </c>
      <c r="E8" s="78" t="str">
        <v>杭州阿里妈妈软件服务有限公司</v>
      </c>
      <c r="F8" s="48" t="str">
        <v>天猫花西子旗舰店-淘宝客</v>
      </c>
      <c r="G8" s="78" t="str">
        <v>DP015-TBK</v>
      </c>
      <c r="H8" s="78"/>
      <c r="I8" s="78" t="str">
        <v>是</v>
      </c>
      <c r="J8" s="78" t="str">
        <v>是</v>
      </c>
      <c r="K8" s="78" t="str">
        <v>否</v>
      </c>
      <c r="L8" s="78" t="str">
        <v>否</v>
      </c>
      <c r="M8" s="78" t="str">
        <v>是</v>
      </c>
      <c r="N8" s="78"/>
      <c r="O8" s="78"/>
      <c r="P8" s="78"/>
      <c r="Q8" s="22" t="str">
        <v>林胖（林玲）</v>
      </c>
      <c r="R8" s="78"/>
    </row>
    <row customHeight="true" ht="19" r="9">
      <c r="A9" s="78"/>
      <c r="B9" s="78" t="str">
        <v>杭州匠泽电子商务有限公司</v>
      </c>
      <c r="C9" s="48" t="str">
        <v>天猫</v>
      </c>
      <c r="D9" s="78" t="str">
        <v>自投</v>
      </c>
      <c r="E9" s="78" t="str">
        <v>杭州阿里妈妈软件服务有限公司</v>
      </c>
      <c r="F9" s="48" t="str">
        <v>天猫花西子匠泽店-淘宝客</v>
      </c>
      <c r="G9" s="78" t="str">
        <v>DP001-TBK</v>
      </c>
      <c r="H9" s="78"/>
      <c r="I9" s="78" t="str">
        <v>是</v>
      </c>
      <c r="J9" s="78" t="str">
        <v>是</v>
      </c>
      <c r="K9" s="78" t="str">
        <v>否</v>
      </c>
      <c r="L9" s="78" t="str">
        <v>否</v>
      </c>
      <c r="M9" s="78" t="str">
        <v>是</v>
      </c>
      <c r="N9" s="78"/>
      <c r="O9" s="78"/>
      <c r="P9" s="78"/>
      <c r="Q9" s="22" t="str">
        <v>林胖（林玲）</v>
      </c>
      <c r="R9" s="78"/>
    </row>
    <row r="10">
      <c r="A10" s="71"/>
      <c r="B10" s="71" t="str">
        <v>杭州匠泽电子商务有限公司</v>
      </c>
      <c r="C10" s="71" t="str">
        <v>京东</v>
      </c>
      <c r="D10" s="71" t="str">
        <v>自投</v>
      </c>
      <c r="E10" s="71" t="str">
        <v>重庆京东海嘉电子商务有限公司</v>
      </c>
      <c r="F10" s="22" t="str">
        <v>京东花西子自营店</v>
      </c>
      <c r="G10" s="22" t="str">
        <v>DP033-JDZY</v>
      </c>
      <c r="H10" s="71"/>
      <c r="I10" s="71" t="str">
        <v>是</v>
      </c>
      <c r="J10" s="71" t="str">
        <v>是</v>
      </c>
      <c r="K10" s="71" t="str">
        <v>否</v>
      </c>
      <c r="L10" s="71" t="str">
        <v>否</v>
      </c>
      <c r="M10" s="71" t="str">
        <v>是</v>
      </c>
      <c r="N10" s="71" t="str">
        <v>品牌运营中心</v>
      </c>
      <c r="O10" s="71" t="str">
        <v>广告投放部</v>
      </c>
      <c r="P10" s="71" t="str">
        <v>平台电商部</v>
      </c>
      <c r="Q10" s="22" t="str">
        <v>大阳（徐庄南）</v>
      </c>
      <c r="R10" s="71" t="str">
        <v>贝果</v>
      </c>
    </row>
    <row r="11">
      <c r="A11" s="71"/>
      <c r="B11" s="71" t="str">
        <v>杭州匠泽电子商务有限公司</v>
      </c>
      <c r="C11" s="71" t="str">
        <v>京东</v>
      </c>
      <c r="D11" s="71" t="str">
        <v>自投</v>
      </c>
      <c r="E11" s="71" t="str">
        <v>重庆京东海嘉电子商务有限公司</v>
      </c>
      <c r="F11" s="22" t="str">
        <v>京东花西子旗舰店</v>
      </c>
      <c r="G11" s="22" t="str">
        <v>DP002-JD</v>
      </c>
      <c r="H11" s="71"/>
      <c r="I11" s="71" t="str">
        <v>是</v>
      </c>
      <c r="J11" s="71" t="str">
        <v>是</v>
      </c>
      <c r="K11" s="71" t="str">
        <v>否</v>
      </c>
      <c r="L11" s="71" t="str">
        <v>否</v>
      </c>
      <c r="M11" s="71" t="str">
        <v>是</v>
      </c>
      <c r="N11" s="71" t="str">
        <v>品牌运营中心</v>
      </c>
      <c r="O11" s="71" t="str">
        <v>广告投放部</v>
      </c>
      <c r="P11" s="71" t="str">
        <v>平台电商部</v>
      </c>
      <c r="Q11" s="22" t="str">
        <v>大阳（徐庄南）</v>
      </c>
      <c r="R11" s="71" t="str">
        <v>贝果</v>
      </c>
    </row>
    <row r="12">
      <c r="A12" s="71"/>
      <c r="B12" s="71" t="str">
        <v>杭州匠泽电子商务有限公司</v>
      </c>
      <c r="C12" s="71" t="str">
        <v>唯品会</v>
      </c>
      <c r="D12" s="71" t="str">
        <v>自投</v>
      </c>
      <c r="E12" s="71" t="str">
        <v>广州海珠品唯信息服务有限公司</v>
      </c>
      <c r="F12" s="22" t="str">
        <v>唯品会花西子自营店</v>
      </c>
      <c r="G12" s="22" t="str">
        <v>DP029-WPH</v>
      </c>
      <c r="H12" s="71"/>
      <c r="I12" s="71" t="str">
        <v>是</v>
      </c>
      <c r="J12" s="71" t="str">
        <v>是</v>
      </c>
      <c r="K12" s="71" t="str">
        <v>否</v>
      </c>
      <c r="L12" s="71" t="str">
        <v>是</v>
      </c>
      <c r="M12" s="71" t="str">
        <v>是</v>
      </c>
      <c r="N12" s="71" t="str">
        <v>品牌运营中心</v>
      </c>
      <c r="O12" s="71" t="str">
        <v>广告投放部</v>
      </c>
      <c r="P12" s="71" t="str">
        <v>平台电商部</v>
      </c>
      <c r="Q12" s="22" t="str">
        <v>立立夏（武雨环）</v>
      </c>
      <c r="R12" s="71" t="str">
        <v>贝果</v>
      </c>
    </row>
    <row customHeight="true" ht="19" r="13">
      <c r="A13" s="71"/>
      <c r="B13" s="71" t="str">
        <v>杭州匠泽电子商务有限公司</v>
      </c>
      <c r="C13" s="71" t="str">
        <v>拼多多</v>
      </c>
      <c r="D13" s="71" t="str">
        <v>自投</v>
      </c>
      <c r="E13" s="71" t="str">
        <v>上海寻梦信息技术有限公司</v>
      </c>
      <c r="F13" s="3" t="str">
        <v>拼多多花西子专卖店</v>
      </c>
      <c r="G13" s="22" t="str">
        <v>DP011-PDD</v>
      </c>
      <c r="H13" s="71"/>
      <c r="I13" s="71" t="str">
        <v>是</v>
      </c>
      <c r="J13" s="71" t="str">
        <v>是</v>
      </c>
      <c r="K13" s="3"/>
      <c r="L13" s="3"/>
      <c r="M13" s="73"/>
      <c r="N13" s="73"/>
      <c r="O13" s="73"/>
      <c r="P13" s="73"/>
      <c r="Q13" s="22" t="str">
        <v>鹿其（俞麟峰）</v>
      </c>
      <c r="R13" s="73"/>
    </row>
    <row customHeight="true" ht="19" r="14">
      <c r="A14" s="71"/>
      <c r="B14" s="71" t="str">
        <v>杭州匠泽电子商务有限公司</v>
      </c>
      <c r="C14" s="71" t="str">
        <v>拼多多</v>
      </c>
      <c r="D14" s="71" t="str">
        <v>自投</v>
      </c>
      <c r="E14" s="71" t="str">
        <v>上海寻梦信息技术有限公司</v>
      </c>
      <c r="F14" s="72" t="str">
        <v>拼多多花西子美妆专卖店</v>
      </c>
      <c r="G14" s="22" t="str">
        <v>DP069-PDD</v>
      </c>
      <c r="H14" s="71"/>
      <c r="I14" s="71" t="str">
        <v>是</v>
      </c>
      <c r="J14" s="71" t="str">
        <v>是</v>
      </c>
      <c r="K14" s="3"/>
      <c r="L14" s="3"/>
      <c r="M14" s="73"/>
      <c r="N14" s="73"/>
      <c r="O14" s="73"/>
      <c r="P14" s="73"/>
      <c r="Q14" s="22" t="str">
        <v>鹿其（俞麟峰）</v>
      </c>
      <c r="R14" s="73"/>
    </row>
    <row customHeight="true" ht="19" r="15">
      <c r="A15" s="71"/>
      <c r="B15" s="71" t="str">
        <v>杭州匠泽电子商务有限公司</v>
      </c>
      <c r="C15" s="71" t="str">
        <v>拼多多</v>
      </c>
      <c r="D15" s="71" t="str">
        <v>自投</v>
      </c>
      <c r="E15" s="71" t="str">
        <v>上海寻梦信息技术有限公司</v>
      </c>
      <c r="F15" s="72" t="str">
        <v>拼多多花西子美妆旗舰店</v>
      </c>
      <c r="G15" s="22" t="str">
        <v>DP071-PDD</v>
      </c>
      <c r="H15" s="71"/>
      <c r="I15" s="71" t="str">
        <v>是</v>
      </c>
      <c r="J15" s="71" t="str">
        <v>是</v>
      </c>
      <c r="K15" s="3"/>
      <c r="L15" s="3"/>
      <c r="M15" s="73"/>
      <c r="N15" s="73"/>
      <c r="O15" s="73"/>
      <c r="P15" s="73"/>
      <c r="Q15" s="22" t="str">
        <v>鹿其（俞麟峰）</v>
      </c>
      <c r="R15" s="73"/>
    </row>
    <row customHeight="true" ht="19" r="16">
      <c r="A16" s="71"/>
      <c r="B16" s="71" t="str">
        <v>杭州匠泽电子商务有限公司</v>
      </c>
      <c r="C16" s="71" t="str">
        <v>拼多多</v>
      </c>
      <c r="D16" s="71" t="str">
        <v>自投</v>
      </c>
      <c r="E16" s="71" t="str">
        <v>上海寻梦信息技术有限公司</v>
      </c>
      <c r="F16" s="72" t="str">
        <v>拼多多花西子匠泽店</v>
      </c>
      <c r="G16" s="22" t="str">
        <v>DP030-PDD</v>
      </c>
      <c r="H16" s="71"/>
      <c r="I16" s="71" t="str">
        <v>是</v>
      </c>
      <c r="J16" s="71" t="str">
        <v>是</v>
      </c>
      <c r="K16" s="3"/>
      <c r="L16" s="3"/>
      <c r="M16" s="73"/>
      <c r="N16" s="73"/>
      <c r="O16" s="73"/>
      <c r="P16" s="73"/>
      <c r="Q16" s="22" t="str">
        <v>鹿其（俞麟峰）</v>
      </c>
      <c r="R16" s="73"/>
    </row>
    <row customHeight="true" ht="19" r="17">
      <c r="A17" s="26" t="str">
        <v>DOU+</v>
      </c>
      <c r="B17" s="67" t="str">
        <v>杭州宜格化妆品有限公司</v>
      </c>
      <c r="C17" s="69" t="str">
        <v>抖音</v>
      </c>
      <c r="D17" s="69" t="str">
        <v>自投</v>
      </c>
      <c r="E17" s="66" t="str">
        <v>湖北巨量引擎科技有限公司</v>
      </c>
      <c r="F17" s="26" t="str">
        <v>戏曲红妆</v>
      </c>
      <c r="G17" s="66" t="str">
        <v>1713571308516366</v>
      </c>
      <c r="H17" s="69"/>
      <c r="I17" s="67" t="str">
        <v>是</v>
      </c>
      <c r="J17" s="67" t="str">
        <v>是</v>
      </c>
      <c r="K17" s="67" t="str">
        <v>否</v>
      </c>
      <c r="L17" s="67" t="str">
        <v>否</v>
      </c>
      <c r="M17" s="67" t="str">
        <v>是</v>
      </c>
      <c r="N17" s="67" t="str">
        <v>品牌运营中心</v>
      </c>
      <c r="O17" s="68" t="str">
        <v>品牌运营中心-广告投放部-内容投放部</v>
      </c>
      <c r="P17" s="68"/>
      <c r="Q17" s="66" t="str">
        <v>空青</v>
      </c>
      <c r="R17" s="69"/>
    </row>
    <row customHeight="true" ht="19" r="18">
      <c r="A18" s="24" t="str">
        <v>抖音官号DOU+</v>
      </c>
      <c r="B18" s="67" t="str">
        <v>杭州宜格化妆品有限公司</v>
      </c>
      <c r="C18" s="69" t="str">
        <v>抖音</v>
      </c>
      <c r="D18" s="69" t="str">
        <v>自投</v>
      </c>
      <c r="E18" s="66" t="str">
        <v>湖北巨量引擎科技有限公司</v>
      </c>
      <c r="F18" s="66" t="str">
        <v>花西子在海外</v>
      </c>
      <c r="G18" s="66" t="str">
        <v>1710588438708239</v>
      </c>
      <c r="I18" s="66" t="str">
        <v>是</v>
      </c>
      <c r="J18" s="66" t="str">
        <v>是</v>
      </c>
      <c r="K18" s="66" t="str">
        <v>否</v>
      </c>
      <c r="L18" s="66" t="str">
        <v>否</v>
      </c>
      <c r="M18" s="67" t="str">
        <v>是</v>
      </c>
      <c r="N18" s="67" t="str">
        <v>品牌运营中心</v>
      </c>
      <c r="O18" s="68" t="str">
        <v>抖音部-内容部-综合账号运营组</v>
      </c>
      <c r="P18" s="68"/>
      <c r="Q18" s="66" t="str">
        <v>南嘉</v>
      </c>
      <c r="R18" s="69"/>
    </row>
    <row customHeight="true" ht="19" r="19">
      <c r="A19" s="20" t="str">
        <v>矩阵号DOU+</v>
      </c>
      <c r="B19" s="67" t="str">
        <v>杭州宜格化妆品有限公司</v>
      </c>
      <c r="C19" s="69" t="str">
        <v>抖音</v>
      </c>
      <c r="D19" s="69" t="str">
        <v>自投</v>
      </c>
      <c r="E19" s="66" t="str">
        <v>湖北巨量引擎科技有限公司</v>
      </c>
      <c r="F19" s="66" t="str">
        <v>花西子妆养旗舰店</v>
      </c>
      <c r="G19" s="66" t="str">
        <v>1689943229305863</v>
      </c>
      <c r="I19" s="66" t="str">
        <v>是</v>
      </c>
      <c r="J19" s="66" t="str">
        <v>是</v>
      </c>
      <c r="K19" s="66" t="str">
        <v>否</v>
      </c>
      <c r="L19" s="66" t="str">
        <v>否</v>
      </c>
      <c r="M19" s="67" t="str">
        <v>是</v>
      </c>
      <c r="N19" s="67" t="str">
        <v>品牌运营中心</v>
      </c>
      <c r="O19" s="68" t="str">
        <v>抖音部-内容部-综合账号运营组</v>
      </c>
      <c r="P19" s="68"/>
      <c r="Q19" s="66" t="str">
        <v>海水</v>
      </c>
      <c r="R19" s="69"/>
    </row>
    <row customHeight="true" ht="19" r="20">
      <c r="A20" s="20" t="str">
        <v>矩阵号DOU+</v>
      </c>
      <c r="B20" s="67" t="str">
        <v>杭州宜格化妆品有限公司</v>
      </c>
      <c r="C20" s="69" t="str">
        <v>抖音</v>
      </c>
      <c r="D20" s="69" t="str">
        <v>自投</v>
      </c>
      <c r="E20" s="66" t="str">
        <v>湖北巨量引擎科技有限公司</v>
      </c>
      <c r="F20" s="66" t="str">
        <v>花西子官方旗舰店底妆精选</v>
      </c>
      <c r="G20" s="66" t="str">
        <v>1673714311187471</v>
      </c>
      <c r="I20" s="66" t="str">
        <v>是</v>
      </c>
      <c r="J20" s="66" t="str">
        <v>是</v>
      </c>
      <c r="K20" s="66" t="str">
        <v>否</v>
      </c>
      <c r="L20" s="66" t="str">
        <v>否</v>
      </c>
      <c r="M20" s="67" t="str">
        <v>是</v>
      </c>
      <c r="N20" s="67" t="str">
        <v>品牌运营中心</v>
      </c>
      <c r="O20" s="68" t="str">
        <v>抖音部-内容部-综合账号运营组</v>
      </c>
      <c r="P20" s="68"/>
      <c r="Q20" s="66" t="str">
        <v>奈雪/晚意</v>
      </c>
      <c r="R20" s="69"/>
    </row>
    <row customHeight="true" ht="19" r="21">
      <c r="A21" s="20" t="str">
        <v>矩阵号DOU+</v>
      </c>
      <c r="B21" s="67" t="str">
        <v>杭州宜格化妆品有限公司</v>
      </c>
      <c r="C21" s="69" t="str">
        <v>抖音</v>
      </c>
      <c r="D21" s="69" t="str">
        <v>自投</v>
      </c>
      <c r="E21" s="66" t="str">
        <v>湖北巨量引擎科技有限公司</v>
      </c>
      <c r="F21" s="66" t="str">
        <v>花西子礼物精选</v>
      </c>
      <c r="G21" s="66" t="str">
        <v>1709154203629639</v>
      </c>
      <c r="I21" s="66" t="str">
        <v>是</v>
      </c>
      <c r="J21" s="66" t="str">
        <v>是</v>
      </c>
      <c r="K21" s="66" t="str">
        <v>否</v>
      </c>
      <c r="L21" s="66" t="str">
        <v>否</v>
      </c>
      <c r="M21" s="67" t="str">
        <v>是</v>
      </c>
      <c r="N21" s="67" t="str">
        <v>品牌运营中心</v>
      </c>
      <c r="O21" s="68" t="str">
        <v>抖音部-内容部-综合账号运营组</v>
      </c>
      <c r="P21" s="68"/>
      <c r="Q21" s="66" t="str">
        <v>奈雪/晚意</v>
      </c>
      <c r="R21" s="69"/>
    </row>
    <row customHeight="true" ht="19" r="22">
      <c r="A22" s="20" t="str">
        <v>矩阵号DOU+</v>
      </c>
      <c r="B22" s="67" t="str">
        <v>杭州宜格化妆品有限公司</v>
      </c>
      <c r="C22" s="69" t="str">
        <v>抖音</v>
      </c>
      <c r="D22" s="69" t="str">
        <v>自投</v>
      </c>
      <c r="E22" s="66" t="str">
        <v>湖北巨量引擎科技有限公司</v>
      </c>
      <c r="F22" s="66" t="str">
        <v>东方有佳人</v>
      </c>
      <c r="G22" s="66" t="str">
        <v>1676272771724301</v>
      </c>
      <c r="I22" s="66" t="str">
        <v>是</v>
      </c>
      <c r="J22" s="66" t="str">
        <v>是</v>
      </c>
      <c r="K22" s="66" t="str">
        <v>否</v>
      </c>
      <c r="L22" s="66" t="str">
        <v>否</v>
      </c>
      <c r="M22" s="67" t="str">
        <v>是</v>
      </c>
      <c r="N22" s="67" t="str">
        <v>品牌运营中心</v>
      </c>
      <c r="O22" s="68" t="str">
        <v>抖音部-内容部-综合账号运营组</v>
      </c>
      <c r="P22" s="68"/>
      <c r="Q22" s="66" t="str">
        <v>海水</v>
      </c>
      <c r="R22" s="69"/>
    </row>
    <row customHeight="true" ht="19" r="23">
      <c r="A23" s="3" t="str">
        <v>千川信息流</v>
      </c>
      <c r="B23" s="3" t="str">
        <v>杭州宜格化妆品有限公司</v>
      </c>
      <c r="C23" s="3" t="str">
        <v>抖音</v>
      </c>
      <c r="D23" s="73" t="str">
        <v>自投</v>
      </c>
      <c r="E23" s="66" t="str">
        <v>湖北巨量引擎科技有限公司</v>
      </c>
      <c r="F23" s="11" t="str" xml:space="preserve">
        <v>花西子-小店随心推 </v>
      </c>
      <c r="G23" s="13" t="str">
        <v>1695646517812232</v>
      </c>
      <c r="H23" s="73"/>
      <c r="I23" s="66" t="str">
        <v>是</v>
      </c>
      <c r="L23" s="71"/>
      <c r="M23" s="71"/>
      <c r="N23" s="74" t="str">
        <v>品牌运营中心</v>
      </c>
      <c r="O23" s="74" t="str">
        <v>渠道运营部</v>
      </c>
      <c r="P23" s="74" t="str">
        <v>抖音部</v>
      </c>
      <c r="Q23" s="74" t="str">
        <v>韩兴泉、奶茶（唐丽）</v>
      </c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69"/>
      <c r="B24" s="3" t="str">
        <v>杭州宜格化妆品有限公司</v>
      </c>
      <c r="C24" s="69" t="str">
        <v>巨量星图</v>
      </c>
      <c r="D24" s="75"/>
      <c r="E24" s="69" t="str">
        <v>武汉巨量星图科技有限公司</v>
      </c>
      <c r="F24" s="76" t="s">
        <v>37</v>
      </c>
      <c r="G24" s="69" t="str">
        <v>1709153479960584</v>
      </c>
      <c r="H24" s="73"/>
      <c r="I24" s="66" t="str">
        <v>是</v>
      </c>
      <c r="J24" s="26"/>
      <c r="K24" s="26"/>
      <c r="L24" s="26"/>
      <c r="M24" s="26"/>
      <c r="N24" s="26"/>
      <c r="O24" s="26"/>
      <c r="P24" s="26"/>
      <c r="Q24" s="26" t="str">
        <v>杜若</v>
      </c>
      <c r="R24" s="26"/>
    </row>
    <row r="25">
      <c r="A25" s="24" t="str">
        <v>DOU+</v>
      </c>
      <c r="B25" s="67" t="str">
        <v>杭州宜格化妆品有限公司</v>
      </c>
      <c r="C25" s="69" t="str">
        <v>抖音</v>
      </c>
      <c r="D25" s="69" t="str">
        <v>自投</v>
      </c>
      <c r="E25" s="66" t="str">
        <v>湖北巨量引擎科技有限公司</v>
      </c>
      <c r="F25" s="70" t="str">
        <v>花西子官方旗舰店</v>
      </c>
      <c r="G25" s="70" t="str">
        <v>1601161499296772</v>
      </c>
      <c r="I25" s="66" t="str">
        <v>是</v>
      </c>
      <c r="J25" s="26"/>
      <c r="K25" s="26"/>
      <c r="L25" s="26"/>
      <c r="M25" s="26"/>
      <c r="N25" s="67" t="str">
        <v>品牌运营中心</v>
      </c>
      <c r="O25" s="68" t="str">
        <v>品牌运营中心-内容电商部-抖音部</v>
      </c>
      <c r="P25" s="68"/>
      <c r="Q25" s="66" t="s">
        <v>36</v>
      </c>
      <c r="R25" s="26"/>
    </row>
    <row customHeight="true" ht="20" r="26">
      <c r="A26" s="24"/>
      <c r="B26" s="67" t="str">
        <v>杭州宜格化妆品有限公司</v>
      </c>
      <c r="C26" s="69" t="str">
        <v>天猫</v>
      </c>
      <c r="D26" s="69" t="str">
        <v>自投</v>
      </c>
      <c r="E26" s="64" t="str">
        <v>杭州阿里妈妈淘联信息技术有限公司</v>
      </c>
      <c r="F26" s="64" t="str">
        <v>天猫花西子旗舰店-星任务</v>
      </c>
      <c r="G26" s="21" t="str">
        <v>DP015-XRW</v>
      </c>
      <c r="I26" s="66"/>
      <c r="J26" s="26"/>
      <c r="K26" s="26"/>
      <c r="L26" s="26"/>
      <c r="M26" s="26"/>
      <c r="N26" s="67"/>
      <c r="O26" s="68"/>
      <c r="P26" s="68"/>
      <c r="Q26" s="26" t="str">
        <v>杜若</v>
      </c>
      <c r="R26" s="26"/>
    </row>
    <row customHeight="true" ht="20" r="27">
      <c r="A27" s="24" t="str">
        <v>权益红包-直播间</v>
      </c>
      <c r="B27" s="67" t="str">
        <v>杭州宜格化妆品有限公司</v>
      </c>
      <c r="C27" s="69" t="str">
        <v>天猫</v>
      </c>
      <c r="D27" s="69" t="str">
        <v>自投</v>
      </c>
      <c r="E27" s="71" t="str">
        <v>杭州阿里妈妈软件服务有限公司</v>
      </c>
      <c r="F27" s="64" t="str">
        <v>天猫花西子旗舰店-权益红包</v>
      </c>
      <c r="G27" s="21" t="str">
        <v>DP015-QYHB</v>
      </c>
      <c r="I27" s="66"/>
      <c r="J27" s="26"/>
      <c r="K27" s="26"/>
      <c r="L27" s="26"/>
      <c r="M27" s="26"/>
      <c r="N27" s="67"/>
      <c r="O27" s="68"/>
      <c r="P27" s="68"/>
      <c r="Q27" s="26" t="str">
        <v>阿泽</v>
      </c>
      <c r="R27" s="26"/>
    </row>
    <row r="28">
      <c r="A28" s="24"/>
      <c r="B28" s="67" t="str">
        <v>杭州宜格化妆品有限公司</v>
      </c>
      <c r="C28" s="69" t="str">
        <v>小红书</v>
      </c>
      <c r="D28" s="69" t="str">
        <v>自投</v>
      </c>
      <c r="E28" s="71" t="str">
        <v>薯一薯二文化传媒（上海）有限公司</v>
      </c>
      <c r="F28" s="64" t="s">
        <v>38</v>
      </c>
      <c r="G28" s="21" t="str">
        <v>55d34272f5a26377d1b784dd</v>
      </c>
      <c r="I28" s="66"/>
      <c r="J28" s="26"/>
      <c r="K28" s="26"/>
      <c r="L28" s="26"/>
      <c r="M28" s="26"/>
      <c r="N28" s="67"/>
      <c r="O28" s="68"/>
      <c r="P28" s="68"/>
      <c r="Q28" s="26"/>
      <c r="R28" s="26"/>
    </row>
  </sheetData>
  <mergeCells>
    <mergeCell ref="O17:P17"/>
    <mergeCell ref="O22:P22"/>
    <mergeCell ref="O21:P21"/>
    <mergeCell ref="O20:P20"/>
    <mergeCell ref="O19:P19"/>
    <mergeCell ref="O18:P18"/>
    <mergeCell ref="O25:P25"/>
  </mergeCells>
  <hyperlinks>
    <hyperlink ref="F24" display="jinyan@zhimei.us" r:id="rId1"/>
    <hyperlink ref="F28" display="yigehzp@163.com" r:id="rId2"/>
  </hyperlinks>
  <picture r:id="rId3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80" t="str">
        <v>字段</v>
      </c>
      <c r="B1" s="80" t="str">
        <v>字段类别</v>
      </c>
      <c r="C1" s="80" t="str">
        <v>字段解释</v>
      </c>
      <c r="D1" s="80" t="str">
        <v>用途与诉求</v>
      </c>
      <c r="E1" s="79" t="str">
        <v>字段名</v>
      </c>
      <c r="F1" s="79" t="str">
        <v>字段长度</v>
      </c>
      <c r="G1" s="79" t="str">
        <v>是否主键</v>
      </c>
      <c r="H1" s="79" t="str">
        <v>字段备注</v>
      </c>
    </row>
    <row r="2">
      <c r="A2" t="str">
        <v>公司主体</v>
      </c>
      <c r="B2" s="26" t="str">
        <v>下拉-单选</v>
      </c>
    </row>
    <row r="3">
      <c r="A3" t="str">
        <v>营销活动</v>
      </c>
      <c r="B3" s="26" t="str">
        <v>下拉-多选</v>
      </c>
    </row>
    <row customHeight="true" ht="19" r="4">
      <c r="A4" t="str">
        <v>公司手机号</v>
      </c>
      <c r="B4" t="str">
        <v>文本</v>
      </c>
    </row>
    <row customHeight="true" ht="19" r="5">
      <c r="A5" s="26" t="str">
        <v>公司邮箱</v>
      </c>
      <c r="B5" t="str">
        <v>文本</v>
      </c>
    </row>
    <row r="6">
      <c r="A6" t="str">
        <v>账户ID</v>
      </c>
      <c r="B6" s="26" t="str">
        <v>文本</v>
      </c>
    </row>
    <row r="7">
      <c r="A7" t="str">
        <v>账户名</v>
      </c>
      <c r="B7" s="26" t="str">
        <v>文本</v>
      </c>
    </row>
    <row customHeight="true" ht="19" r="8">
      <c r="A8" s="26" t="str">
        <v>账户持有人</v>
      </c>
      <c r="B8" t="str">
        <v>文本</v>
      </c>
    </row>
    <row customHeight="true" ht="19" r="9">
      <c r="A9" s="26" t="str">
        <v>供应商名称</v>
      </c>
      <c r="B9" t="str">
        <v>文本</v>
      </c>
    </row>
    <row r="10">
      <c r="A10" t="str">
        <v>投放平台</v>
      </c>
      <c r="B10" s="26" t="str">
        <v>下拉-多选</v>
      </c>
    </row>
    <row r="11">
      <c r="A11" t="str">
        <v>账户状态</v>
      </c>
      <c r="B11" s="26" t="str">
        <v>下拉-单选</v>
      </c>
    </row>
    <row r="12">
      <c r="A12" t="str">
        <v>充值类型</v>
      </c>
      <c r="B12" s="26" t="str">
        <v>下拉-单选</v>
      </c>
    </row>
    <row r="13">
      <c r="A13" t="str">
        <v>是否存在充值赠送</v>
      </c>
      <c r="B13" s="26" t="str">
        <v>下拉-单选</v>
      </c>
    </row>
    <row r="14">
      <c r="A14" t="str">
        <v>是否存在销售返利</v>
      </c>
      <c r="B14" s="26" t="str">
        <v>下拉-单选</v>
      </c>
    </row>
    <row r="15">
      <c r="A15" t="str">
        <v>是否申请开票</v>
      </c>
      <c r="B15" s="26" t="str">
        <v>下拉-单选</v>
      </c>
    </row>
    <row r="16">
      <c r="A16" t="str">
        <v>业务使用人</v>
      </c>
      <c r="B16" t="str">
        <v>下拉-多选</v>
      </c>
    </row>
    <row r="17">
      <c r="A17" t="str">
        <v>财务对接人</v>
      </c>
      <c r="B17" t="str">
        <v>下拉-单选</v>
      </c>
    </row>
    <row r="18">
      <c r="A18" s="26" t="str">
        <v>是否为资金充值账户</v>
      </c>
      <c r="B18" t="str">
        <v>下拉-单选</v>
      </c>
    </row>
    <row r="19">
      <c r="A19" s="26" t="str">
        <v>是否通过此账户申请开票</v>
      </c>
      <c r="B19" t="str">
        <v>下拉-单选</v>
      </c>
    </row>
    <row r="20">
      <c r="A20" t="str">
        <v>投放账户是否已清账</v>
      </c>
      <c r="B20" t="str">
        <v>下拉-单选</v>
      </c>
    </row>
    <row r="21">
      <c r="A21" t="str">
        <v>数据是否已回收</v>
      </c>
      <c r="B21" t="str">
        <v>下拉-单选</v>
      </c>
    </row>
    <row r="22">
      <c r="A22" s="26"/>
    </row>
  </sheetData>
  <dataValidations count="1">
    <dataValidation allowBlank="true" errorStyle="stop" showErrorMessage="true" sqref="B2:B21" type="list">
      <formula1>"文本,下拉-单选,下拉-多选,日期,数值"</formula1>
    </dataValidation>
  </dataValidation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83" t="str">
        <v>字段</v>
      </c>
      <c r="B1" s="83" t="str">
        <v>是否必填</v>
      </c>
      <c r="C1" s="83" t="str">
        <v>枚举值Code</v>
      </c>
      <c r="D1" s="83" t="str">
        <v>枚举值</v>
      </c>
      <c r="E1" s="83" t="str">
        <v>外键</v>
      </c>
      <c r="F1" s="83" t="str">
        <v>备注说明</v>
      </c>
      <c r="G1" s="84" t="str">
        <v>经分是否需要</v>
      </c>
      <c r="H1" s="84" t="str">
        <v>经分是否需要业务处理</v>
      </c>
      <c r="I1" s="84" t="str">
        <v>经分处理逻辑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>
      <c r="A2" s="68" t="str">
        <v>账户状态</v>
      </c>
      <c r="B2" s="81" t="str">
        <v>Y</v>
      </c>
      <c r="C2" s="82" t="str">
        <v>01</v>
      </c>
      <c r="D2" s="25"/>
      <c r="E2" s="81" t="str">
        <v>NA</v>
      </c>
      <c r="F2" s="81" t="str">
        <v>枚举值说明</v>
      </c>
      <c r="G2" s="1" t="str">
        <v>Y</v>
      </c>
      <c r="H2" s="1" t="str">
        <v>Y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>
      <c r="A3" s="68"/>
      <c r="B3" s="81"/>
      <c r="C3" s="82" t="str">
        <v>02</v>
      </c>
      <c r="D3" s="26"/>
      <c r="E3" s="81"/>
      <c r="F3" s="81"/>
      <c r="G3" s="1"/>
      <c r="H3" s="1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>
      <c r="A4" s="68"/>
      <c r="B4" s="81"/>
      <c r="C4" s="82" t="str">
        <v>03</v>
      </c>
      <c r="D4" s="26"/>
      <c r="E4" s="81"/>
      <c r="F4" s="81"/>
      <c r="G4" s="1"/>
      <c r="H4" s="1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>
      <c r="A5" s="68"/>
      <c r="B5" s="81"/>
      <c r="C5" s="82" t="str">
        <v>04</v>
      </c>
      <c r="D5" s="26"/>
      <c r="E5" s="81"/>
      <c r="F5" s="81"/>
      <c r="G5" s="1"/>
      <c r="H5" s="1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>
      <c r="A6" s="68"/>
      <c r="B6" s="81"/>
      <c r="C6" s="82" t="str">
        <v>05</v>
      </c>
      <c r="D6" s="26"/>
      <c r="E6" s="81"/>
      <c r="F6" s="81"/>
      <c r="G6" s="1"/>
      <c r="H6" s="1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>
      <c r="A7" s="68" t="str">
        <v>充值类型</v>
      </c>
      <c r="B7" s="81" t="str">
        <v>Y</v>
      </c>
      <c r="C7" s="82" t="str">
        <v>01</v>
      </c>
      <c r="D7" s="25"/>
      <c r="E7" s="81" t="str">
        <v>NA</v>
      </c>
      <c r="F7" s="81" t="str">
        <v>枚举值说明</v>
      </c>
      <c r="G7" s="1" t="str">
        <v>Y</v>
      </c>
      <c r="H7" s="1" t="str">
        <v>Y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>
      <c r="A8" s="68"/>
      <c r="B8" s="81"/>
      <c r="C8" s="82" t="str">
        <v>02</v>
      </c>
      <c r="D8" s="26"/>
      <c r="E8" s="81"/>
      <c r="F8" s="81"/>
      <c r="G8" s="1"/>
      <c r="H8" s="1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>
      <c r="A9" s="68"/>
      <c r="B9" s="81"/>
      <c r="C9" s="82" t="str">
        <v>03</v>
      </c>
      <c r="D9" s="26"/>
      <c r="E9" s="81"/>
      <c r="F9" s="81"/>
      <c r="G9" s="1"/>
      <c r="H9" s="1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>
      <c r="A10" s="68"/>
      <c r="B10" s="81"/>
      <c r="C10" s="82" t="str">
        <v>04</v>
      </c>
      <c r="D10" s="26"/>
      <c r="E10" s="81"/>
      <c r="F10" s="81"/>
      <c r="G10" s="1"/>
      <c r="H10" s="1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>
      <c r="A11" s="68"/>
      <c r="B11" s="81"/>
      <c r="C11" s="82" t="str">
        <v>05</v>
      </c>
      <c r="D11" s="26"/>
      <c r="E11" s="81"/>
      <c r="F11" s="81"/>
      <c r="G11" s="1"/>
      <c r="H11" s="1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</sheetData>
  <mergeCells>
    <mergeCell ref="I2:I6"/>
    <mergeCell ref="H2:H6"/>
    <mergeCell ref="G2:G6"/>
    <mergeCell ref="F2:F6"/>
    <mergeCell ref="E2:E6"/>
    <mergeCell ref="B2:B6"/>
    <mergeCell ref="A2:A6"/>
    <mergeCell ref="A7:A11"/>
    <mergeCell ref="B7:B11"/>
    <mergeCell ref="E7:E11"/>
    <mergeCell ref="F7:F11"/>
    <mergeCell ref="G7:G11"/>
    <mergeCell ref="H7:H11"/>
    <mergeCell ref="I7:I1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7"/>
    <col collapsed="false" customWidth="true" hidden="false" max="3" min="3" style="0" width="25"/>
    <col collapsed="false" customWidth="true" hidden="false" max="4" min="4" style="0" width="14"/>
    <col collapsed="false" customWidth="true" hidden="false" max="5" min="5" style="0" width="19"/>
    <col collapsed="false" customWidth="true" hidden="false" max="6" min="6" style="0" width="20"/>
    <col collapsed="false" customWidth="true" hidden="false" max="7" min="7" style="0" width="29"/>
    <col collapsed="false" customWidth="true" hidden="false" max="8" min="8" style="0" width="24"/>
    <col collapsed="false" customWidth="true" hidden="false" max="9" min="9" style="0" width="59"/>
    <col collapsed="false" customWidth="true" hidden="false" max="10" min="10" style="0" width="27"/>
    <col collapsed="false" customWidth="true" hidden="false" max="11" min="11" style="0" width="43"/>
    <col collapsed="false" customWidth="true" hidden="false" max="12" min="12" style="0" width="14"/>
    <col collapsed="false" customWidth="true" hidden="false" max="13" min="13" style="0" width="20"/>
    <col collapsed="false" customWidth="true" hidden="false" max="14" min="14" style="0" width="20"/>
    <col collapsed="false" customWidth="true" hidden="false" max="15" min="15" style="0" width="16"/>
    <col collapsed="false" customWidth="true" hidden="false" max="16" min="16" style="0" width="21"/>
    <col collapsed="false" customWidth="true" hidden="false" max="17" min="17" style="0" width="33"/>
    <col collapsed="false" customWidth="true" hidden="false" max="19" min="19" style="0" width="20"/>
    <col collapsed="false" customWidth="true" hidden="false" max="20" min="20" style="0" width="18"/>
    <col collapsed="false" customWidth="true" hidden="false" max="21" min="21" style="0" width="26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80" t="str">
        <v>站内/站外</v>
      </c>
      <c r="B1" s="80" t="str">
        <v>营销活动</v>
      </c>
      <c r="C1" s="80" t="str">
        <v>公司主体</v>
      </c>
      <c r="D1" s="80">
        <f>+++++H7</f>
      </c>
      <c r="E1" s="80" t="str">
        <v>平台</v>
      </c>
      <c r="F1" s="80" t="str">
        <v>投放方式</v>
      </c>
      <c r="G1" s="80" t="str">
        <v>平台对合作应供应商名称</v>
      </c>
      <c r="H1" s="80" t="str">
        <v>对应业务场景及用途</v>
      </c>
      <c r="I1" s="97" t="str">
        <v>登录网址</v>
      </c>
      <c r="J1" s="96" t="str">
        <v>编码</v>
      </c>
      <c r="K1" s="80" t="str">
        <v>账号</v>
      </c>
      <c r="M1" s="80" t="str">
        <v>编码</v>
      </c>
      <c r="N1" s="80" t="str">
        <v>是否为资金充值账户</v>
      </c>
      <c r="O1" s="80" t="str">
        <v>是否能取到充值/消耗明细</v>
      </c>
      <c r="P1" s="80" t="str">
        <v>是否存在充值赠送金</v>
      </c>
      <c r="Q1" s="80" t="str">
        <v>是否存在返利</v>
      </c>
      <c r="R1" s="80" t="str">
        <v>截止2022年10月31日余额（元）</v>
      </c>
      <c r="S1" s="80" t="str">
        <v>是否通过此账户申请开票</v>
      </c>
      <c r="T1" s="80" t="str">
        <v>使用中心</v>
      </c>
      <c r="U1" s="80" t="str">
        <v>使用二级部门</v>
      </c>
      <c r="V1" s="80" t="str">
        <v>使用三级部门</v>
      </c>
      <c r="W1" s="97" t="str">
        <v>业务使用人</v>
      </c>
      <c r="X1" s="80" t="str">
        <v>备注</v>
      </c>
      <c r="Y1" s="80" t="str">
        <v>财务对接人</v>
      </c>
      <c r="Z1" s="97" t="str">
        <v>账户权限owner</v>
      </c>
      <c r="AA1" s="80" t="str">
        <v>登录方式</v>
      </c>
    </row>
    <row r="2">
      <c r="A2" s="98"/>
      <c r="B2" s="98"/>
      <c r="C2" s="98"/>
      <c r="D2" s="98" t="str">
        <v>正常使用/闲置</v>
      </c>
      <c r="E2" s="98" t="str">
        <v>平台的称呼，如：
抖音-巨量千川
抖音-巨量纵横
快手
淘宝AD</v>
      </c>
      <c r="F2" s="98" t="str">
        <v>自投/代投</v>
      </c>
      <c r="G2" s="98" t="str">
        <v>供应商全称</v>
      </c>
      <c r="H2" s="98"/>
      <c r="I2" s="99"/>
      <c r="J2" s="101"/>
      <c r="K2" s="100"/>
      <c r="M2" s="98"/>
      <c r="N2" s="98" t="str">
        <v>是/否</v>
      </c>
      <c r="O2" s="98" t="str">
        <v>是/否</v>
      </c>
      <c r="P2" s="98" t="str">
        <v>是/否</v>
      </c>
      <c r="Q2" s="98" t="str">
        <v>是/否</v>
      </c>
      <c r="R2" s="98" t="str">
        <v>不填</v>
      </c>
      <c r="S2" s="98" t="str">
        <v>是/否</v>
      </c>
      <c r="T2" s="98" t="str">
        <v>一级中心</v>
      </c>
      <c r="U2" s="98"/>
      <c r="V2" s="98"/>
      <c r="W2" s="99"/>
      <c r="X2" s="98"/>
      <c r="Y2" s="98"/>
      <c r="Z2" s="99" t="str">
        <v>管理密码人员</v>
      </c>
      <c r="AA2" s="98" t="str">
        <v>验证码/账户密码</v>
      </c>
    </row>
    <row r="3">
      <c r="A3" s="89" t="str">
        <v>站内</v>
      </c>
      <c r="B3" s="93" t="str">
        <v>天猫-直通车</v>
      </c>
      <c r="C3" s="89" t="str">
        <v>杭州宜格化妆品有限公司</v>
      </c>
      <c r="D3" s="89" t="str">
        <v>正常使用</v>
      </c>
      <c r="E3" s="89" t="str">
        <v>淘宝</v>
      </c>
      <c r="F3" s="89" t="str">
        <v>自投</v>
      </c>
      <c r="G3" s="89" t="str">
        <v>杭州阿里妈妈软件服务有限公司</v>
      </c>
      <c r="H3" s="89" t="str">
        <v>直通车</v>
      </c>
      <c r="I3" s="84" t="s">
        <v>58</v>
      </c>
      <c r="J3" s="91"/>
      <c r="K3" s="92" t="str">
        <v>花西子旗舰店:陈玄、花西子旗舰店:幽兰、花西子旗舰店:盐首、花西子旗舰店:丰垚</v>
      </c>
      <c r="M3" s="89" t="str">
        <v>ADV01</v>
      </c>
      <c r="N3" s="89" t="str">
        <v>是</v>
      </c>
      <c r="O3" s="89" t="str">
        <v>是</v>
      </c>
      <c r="P3" s="89" t="str">
        <v>否</v>
      </c>
      <c r="Q3" s="89" t="str">
        <v>否</v>
      </c>
      <c r="R3" s="89" t="str">
        <v>不填</v>
      </c>
      <c r="S3" s="89" t="str">
        <v>是</v>
      </c>
      <c r="T3" s="89" t="str">
        <v>品牌运营中心</v>
      </c>
      <c r="U3" s="89" t="str">
        <v>广告投放部</v>
      </c>
      <c r="V3" s="89" t="str">
        <v>平台电商部</v>
      </c>
      <c r="W3" s="84" t="str">
        <v>杜英晗、刘建旺、刘如敏、韦应峰</v>
      </c>
      <c r="X3" s="89"/>
      <c r="Y3" s="89" t="str">
        <v>贝果</v>
      </c>
      <c r="Z3" s="84" t="str">
        <v>杜英晗、刘建旺、刘如敏、韦应峰</v>
      </c>
      <c r="AA3" s="89" t="str">
        <v>账号密码</v>
      </c>
    </row>
    <row r="4">
      <c r="A4" s="89" t="str">
        <v>站内</v>
      </c>
      <c r="B4" s="93" t="str">
        <v>天猫-引力魔方</v>
      </c>
      <c r="C4" s="89" t="str">
        <v>杭州宜格化妆品有限公司</v>
      </c>
      <c r="D4" s="89" t="str">
        <v>正常使用</v>
      </c>
      <c r="E4" s="89" t="str">
        <v>淘宝</v>
      </c>
      <c r="F4" s="89" t="str">
        <v>自投</v>
      </c>
      <c r="G4" s="89" t="str">
        <v>杭州阿里妈妈软件服务有限公司</v>
      </c>
      <c r="H4" s="89" t="str">
        <v>引力魔方</v>
      </c>
      <c r="I4" s="84" t="s">
        <v>43</v>
      </c>
      <c r="J4" s="91"/>
      <c r="K4" s="92" t="str">
        <v>花西子旗舰店:陈玄、花西子旗舰店:幽兰、花西子旗舰店:盐首、花西子旗舰店:丰垚</v>
      </c>
      <c r="M4" s="89" t="str">
        <v>ADV02</v>
      </c>
      <c r="N4" s="89" t="str">
        <v>是</v>
      </c>
      <c r="O4" s="89" t="str">
        <v>是</v>
      </c>
      <c r="P4" s="89" t="str">
        <v>否</v>
      </c>
      <c r="Q4" s="89" t="str">
        <v>否</v>
      </c>
      <c r="R4" s="89" t="str">
        <v>不填</v>
      </c>
      <c r="S4" s="89" t="str">
        <v>是</v>
      </c>
      <c r="T4" s="89" t="str">
        <v>品牌运营中心</v>
      </c>
      <c r="U4" s="89" t="str">
        <v>广告投放部</v>
      </c>
      <c r="V4" s="89" t="str">
        <v>平台电商部</v>
      </c>
      <c r="W4" s="84" t="str">
        <v>杜英晗、刘建旺、刘如敏、韦应峰</v>
      </c>
      <c r="X4" s="89"/>
      <c r="Y4" s="89" t="str">
        <v>贝果</v>
      </c>
      <c r="Z4" s="84" t="str">
        <v>杜英晗、刘建旺、刘如敏、韦应峰</v>
      </c>
      <c r="AA4" s="89" t="str">
        <v>账号密码</v>
      </c>
    </row>
    <row r="5">
      <c r="A5" s="89" t="str">
        <v>站内</v>
      </c>
      <c r="B5" s="93" t="str">
        <v>天猫-明星店铺</v>
      </c>
      <c r="C5" s="89" t="str">
        <v>杭州宜格化妆品有限公司</v>
      </c>
      <c r="D5" s="89" t="str">
        <v>正常使用</v>
      </c>
      <c r="E5" s="89" t="str">
        <v>淘宝</v>
      </c>
      <c r="F5" s="89" t="str">
        <v>自投</v>
      </c>
      <c r="G5" s="89" t="str">
        <v>杭州阿里妈妈软件服务有限公司</v>
      </c>
      <c r="H5" s="89" t="str">
        <v>明星店铺</v>
      </c>
      <c r="I5" s="84" t="s">
        <v>65</v>
      </c>
      <c r="J5" s="91"/>
      <c r="K5" s="92" t="str">
        <v>花西子旗舰店:陈玄、花西子旗舰店:幽兰、花西子旗舰店:盐首、花西子旗舰店:丰垚</v>
      </c>
      <c r="M5" s="89" t="str">
        <v>ADV03</v>
      </c>
      <c r="N5" s="89" t="str">
        <v>是</v>
      </c>
      <c r="O5" s="89" t="str">
        <v>是</v>
      </c>
      <c r="P5" s="89" t="str">
        <v>否</v>
      </c>
      <c r="Q5" s="89" t="str">
        <v>否</v>
      </c>
      <c r="R5" s="89" t="str">
        <v>不填</v>
      </c>
      <c r="S5" s="89" t="str">
        <v>是</v>
      </c>
      <c r="T5" s="89" t="str">
        <v>品牌运营中心</v>
      </c>
      <c r="U5" s="89" t="str">
        <v>广告投放部</v>
      </c>
      <c r="V5" s="89" t="str">
        <v>平台电商部</v>
      </c>
      <c r="W5" s="84" t="str">
        <v>杜英晗、刘建旺、刘如敏、韦应峰</v>
      </c>
      <c r="X5" s="89"/>
      <c r="Y5" s="89" t="str">
        <v>贝果</v>
      </c>
      <c r="Z5" s="84" t="str">
        <v>杜英晗、刘建旺、刘如敏、韦应峰</v>
      </c>
      <c r="AA5" s="89" t="str">
        <v>账号密码</v>
      </c>
    </row>
    <row r="6">
      <c r="A6" s="89" t="str">
        <v>站内</v>
      </c>
      <c r="B6" s="93" t="s">
        <v>74</v>
      </c>
      <c r="C6" s="89" t="str">
        <v>杭州宜格化妆品有限公司</v>
      </c>
      <c r="D6" s="89" t="str">
        <v>正常使用</v>
      </c>
      <c r="E6" s="89" t="str">
        <v>淘宝</v>
      </c>
      <c r="F6" s="89" t="str">
        <v>自投</v>
      </c>
      <c r="G6" s="89" t="str">
        <v>浙江阿里巴巴通信技术有限公司</v>
      </c>
      <c r="H6" s="89" t="str">
        <v>超级直播</v>
      </c>
      <c r="I6" s="84" t="s">
        <v>51</v>
      </c>
      <c r="J6" s="91"/>
      <c r="K6" s="92" t="str">
        <v>花西子旗舰店:陈玄、花西子旗舰店:幽兰、花西子旗舰店:盐首、花西子旗舰店:丰垚</v>
      </c>
      <c r="M6" s="89" t="str">
        <v>ADV04</v>
      </c>
      <c r="N6" s="89" t="str">
        <v>是</v>
      </c>
      <c r="O6" s="89" t="str">
        <v>是</v>
      </c>
      <c r="P6" s="89" t="str">
        <v>否</v>
      </c>
      <c r="Q6" s="89" t="str">
        <v>否</v>
      </c>
      <c r="R6" s="89" t="str">
        <v>不填</v>
      </c>
      <c r="S6" s="89" t="str">
        <v>是</v>
      </c>
      <c r="T6" s="89" t="str">
        <v>品牌运营中心</v>
      </c>
      <c r="U6" s="89" t="str">
        <v>广告投放部</v>
      </c>
      <c r="V6" s="89" t="str">
        <v>平台电商部</v>
      </c>
      <c r="W6" s="84" t="str">
        <v>杜英晗、刘建旺、刘如敏、韦应峰</v>
      </c>
      <c r="X6" s="89"/>
      <c r="Y6" s="89" t="str">
        <v>贝果</v>
      </c>
      <c r="Z6" s="84" t="str">
        <v>杜英晗、刘建旺、刘如敏、韦应峰</v>
      </c>
      <c r="AA6" s="89" t="str">
        <v>账号密码</v>
      </c>
    </row>
    <row r="7">
      <c r="A7" s="89" t="str">
        <v>站内</v>
      </c>
      <c r="B7" s="93" t="s">
        <v>60</v>
      </c>
      <c r="C7" s="89" t="str">
        <v>杭州宜格化妆品有限公司</v>
      </c>
      <c r="D7" s="89" t="str">
        <v>正常使用</v>
      </c>
      <c r="E7" s="89" t="str">
        <v>淘宝</v>
      </c>
      <c r="F7" s="89" t="str">
        <v>自投</v>
      </c>
      <c r="G7" s="89" t="str">
        <v>浙江阿里巴巴通信技术有限公司</v>
      </c>
      <c r="H7" s="89" t="str">
        <v>超级短视频</v>
      </c>
      <c r="I7" s="84" t="s">
        <v>51</v>
      </c>
      <c r="J7" s="91"/>
      <c r="K7" s="92" t="str">
        <v>花西子旗舰店:陈玄、花西子旗舰店:幽兰、花西子旗舰店:盐首、花西子旗舰店:丰垚</v>
      </c>
      <c r="M7" s="89" t="str">
        <v>ADV05</v>
      </c>
      <c r="N7" s="89" t="str">
        <v>是</v>
      </c>
      <c r="O7" s="89" t="str">
        <v>是</v>
      </c>
      <c r="P7" s="89" t="str">
        <v>否</v>
      </c>
      <c r="Q7" s="89" t="str">
        <v>否</v>
      </c>
      <c r="R7" s="89" t="str">
        <v>不填</v>
      </c>
      <c r="S7" s="89" t="str">
        <v>是</v>
      </c>
      <c r="T7" s="89" t="str">
        <v>品牌运营中心</v>
      </c>
      <c r="U7" s="89" t="str">
        <v>广告投放部</v>
      </c>
      <c r="V7" s="89" t="str">
        <v>平台电商部</v>
      </c>
      <c r="W7" s="84" t="str">
        <v>杜英晗、刘建旺、刘如敏、韦应峰</v>
      </c>
      <c r="X7" s="89"/>
      <c r="Y7" s="89" t="str">
        <v>贝果</v>
      </c>
      <c r="Z7" s="84" t="str">
        <v>杜英晗、刘建旺、刘如敏、韦应峰</v>
      </c>
      <c r="AA7" s="89" t="str">
        <v>账号密码</v>
      </c>
    </row>
    <row r="8">
      <c r="A8" s="89" t="str">
        <v>站内</v>
      </c>
      <c r="B8" s="90"/>
      <c r="C8" s="89" t="str">
        <v>杭州宜格化妆品有限公司</v>
      </c>
      <c r="D8" s="89" t="str">
        <v>正常使用</v>
      </c>
      <c r="E8" s="89" t="str">
        <v>淘宝</v>
      </c>
      <c r="F8" s="89" t="str">
        <v>自投</v>
      </c>
      <c r="G8" s="89" t="str">
        <v>浙江阿里巴巴通信技术有限公司</v>
      </c>
      <c r="H8" s="89" t="str">
        <v>万相台</v>
      </c>
      <c r="I8" s="84" t="s">
        <v>51</v>
      </c>
      <c r="J8" s="91"/>
      <c r="K8" s="92" t="str">
        <v>花西子旗舰店:陈玄、花西子旗舰店:幽兰、花西子旗舰店:盐首、花西子旗舰店:丰垚</v>
      </c>
      <c r="M8" s="89" t="str">
        <v>ADV06</v>
      </c>
      <c r="N8" s="89" t="str">
        <v>是</v>
      </c>
      <c r="O8" s="89" t="str">
        <v>是</v>
      </c>
      <c r="P8" s="89" t="str">
        <v>否</v>
      </c>
      <c r="Q8" s="89" t="str">
        <v>否</v>
      </c>
      <c r="R8" s="89" t="str">
        <v>不填</v>
      </c>
      <c r="S8" s="89" t="str">
        <v>是</v>
      </c>
      <c r="T8" s="89" t="str">
        <v>品牌运营中心</v>
      </c>
      <c r="U8" s="89" t="str">
        <v>广告投放部</v>
      </c>
      <c r="V8" s="89" t="str">
        <v>平台电商部</v>
      </c>
      <c r="W8" s="84" t="str">
        <v>杜英晗、刘建旺、刘如敏、韦应峰</v>
      </c>
      <c r="X8" s="89"/>
      <c r="Y8" s="89" t="str">
        <v>贝果</v>
      </c>
      <c r="Z8" s="84" t="str">
        <v>杜英晗、刘建旺、刘如敏、韦应峰</v>
      </c>
      <c r="AA8" s="89" t="str">
        <v>账号密码</v>
      </c>
    </row>
    <row r="9">
      <c r="A9" s="89" t="str">
        <v>站内</v>
      </c>
      <c r="B9" s="93" t="str">
        <v>天猫-超级互动城</v>
      </c>
      <c r="C9" s="89" t="str">
        <v>杭州宜格化妆品有限公司</v>
      </c>
      <c r="D9" s="89" t="str">
        <v>正常使用</v>
      </c>
      <c r="E9" s="89" t="str">
        <v>淘宝</v>
      </c>
      <c r="F9" s="89" t="str">
        <v>自投</v>
      </c>
      <c r="G9" s="89" t="str">
        <v>浙江阿里巴巴通信技术有限公司</v>
      </c>
      <c r="H9" s="89" t="str">
        <v>超级互动城</v>
      </c>
      <c r="I9" s="84" t="s">
        <v>54</v>
      </c>
      <c r="J9" s="91"/>
      <c r="K9" s="92" t="str">
        <v>花西子旗舰店:陈玄、花西子旗舰店:幽兰、花西子旗舰店:盐首、花西子旗舰店:丰垚</v>
      </c>
      <c r="M9" s="89" t="str">
        <v>ADV07</v>
      </c>
      <c r="N9" s="89" t="str">
        <v>是</v>
      </c>
      <c r="O9" s="89" t="str">
        <v>是</v>
      </c>
      <c r="P9" s="89" t="str">
        <v>否</v>
      </c>
      <c r="Q9" s="89" t="str">
        <v>否</v>
      </c>
      <c r="R9" s="89" t="str">
        <v>不填</v>
      </c>
      <c r="S9" s="89" t="str">
        <v>是</v>
      </c>
      <c r="T9" s="89" t="str">
        <v>品牌运营中心</v>
      </c>
      <c r="U9" s="89" t="str">
        <v>广告投放部</v>
      </c>
      <c r="V9" s="89" t="str">
        <v>平台电商部</v>
      </c>
      <c r="W9" s="84" t="str">
        <v>杜英晗、刘建旺、刘如敏、韦应峰</v>
      </c>
      <c r="X9" s="89"/>
      <c r="Y9" s="89" t="str">
        <v>贝果</v>
      </c>
      <c r="Z9" s="84" t="str">
        <v>杜英晗、刘建旺、刘如敏、韦应峰</v>
      </c>
      <c r="AA9" s="89" t="str">
        <v>账号密码</v>
      </c>
    </row>
    <row r="10">
      <c r="A10" s="89" t="str">
        <v>站内</v>
      </c>
      <c r="B10" s="90"/>
      <c r="C10" s="89" t="str">
        <v>杭州匠泽电子商务有限公司</v>
      </c>
      <c r="D10" s="89" t="str">
        <v>正常使用</v>
      </c>
      <c r="E10" s="89" t="str">
        <v>京东</v>
      </c>
      <c r="F10" s="89" t="str">
        <v>自投</v>
      </c>
      <c r="G10" s="89" t="str">
        <v>重庆京东海嘉电子商务有限公司</v>
      </c>
      <c r="H10" s="89" t="str">
        <v>京东自营</v>
      </c>
      <c r="I10" s="84" t="s">
        <v>39</v>
      </c>
      <c r="J10" s="91"/>
      <c r="K10" s="92" t="str">
        <v>wet67956637</v>
      </c>
      <c r="M10" s="89" t="str">
        <v>ADV08</v>
      </c>
      <c r="N10" s="89" t="str">
        <v>是</v>
      </c>
      <c r="O10" s="89" t="str">
        <v>是</v>
      </c>
      <c r="P10" s="89" t="str">
        <v>否</v>
      </c>
      <c r="Q10" s="89" t="str">
        <v>否</v>
      </c>
      <c r="R10" s="89" t="str">
        <v>不填</v>
      </c>
      <c r="S10" s="89" t="str">
        <v>是</v>
      </c>
      <c r="T10" s="89" t="str">
        <v>品牌运营中心</v>
      </c>
      <c r="U10" s="89" t="str">
        <v>广告投放部</v>
      </c>
      <c r="V10" s="89" t="str">
        <v>平台电商部</v>
      </c>
      <c r="W10" s="84" t="str">
        <v>周薇</v>
      </c>
      <c r="X10" s="89"/>
      <c r="Y10" s="89" t="str">
        <v>贝果</v>
      </c>
      <c r="Z10" s="84" t="str">
        <v>周薇</v>
      </c>
      <c r="AA10" s="89" t="str">
        <v>账号密码</v>
      </c>
    </row>
    <row r="11">
      <c r="A11" s="89" t="str">
        <v>站内</v>
      </c>
      <c r="B11" s="90"/>
      <c r="C11" s="89" t="str">
        <v>杭州匠泽电子商务有限公司</v>
      </c>
      <c r="D11" s="89" t="str">
        <v>正常使用</v>
      </c>
      <c r="E11" s="89" t="str">
        <v>京东</v>
      </c>
      <c r="F11" s="89" t="str">
        <v>自投</v>
      </c>
      <c r="G11" s="89" t="str">
        <v>重庆京东海嘉电子商务有限公司</v>
      </c>
      <c r="H11" s="89" t="str">
        <v>京东自营</v>
      </c>
      <c r="I11" s="84" t="s">
        <v>39</v>
      </c>
      <c r="J11" s="91"/>
      <c r="K11" s="92" t="str">
        <v>花西子自营-代理2</v>
      </c>
      <c r="M11" s="89" t="str">
        <v>ADV09</v>
      </c>
      <c r="N11" s="89" t="str">
        <v>是</v>
      </c>
      <c r="O11" s="89" t="str">
        <v>是</v>
      </c>
      <c r="P11" s="89" t="str">
        <v>否</v>
      </c>
      <c r="Q11" s="89" t="str">
        <v>否</v>
      </c>
      <c r="R11" s="89" t="str">
        <v>不填</v>
      </c>
      <c r="S11" s="89" t="str">
        <v>是</v>
      </c>
      <c r="T11" s="89" t="str">
        <v>品牌运营中心</v>
      </c>
      <c r="U11" s="89" t="str">
        <v>广告投放部</v>
      </c>
      <c r="V11" s="89" t="str">
        <v>平台电商部</v>
      </c>
      <c r="W11" s="84" t="str">
        <v>樗里</v>
      </c>
      <c r="X11" s="89"/>
      <c r="Y11" s="89" t="str">
        <v>贝果</v>
      </c>
      <c r="Z11" s="84" t="str">
        <v>樗里</v>
      </c>
      <c r="AA11" s="89" t="str">
        <v>账号密码</v>
      </c>
    </row>
    <row r="12">
      <c r="A12" s="89" t="str">
        <v>站内</v>
      </c>
      <c r="B12" s="90"/>
      <c r="C12" s="89" t="str">
        <v>杭州匠泽电子商务有限公司</v>
      </c>
      <c r="D12" s="89" t="str">
        <v>正常使用</v>
      </c>
      <c r="E12" s="89" t="str">
        <v>京东</v>
      </c>
      <c r="F12" s="89" t="str">
        <v>自投</v>
      </c>
      <c r="G12" s="89" t="str">
        <v>重庆京东海嘉电子商务有限公司</v>
      </c>
      <c r="H12" s="89" t="str">
        <v>京东POP</v>
      </c>
      <c r="I12" s="84" t="s">
        <v>39</v>
      </c>
      <c r="J12" s="91"/>
      <c r="K12" s="92" t="str">
        <v>花西子pop委托</v>
      </c>
      <c r="M12" s="89" t="str">
        <v>ADV10</v>
      </c>
      <c r="N12" s="89" t="str">
        <v>是</v>
      </c>
      <c r="O12" s="89" t="str">
        <v>是</v>
      </c>
      <c r="P12" s="89" t="str">
        <v>否</v>
      </c>
      <c r="Q12" s="89" t="str">
        <v>否</v>
      </c>
      <c r="R12" s="89" t="str">
        <v>不填</v>
      </c>
      <c r="S12" s="89" t="str">
        <v>是</v>
      </c>
      <c r="T12" s="89" t="str">
        <v>品牌运营中心</v>
      </c>
      <c r="U12" s="89" t="str">
        <v>广告投放部</v>
      </c>
      <c r="V12" s="89" t="str">
        <v>平台电商部</v>
      </c>
      <c r="W12" s="84" t="str">
        <v>樗里</v>
      </c>
      <c r="X12" s="89"/>
      <c r="Y12" s="89" t="str">
        <v>贝果</v>
      </c>
      <c r="Z12" s="84" t="str">
        <v>樗里</v>
      </c>
      <c r="AA12" s="89" t="str">
        <v>账号密码</v>
      </c>
    </row>
    <row r="13">
      <c r="A13" s="89" t="str">
        <v>站内</v>
      </c>
      <c r="B13" s="90"/>
      <c r="C13" s="89" t="str">
        <v>杭州匠泽电子商务有限公司</v>
      </c>
      <c r="D13" s="89" t="str">
        <v>正常使用</v>
      </c>
      <c r="E13" s="89" t="str">
        <v>京东</v>
      </c>
      <c r="F13" s="89" t="str">
        <v>自投</v>
      </c>
      <c r="G13" s="89" t="str">
        <v>重庆京东海嘉电子商务有限公司</v>
      </c>
      <c r="H13" s="89" t="str">
        <v>京东POP</v>
      </c>
      <c r="I13" s="84" t="s">
        <v>39</v>
      </c>
      <c r="J13" s="91"/>
      <c r="K13" s="92" t="str">
        <v>花西子-麒麟</v>
      </c>
      <c r="M13" s="89" t="str">
        <v>ADV11</v>
      </c>
      <c r="N13" s="89" t="str">
        <v>是</v>
      </c>
      <c r="O13" s="89" t="str">
        <v>是</v>
      </c>
      <c r="P13" s="89" t="str">
        <v>否</v>
      </c>
      <c r="Q13" s="89" t="str">
        <v>否</v>
      </c>
      <c r="R13" s="89" t="str">
        <v>不填</v>
      </c>
      <c r="S13" s="89" t="str">
        <v>是</v>
      </c>
      <c r="T13" s="89" t="str">
        <v>品牌运营中心</v>
      </c>
      <c r="U13" s="89" t="str">
        <v>广告投放部</v>
      </c>
      <c r="V13" s="89" t="str">
        <v>平台电商部</v>
      </c>
      <c r="W13" s="84" t="str">
        <v>樗里</v>
      </c>
      <c r="X13" s="89"/>
      <c r="Y13" s="89" t="str">
        <v>贝果</v>
      </c>
      <c r="Z13" s="84" t="str">
        <v>樗里</v>
      </c>
      <c r="AA13" s="89" t="str">
        <v>账号密码</v>
      </c>
    </row>
    <row r="14">
      <c r="A14" s="89" t="str">
        <v>站内</v>
      </c>
      <c r="B14" s="90"/>
      <c r="C14" s="89" t="str">
        <v>杭州匠泽电子商务有限公司</v>
      </c>
      <c r="D14" s="89" t="str">
        <v>正常使用</v>
      </c>
      <c r="E14" s="89" t="str">
        <v>京东</v>
      </c>
      <c r="F14" s="89" t="str">
        <v>自投</v>
      </c>
      <c r="G14" s="89" t="str">
        <v>重庆京东海嘉电子商务有限公司</v>
      </c>
      <c r="H14" s="89" t="str">
        <v>京东POP</v>
      </c>
      <c r="I14" s="84" t="s">
        <v>39</v>
      </c>
      <c r="J14" s="91"/>
      <c r="K14" s="92" t="str">
        <v>花西子旗舰店</v>
      </c>
      <c r="M14" s="89" t="str">
        <v>ADV12</v>
      </c>
      <c r="N14" s="89" t="str">
        <v>是</v>
      </c>
      <c r="O14" s="89" t="str">
        <v>是</v>
      </c>
      <c r="P14" s="89" t="str">
        <v>否</v>
      </c>
      <c r="Q14" s="89" t="str">
        <v>否</v>
      </c>
      <c r="R14" s="89" t="str">
        <v>不填</v>
      </c>
      <c r="S14" s="89" t="str">
        <v>是</v>
      </c>
      <c r="T14" s="89" t="str">
        <v>品牌运营中心</v>
      </c>
      <c r="U14" s="89" t="str">
        <v>广告投放部</v>
      </c>
      <c r="V14" s="89" t="str">
        <v>平台电商部</v>
      </c>
      <c r="W14" s="84" t="str">
        <v>徐庄南</v>
      </c>
      <c r="X14" s="89"/>
      <c r="Y14" s="89" t="str">
        <v>贝果</v>
      </c>
      <c r="Z14" s="84" t="str">
        <v>徐庄南</v>
      </c>
      <c r="AA14" s="89" t="str">
        <v>账号密码</v>
      </c>
    </row>
    <row r="15">
      <c r="A15" s="89" t="str">
        <v>站内</v>
      </c>
      <c r="B15" s="90"/>
      <c r="C15" s="89" t="str">
        <v>杭州匠泽电子商务有限公司</v>
      </c>
      <c r="D15" s="89" t="str">
        <v>正常使用</v>
      </c>
      <c r="E15" s="89" t="str">
        <v>唯品</v>
      </c>
      <c r="F15" s="89" t="str">
        <v>自投</v>
      </c>
      <c r="G15" s="89" t="str">
        <v>广州海珠品唯信息服务有限公司</v>
      </c>
      <c r="H15" s="89" t="str">
        <v>唯品会</v>
      </c>
      <c r="I15" s="84" t="s">
        <v>55</v>
      </c>
      <c r="J15" s="91"/>
      <c r="K15" s="92">
        <v>15990052165</v>
      </c>
      <c r="M15" s="89" t="str">
        <v>ADV13</v>
      </c>
      <c r="N15" s="89" t="str">
        <v>是</v>
      </c>
      <c r="O15" s="89" t="str">
        <v>是</v>
      </c>
      <c r="P15" s="89" t="str">
        <v>否</v>
      </c>
      <c r="Q15" s="89" t="str">
        <v>是</v>
      </c>
      <c r="R15" s="89" t="str">
        <v>不填</v>
      </c>
      <c r="S15" s="89" t="str">
        <v>是</v>
      </c>
      <c r="T15" s="89" t="str">
        <v>品牌运营中心</v>
      </c>
      <c r="U15" s="89" t="str">
        <v>广告投放部</v>
      </c>
      <c r="V15" s="89" t="str">
        <v>平台电商部</v>
      </c>
      <c r="W15" s="84" t="str">
        <v>赵东</v>
      </c>
      <c r="X15" s="89"/>
      <c r="Y15" s="89" t="str">
        <v>贝果</v>
      </c>
      <c r="Z15" s="84" t="str">
        <v>赵东</v>
      </c>
      <c r="AA15" s="89" t="str">
        <v>账号密码</v>
      </c>
    </row>
    <row r="16">
      <c r="A16" s="89" t="str">
        <v>站内</v>
      </c>
      <c r="B16" s="90"/>
      <c r="C16" s="89" t="str">
        <v>杭州匠泽电子商务有限公司</v>
      </c>
      <c r="D16" s="89" t="str">
        <v>正常使用</v>
      </c>
      <c r="E16" s="89" t="str">
        <v>唯品</v>
      </c>
      <c r="F16" s="89" t="str">
        <v>自投</v>
      </c>
      <c r="G16" s="89" t="str">
        <v>广州海珠品唯信息服务有限公司</v>
      </c>
      <c r="H16" s="89" t="str">
        <v>唯品会</v>
      </c>
      <c r="I16" s="84" t="s">
        <v>55</v>
      </c>
      <c r="J16" s="91"/>
      <c r="K16" s="92">
        <v>15867105936</v>
      </c>
      <c r="M16" s="89" t="str">
        <v>ADV14</v>
      </c>
      <c r="N16" s="89" t="str">
        <v>是</v>
      </c>
      <c r="O16" s="89" t="str">
        <v>是</v>
      </c>
      <c r="P16" s="89" t="str">
        <v>否</v>
      </c>
      <c r="Q16" s="89" t="str">
        <v>是</v>
      </c>
      <c r="R16" s="89" t="str">
        <v>不填</v>
      </c>
      <c r="S16" s="89" t="str">
        <v>是</v>
      </c>
      <c r="T16" s="89" t="str">
        <v>品牌运营中心</v>
      </c>
      <c r="U16" s="89" t="str">
        <v>广告投放部</v>
      </c>
      <c r="V16" s="89" t="str">
        <v>平台电商部</v>
      </c>
      <c r="W16" s="84" t="str">
        <v>赵东</v>
      </c>
      <c r="X16" s="89"/>
      <c r="Y16" s="89" t="str">
        <v>贝果</v>
      </c>
      <c r="Z16" s="84" t="str">
        <v>赵东</v>
      </c>
      <c r="AA16" s="89" t="str">
        <v>账号密码</v>
      </c>
    </row>
    <row r="17">
      <c r="A17" s="89" t="str">
        <v>站内</v>
      </c>
      <c r="B17" s="90"/>
      <c r="C17" s="89" t="str">
        <v>杭州匠泽电子商务有限公司</v>
      </c>
      <c r="D17" s="89" t="str">
        <v>正常使用</v>
      </c>
      <c r="E17" s="89" t="str">
        <v>抖音-巨量纵横</v>
      </c>
      <c r="F17" s="89" t="str">
        <v>自投</v>
      </c>
      <c r="G17" s="89" t="str">
        <v>广东省广告集团股份有限公司</v>
      </c>
      <c r="H17" s="89" t="str">
        <v>京东自营抖音AD引流（CID）</v>
      </c>
      <c r="I17" s="84" t="s">
        <v>41</v>
      </c>
      <c r="J17" s="91"/>
      <c r="K17" s="92" t="s">
        <v>40</v>
      </c>
      <c r="M17" s="89" t="str">
        <v>ADV15</v>
      </c>
      <c r="N17" s="89" t="str">
        <v>是</v>
      </c>
      <c r="O17" s="89" t="str">
        <v>是</v>
      </c>
      <c r="P17" s="89" t="str">
        <v>是</v>
      </c>
      <c r="Q17" s="89" t="str">
        <v>是</v>
      </c>
      <c r="R17" s="89" t="str">
        <v>不填</v>
      </c>
      <c r="S17" s="89" t="str">
        <v>是</v>
      </c>
      <c r="T17" s="89" t="str">
        <v>品牌运营中心</v>
      </c>
      <c r="U17" s="89" t="str">
        <v>广告投放部</v>
      </c>
      <c r="V17" s="89" t="str">
        <v>平台电商部</v>
      </c>
      <c r="W17" s="84" t="str">
        <v>徐庄南</v>
      </c>
      <c r="X17" s="89"/>
      <c r="Y17" s="89" t="str">
        <v>贝果</v>
      </c>
      <c r="Z17" s="84" t="str">
        <v>徐庄南</v>
      </c>
      <c r="AA17" s="89" t="str">
        <v>账号密码</v>
      </c>
    </row>
    <row r="18">
      <c r="A18" s="89" t="str">
        <v>站内</v>
      </c>
      <c r="B18" s="90"/>
      <c r="C18" s="89" t="str">
        <v>杭州匠泽电子商务有限公司</v>
      </c>
      <c r="D18" s="89" t="str">
        <v>正常使用</v>
      </c>
      <c r="E18" s="89" t="str">
        <v>考拉</v>
      </c>
      <c r="F18" s="89" t="str">
        <v>自投</v>
      </c>
      <c r="G18" s="89" t="str">
        <v>考拉海购（杭州）科技有限公司</v>
      </c>
      <c r="H18" s="89" t="str">
        <v>考拉</v>
      </c>
      <c r="I18" s="84" t="s">
        <v>66</v>
      </c>
      <c r="J18" s="91"/>
      <c r="K18" s="92">
        <v>18069829269</v>
      </c>
      <c r="M18" s="89" t="str">
        <v>ADV16</v>
      </c>
      <c r="N18" s="89" t="str">
        <v>是</v>
      </c>
      <c r="O18" s="89" t="str">
        <v>是</v>
      </c>
      <c r="P18" s="89" t="str">
        <v>否</v>
      </c>
      <c r="Q18" s="89" t="str">
        <v>否</v>
      </c>
      <c r="R18" s="89" t="str">
        <v>不填</v>
      </c>
      <c r="S18" s="89" t="str">
        <v>是</v>
      </c>
      <c r="T18" s="89" t="str">
        <v>品牌运营中心</v>
      </c>
      <c r="U18" s="89" t="str">
        <v>广告投放部</v>
      </c>
      <c r="V18" s="89" t="str">
        <v>平台电商部</v>
      </c>
      <c r="W18" s="84" t="str">
        <v>徐庄南</v>
      </c>
      <c r="X18" s="89"/>
      <c r="Y18" s="89" t="str">
        <v>贝果</v>
      </c>
      <c r="Z18" s="84" t="str">
        <v>徐庄南</v>
      </c>
      <c r="AA18" s="89" t="str">
        <v>账号密码</v>
      </c>
    </row>
    <row r="19">
      <c r="A19" s="89" t="str">
        <v>站内</v>
      </c>
      <c r="B19" s="90"/>
      <c r="C19" s="89" t="str">
        <v>杭州匠泽电子商务有限公司</v>
      </c>
      <c r="D19" s="89" t="str">
        <v>正常使用</v>
      </c>
      <c r="E19" s="89" t="str">
        <v>京东到家</v>
      </c>
      <c r="F19" s="89" t="str">
        <v>自投</v>
      </c>
      <c r="G19" s="89" t="str">
        <v>上海京东到家元信信息技术有限公司</v>
      </c>
      <c r="H19" s="89" t="str">
        <v>京准通</v>
      </c>
      <c r="I19" s="84" t="s">
        <v>48</v>
      </c>
      <c r="J19" s="91"/>
      <c r="K19" s="92" t="str">
        <v>杭州匠泽电子商务</v>
      </c>
      <c r="M19" s="89" t="str">
        <v>ADV17</v>
      </c>
      <c r="N19" s="89" t="str">
        <v>是</v>
      </c>
      <c r="O19" s="89" t="str">
        <v>是</v>
      </c>
      <c r="P19" s="89" t="str">
        <v>是</v>
      </c>
      <c r="Q19" s="89" t="str">
        <v>否</v>
      </c>
      <c r="R19" s="89" t="str">
        <v>不填</v>
      </c>
      <c r="S19" s="89" t="str">
        <v>是</v>
      </c>
      <c r="T19" s="89" t="str">
        <v>品牌运营中心</v>
      </c>
      <c r="U19" s="89" t="str">
        <v>广告投放部</v>
      </c>
      <c r="V19" s="89" t="str">
        <v>平台电商部</v>
      </c>
      <c r="W19" s="84" t="str">
        <v>徐庄南</v>
      </c>
      <c r="X19" s="89"/>
      <c r="Y19" s="89" t="str">
        <v>贝果</v>
      </c>
      <c r="Z19" s="84" t="str">
        <v>徐庄南</v>
      </c>
      <c r="AA19" s="89" t="str">
        <v>账号密码</v>
      </c>
    </row>
    <row r="20">
      <c r="A20" s="89" t="str">
        <v>站内</v>
      </c>
      <c r="B20" s="93" t="str">
        <v>天猫-直通车</v>
      </c>
      <c r="C20" s="89" t="str">
        <v>杭州匠泽电子商务有限公司</v>
      </c>
      <c r="D20" s="89" t="str">
        <v>正常使用</v>
      </c>
      <c r="E20" s="89" t="str">
        <v>淘宝</v>
      </c>
      <c r="F20" s="89" t="str">
        <v>自投</v>
      </c>
      <c r="G20" s="89" t="str">
        <v>杭州阿里妈妈软件服务有限公司</v>
      </c>
      <c r="H20" s="89" t="str">
        <v>直通车</v>
      </c>
      <c r="I20" s="84" t="s">
        <v>58</v>
      </c>
      <c r="J20" s="91"/>
      <c r="K20" s="92" t="str">
        <v>花西子匠泽专卖店:大阳</v>
      </c>
      <c r="M20" s="89" t="str">
        <v>ADV18</v>
      </c>
      <c r="N20" s="89" t="str">
        <v>是</v>
      </c>
      <c r="O20" s="89" t="str">
        <v>是</v>
      </c>
      <c r="P20" s="89" t="str">
        <v>否</v>
      </c>
      <c r="Q20" s="89" t="str">
        <v>否</v>
      </c>
      <c r="R20" s="89" t="str">
        <v>不填</v>
      </c>
      <c r="S20" s="89" t="str">
        <v>是</v>
      </c>
      <c r="T20" s="89" t="str">
        <v>品牌运营中心</v>
      </c>
      <c r="U20" s="89" t="str">
        <v>广告投放部</v>
      </c>
      <c r="V20" s="89" t="str">
        <v>平台电商部</v>
      </c>
      <c r="W20" s="84" t="str">
        <v>徐庄南</v>
      </c>
      <c r="X20" s="89"/>
      <c r="Y20" s="89" t="str">
        <v>贝果</v>
      </c>
      <c r="Z20" s="84" t="str">
        <v>徐庄南</v>
      </c>
      <c r="AA20" s="89" t="str">
        <v>账号密码</v>
      </c>
    </row>
    <row r="21">
      <c r="A21" s="89" t="str">
        <v>站内</v>
      </c>
      <c r="B21" s="90"/>
      <c r="C21" s="89" t="str">
        <v>杭州宜格化妆品有限公司</v>
      </c>
      <c r="D21" s="89" t="str">
        <v>正常使用</v>
      </c>
      <c r="E21" s="89" t="str">
        <v>小红书</v>
      </c>
      <c r="F21" s="89" t="str">
        <v>自投</v>
      </c>
      <c r="G21" s="89" t="str">
        <v>江苏拾光宝盒信息技术有限公司</v>
      </c>
      <c r="H21" s="89" t="str">
        <v>内容加热</v>
      </c>
      <c r="I21" s="84" t="s">
        <v>45</v>
      </c>
      <c r="J21" s="91"/>
      <c r="K21" s="92" t="s">
        <v>61</v>
      </c>
      <c r="M21" s="89" t="str">
        <v>ADV20</v>
      </c>
      <c r="N21" s="89" t="str">
        <v>是</v>
      </c>
      <c r="O21" s="89" t="str">
        <v>是</v>
      </c>
      <c r="P21" s="89" t="str">
        <v>是</v>
      </c>
      <c r="Q21" s="89" t="str">
        <v>是</v>
      </c>
      <c r="R21" s="89" t="str">
        <v>不填</v>
      </c>
      <c r="S21" s="89" t="str">
        <v>否</v>
      </c>
      <c r="T21" s="89" t="str">
        <v>品牌运营中心</v>
      </c>
      <c r="U21" s="89" t="str">
        <v>广告投放部</v>
      </c>
      <c r="V21" s="89" t="str">
        <v>内容投放部</v>
      </c>
      <c r="W21" s="84" t="str">
        <v>甘草</v>
      </c>
      <c r="X21" s="89"/>
      <c r="Y21" s="89" t="str">
        <v>贝果</v>
      </c>
      <c r="Z21" s="84" t="str">
        <v>甘草、清和</v>
      </c>
      <c r="AA21" s="89" t="str">
        <v>账号密码</v>
      </c>
    </row>
    <row r="22">
      <c r="A22" s="89" t="str">
        <v>站内</v>
      </c>
      <c r="B22" s="90"/>
      <c r="C22" s="89" t="str">
        <v>杭州宜格化妆品有限公司</v>
      </c>
      <c r="D22" s="89" t="str">
        <v>正常使用</v>
      </c>
      <c r="E22" s="89" t="str">
        <v>小红书</v>
      </c>
      <c r="F22" s="89" t="str">
        <v>自投</v>
      </c>
      <c r="G22" s="89" t="str">
        <v>江苏拾光宝盒信息技术有限公司</v>
      </c>
      <c r="H22" s="89" t="str">
        <v>内容加热</v>
      </c>
      <c r="I22" s="84" t="s">
        <v>45</v>
      </c>
      <c r="J22" s="91"/>
      <c r="K22" s="92" t="s">
        <v>70</v>
      </c>
      <c r="M22" s="89" t="str">
        <v>ADV21</v>
      </c>
      <c r="N22" s="89" t="str">
        <v>是</v>
      </c>
      <c r="O22" s="89" t="str">
        <v>是</v>
      </c>
      <c r="P22" s="89" t="str">
        <v>是</v>
      </c>
      <c r="Q22" s="89" t="str">
        <v>是</v>
      </c>
      <c r="R22" s="89" t="str">
        <v>不填</v>
      </c>
      <c r="S22" s="89" t="str">
        <v>否</v>
      </c>
      <c r="T22" s="89" t="str">
        <v>品牌运营中心</v>
      </c>
      <c r="U22" s="89" t="str">
        <v>广告投放部</v>
      </c>
      <c r="V22" s="89" t="str">
        <v>内容投放部</v>
      </c>
      <c r="W22" s="84" t="str">
        <v>甘草</v>
      </c>
      <c r="X22" s="89"/>
      <c r="Y22" s="89" t="str">
        <v>贝果</v>
      </c>
      <c r="Z22" s="84" t="str">
        <v>甘草、清和</v>
      </c>
      <c r="AA22" s="89" t="str">
        <v>账号密码</v>
      </c>
    </row>
    <row r="23">
      <c r="A23" s="89" t="str">
        <v>站内</v>
      </c>
      <c r="B23" s="90"/>
      <c r="C23" s="89" t="str">
        <v>杭州宜格化妆品有限公司</v>
      </c>
      <c r="D23" s="89" t="str">
        <v>正常使用</v>
      </c>
      <c r="E23" s="89" t="str">
        <v>小红书</v>
      </c>
      <c r="F23" s="89" t="str">
        <v>自投</v>
      </c>
      <c r="G23" s="89" t="str">
        <v>江苏拾光宝盒信息技术有限公司</v>
      </c>
      <c r="H23" s="89" t="str">
        <v>内容加热</v>
      </c>
      <c r="I23" s="84" t="s">
        <v>45</v>
      </c>
      <c r="J23" s="91"/>
      <c r="K23" s="92" t="s">
        <v>68</v>
      </c>
      <c r="M23" s="89" t="str">
        <v>ADV22</v>
      </c>
      <c r="N23" s="89" t="str">
        <v>是</v>
      </c>
      <c r="O23" s="89" t="str">
        <v>是</v>
      </c>
      <c r="P23" s="89" t="str">
        <v>是</v>
      </c>
      <c r="Q23" s="89" t="str">
        <v>是</v>
      </c>
      <c r="R23" s="89" t="str">
        <v>不填</v>
      </c>
      <c r="S23" s="89" t="str">
        <v>否</v>
      </c>
      <c r="T23" s="89" t="str">
        <v>品牌运营中心</v>
      </c>
      <c r="U23" s="89" t="str">
        <v>广告投放部</v>
      </c>
      <c r="V23" s="89" t="str">
        <v>内容投放部</v>
      </c>
      <c r="W23" s="84" t="str">
        <v>甘草</v>
      </c>
      <c r="X23" s="89"/>
      <c r="Y23" s="89" t="str">
        <v>贝果</v>
      </c>
      <c r="Z23" s="84" t="str">
        <v>甘草、清和</v>
      </c>
      <c r="AA23" s="89" t="str">
        <v>账号密码</v>
      </c>
    </row>
    <row r="24">
      <c r="A24" s="89" t="str">
        <v>站内</v>
      </c>
      <c r="B24" s="90"/>
      <c r="C24" s="89" t="str">
        <v>杭州宜格化妆品有限公司</v>
      </c>
      <c r="D24" s="89" t="str">
        <v>正常使用</v>
      </c>
      <c r="E24" s="89" t="str">
        <v>小红书</v>
      </c>
      <c r="F24" s="89" t="str">
        <v>自投</v>
      </c>
      <c r="G24" s="89" t="str">
        <v>江苏拾光宝盒信息技术有限公司</v>
      </c>
      <c r="H24" s="89" t="str">
        <v>内容加热</v>
      </c>
      <c r="I24" s="84" t="s">
        <v>45</v>
      </c>
      <c r="J24" s="91"/>
      <c r="K24" s="92" t="s">
        <v>71</v>
      </c>
      <c r="M24" s="89" t="str">
        <v>ADV24</v>
      </c>
      <c r="N24" s="89" t="str">
        <v>是</v>
      </c>
      <c r="O24" s="89" t="str">
        <v>是</v>
      </c>
      <c r="P24" s="89" t="str">
        <v>是</v>
      </c>
      <c r="Q24" s="89" t="str">
        <v>是</v>
      </c>
      <c r="R24" s="89" t="str">
        <v>不填</v>
      </c>
      <c r="S24" s="89" t="str">
        <v>否</v>
      </c>
      <c r="T24" s="89" t="str">
        <v>品牌运营中心</v>
      </c>
      <c r="U24" s="89" t="str">
        <v>广告投放部</v>
      </c>
      <c r="V24" s="89" t="str">
        <v>内容投放部</v>
      </c>
      <c r="W24" s="84" t="str">
        <v>甘草</v>
      </c>
      <c r="X24" s="89"/>
      <c r="Y24" s="89" t="str">
        <v>贝果</v>
      </c>
      <c r="Z24" s="84" t="str">
        <v>甘草、清和</v>
      </c>
      <c r="AA24" s="89" t="str">
        <v>账号密码</v>
      </c>
    </row>
    <row r="25">
      <c r="A25" s="89" t="str">
        <v>站内</v>
      </c>
      <c r="B25" s="90"/>
      <c r="C25" s="89" t="str">
        <v>杭州宜格化妆品有限公司</v>
      </c>
      <c r="D25" s="89" t="str">
        <v>正常使用</v>
      </c>
      <c r="E25" s="89" t="str">
        <v>小红书</v>
      </c>
      <c r="F25" s="89" t="str">
        <v>自投</v>
      </c>
      <c r="G25" s="89" t="str">
        <v>广东省广告集团股份有限公司</v>
      </c>
      <c r="H25" s="89" t="str">
        <v>内容加热</v>
      </c>
      <c r="I25" s="84" t="s">
        <v>45</v>
      </c>
      <c r="J25" s="91"/>
      <c r="K25" s="92" t="s">
        <v>44</v>
      </c>
      <c r="M25" s="89" t="str">
        <v>ADV26</v>
      </c>
      <c r="N25" s="89" t="str">
        <v>是</v>
      </c>
      <c r="O25" s="89" t="str">
        <v>是</v>
      </c>
      <c r="P25" s="89" t="str">
        <v>是</v>
      </c>
      <c r="Q25" s="89" t="str">
        <v>是</v>
      </c>
      <c r="R25" s="89" t="str">
        <v>不填</v>
      </c>
      <c r="S25" s="89" t="str">
        <v>否</v>
      </c>
      <c r="T25" s="89" t="str">
        <v>品牌运营中心</v>
      </c>
      <c r="U25" s="89" t="str">
        <v>广告投放部</v>
      </c>
      <c r="V25" s="89" t="str">
        <v>内容投放部</v>
      </c>
      <c r="W25" s="84" t="str">
        <v>甘草</v>
      </c>
      <c r="X25" s="89"/>
      <c r="Y25" s="89" t="str">
        <v>贝果</v>
      </c>
      <c r="Z25" s="84" t="str">
        <v>甘草、清和</v>
      </c>
      <c r="AA25" s="89" t="str">
        <v>账号密码</v>
      </c>
    </row>
    <row r="26">
      <c r="A26" s="89" t="str">
        <v>站内</v>
      </c>
      <c r="B26" s="90"/>
      <c r="C26" s="89" t="str">
        <v>杭州宜格化妆品有限公司</v>
      </c>
      <c r="D26" s="89" t="str">
        <v>正常使用</v>
      </c>
      <c r="E26" s="89" t="str">
        <v>小红书</v>
      </c>
      <c r="F26" s="89" t="str">
        <v>自投</v>
      </c>
      <c r="G26" s="89" t="str">
        <v>广东省广告集团股份有限公司</v>
      </c>
      <c r="H26" s="89" t="str">
        <v>内容加热</v>
      </c>
      <c r="I26" s="84" t="s">
        <v>45</v>
      </c>
      <c r="J26" s="91"/>
      <c r="K26" s="92" t="s">
        <v>63</v>
      </c>
      <c r="M26" s="89" t="str">
        <v>ADV28</v>
      </c>
      <c r="N26" s="89" t="str">
        <v>是</v>
      </c>
      <c r="O26" s="89" t="str">
        <v>是</v>
      </c>
      <c r="P26" s="89" t="str">
        <v>是</v>
      </c>
      <c r="Q26" s="89" t="str">
        <v>是</v>
      </c>
      <c r="R26" s="89" t="str">
        <v>不填</v>
      </c>
      <c r="S26" s="89" t="str">
        <v>否</v>
      </c>
      <c r="T26" s="89" t="str">
        <v>品牌运营中心</v>
      </c>
      <c r="U26" s="89" t="str">
        <v>广告投放部</v>
      </c>
      <c r="V26" s="89" t="str">
        <v>内容投放部</v>
      </c>
      <c r="W26" s="84" t="str">
        <v>甘草</v>
      </c>
      <c r="X26" s="89"/>
      <c r="Y26" s="89" t="str">
        <v>贝果</v>
      </c>
      <c r="Z26" s="84" t="str">
        <v>甘草、清和</v>
      </c>
      <c r="AA26" s="89" t="str">
        <v>账号密码</v>
      </c>
    </row>
    <row r="27">
      <c r="A27" s="89" t="str">
        <v>站内</v>
      </c>
      <c r="B27" s="90"/>
      <c r="C27" s="89" t="str">
        <v>杭州宜格化妆品有限公司</v>
      </c>
      <c r="D27" s="89" t="str">
        <v>正常使用</v>
      </c>
      <c r="E27" s="89" t="str">
        <v>微博</v>
      </c>
      <c r="F27" s="89" t="str">
        <v>自投</v>
      </c>
      <c r="G27" s="89" t="str">
        <v>上海宇枫</v>
      </c>
      <c r="H27" s="89" t="str">
        <v>微博信息流</v>
      </c>
      <c r="I27" s="84" t="s">
        <v>67</v>
      </c>
      <c r="J27" s="91"/>
      <c r="K27" s="92" t="str">
        <v>花西子Florasis</v>
      </c>
      <c r="M27" s="89" t="str">
        <v>ADV35</v>
      </c>
      <c r="N27" s="89" t="str">
        <v>是</v>
      </c>
      <c r="O27" s="89" t="str">
        <v>是</v>
      </c>
      <c r="P27" s="89" t="str">
        <v>是</v>
      </c>
      <c r="Q27" s="89" t="str">
        <v>否</v>
      </c>
      <c r="R27" s="89"/>
      <c r="S27" s="89" t="str">
        <v>否</v>
      </c>
      <c r="T27" s="89" t="str">
        <v>品牌运营中心</v>
      </c>
      <c r="U27" s="89" t="str">
        <v>广告投放部</v>
      </c>
      <c r="V27" s="89" t="str">
        <v>内容投放部</v>
      </c>
      <c r="W27" s="84" t="str">
        <v>柏倩倩</v>
      </c>
      <c r="X27" s="89"/>
      <c r="Y27" s="89" t="str">
        <v>贝果</v>
      </c>
      <c r="Z27" s="84" t="str">
        <v>柏倩倩</v>
      </c>
      <c r="AA27" s="89" t="str">
        <v>账号密码</v>
      </c>
    </row>
    <row r="28">
      <c r="A28" s="89" t="str">
        <v>站内</v>
      </c>
      <c r="B28" s="90"/>
      <c r="C28" s="89" t="str">
        <v>杭州宜格化妆品有限公司</v>
      </c>
      <c r="D28" s="89" t="str">
        <v>正常使用</v>
      </c>
      <c r="E28" s="89" t="str">
        <v>抖音</v>
      </c>
      <c r="F28" s="89" t="str">
        <v>自投</v>
      </c>
      <c r="G28" s="89" t="str">
        <v>上海博观瑞思传媒科技有限公司</v>
      </c>
      <c r="H28" s="89" t="str">
        <v>DOU+</v>
      </c>
      <c r="I28" s="84" t="s">
        <v>42</v>
      </c>
      <c r="J28" s="91"/>
      <c r="K28" s="92" t="str">
        <v>花西子官方旗舰店</v>
      </c>
      <c r="M28" s="89" t="str">
        <v>ADV36</v>
      </c>
      <c r="N28" s="89" t="str">
        <v>是</v>
      </c>
      <c r="O28" s="89" t="str">
        <v>是</v>
      </c>
      <c r="P28" s="89" t="str">
        <v>否</v>
      </c>
      <c r="Q28" s="89" t="str">
        <v>否</v>
      </c>
      <c r="R28" s="89"/>
      <c r="S28" s="89" t="str">
        <v>是</v>
      </c>
      <c r="T28" s="89" t="str">
        <v>品牌运营中心</v>
      </c>
      <c r="U28" s="89" t="str">
        <v>广告投放部</v>
      </c>
      <c r="V28" s="89" t="str">
        <v>内容投放部</v>
      </c>
      <c r="W28" s="84" t="str">
        <v>柏倩倩</v>
      </c>
      <c r="X28" s="89"/>
      <c r="Y28" s="89" t="str">
        <v>贝果</v>
      </c>
      <c r="Z28" s="84" t="str">
        <v>柏倩倩</v>
      </c>
      <c r="AA28" s="89" t="str">
        <v>账号密码</v>
      </c>
    </row>
    <row r="29">
      <c r="A29" s="89" t="str">
        <v>站内</v>
      </c>
      <c r="B29" s="93" t="str">
        <v>AD信息流</v>
      </c>
      <c r="C29" s="89" t="str">
        <v>杭州宜格化妆品有限公司</v>
      </c>
      <c r="D29" s="89" t="str">
        <v>正常使用</v>
      </c>
      <c r="E29" s="89" t="str">
        <v>抖音-巨量纵横</v>
      </c>
      <c r="F29" s="89" t="str">
        <v>自投</v>
      </c>
      <c r="G29" s="89" t="str">
        <v>广东省广告集团股份有限公司</v>
      </c>
      <c r="H29" s="89" t="str">
        <v>天猫抖音AD引流</v>
      </c>
      <c r="I29" s="84" t="s">
        <v>46</v>
      </c>
      <c r="J29" s="91"/>
      <c r="K29" s="92" t="s">
        <v>52</v>
      </c>
      <c r="M29" s="89" t="str">
        <v>ADV37</v>
      </c>
      <c r="N29" s="89" t="str">
        <v>是</v>
      </c>
      <c r="O29" s="89" t="str">
        <v>是</v>
      </c>
      <c r="P29" s="89" t="str">
        <v>是</v>
      </c>
      <c r="Q29" s="89" t="str">
        <v>是</v>
      </c>
      <c r="R29" s="89" t="str">
        <v>不填</v>
      </c>
      <c r="S29" s="89" t="str">
        <v>是</v>
      </c>
      <c r="T29" s="89" t="str">
        <v>品牌运营中心</v>
      </c>
      <c r="U29" s="89" t="str">
        <v>广告投放部</v>
      </c>
      <c r="V29" s="89" t="str">
        <v>站外投放部</v>
      </c>
      <c r="W29" s="84" t="str">
        <v>白纸、阿布、志文、循安</v>
      </c>
      <c r="X29" s="89"/>
      <c r="Y29" s="89" t="str">
        <v>贝果</v>
      </c>
      <c r="Z29" s="84" t="str">
        <v>白纸、阿布、志文、循安</v>
      </c>
      <c r="AA29" s="89" t="str">
        <v>账号密码</v>
      </c>
    </row>
    <row r="30">
      <c r="A30" s="89" t="str">
        <v>站内</v>
      </c>
      <c r="B30" s="93" t="str">
        <v>AD信息流</v>
      </c>
      <c r="C30" s="89" t="str">
        <v>杭州宜格化妆品有限公司</v>
      </c>
      <c r="D30" s="89" t="str">
        <v>正常使用</v>
      </c>
      <c r="E30" s="89" t="str">
        <v>抖音-巨量纵横</v>
      </c>
      <c r="F30" s="89" t="str">
        <v>自投</v>
      </c>
      <c r="G30" s="89" t="str">
        <v>广东省广告集团股份有限公司</v>
      </c>
      <c r="H30" s="89" t="str">
        <v>天猫抖音AD引流</v>
      </c>
      <c r="I30" s="84" t="s">
        <v>46</v>
      </c>
      <c r="J30" s="91"/>
      <c r="K30" s="92" t="s">
        <v>50</v>
      </c>
      <c r="M30" s="89" t="str">
        <v>ADV38</v>
      </c>
      <c r="N30" s="89" t="str">
        <v>是</v>
      </c>
      <c r="O30" s="89" t="str">
        <v>是</v>
      </c>
      <c r="P30" s="89" t="str">
        <v>是</v>
      </c>
      <c r="Q30" s="89" t="str">
        <v>是</v>
      </c>
      <c r="R30" s="89" t="str">
        <v>不填</v>
      </c>
      <c r="S30" s="89" t="str">
        <v>是</v>
      </c>
      <c r="T30" s="89" t="str">
        <v>品牌运营中心</v>
      </c>
      <c r="U30" s="89" t="str">
        <v>广告投放部</v>
      </c>
      <c r="V30" s="89" t="str">
        <v>站外投放部</v>
      </c>
      <c r="W30" s="84" t="str">
        <v>白纸、阿布、志文、循安</v>
      </c>
      <c r="X30" s="89"/>
      <c r="Y30" s="89" t="str">
        <v>贝果</v>
      </c>
      <c r="Z30" s="84" t="str">
        <v>白纸、阿布、志文、循安</v>
      </c>
      <c r="AA30" s="89" t="str">
        <v>账号密码</v>
      </c>
    </row>
    <row r="31">
      <c r="A31" s="89" t="str">
        <v>站内</v>
      </c>
      <c r="B31" s="93" t="str">
        <v>AD信息流</v>
      </c>
      <c r="C31" s="89" t="str">
        <v>杭州宜格化妆品有限公司</v>
      </c>
      <c r="D31" s="89" t="str">
        <v>正常使用</v>
      </c>
      <c r="E31" s="89" t="str">
        <v>抖音-巨量纵横</v>
      </c>
      <c r="F31" s="89" t="str">
        <v>自投</v>
      </c>
      <c r="G31" s="89" t="str">
        <v>广东省广告集团股份有限公司</v>
      </c>
      <c r="H31" s="89" t="str">
        <v>天猫抖音AD引流</v>
      </c>
      <c r="I31" s="84" t="s">
        <v>46</v>
      </c>
      <c r="J31" s="91"/>
      <c r="K31" s="92" t="s">
        <v>69</v>
      </c>
      <c r="M31" s="89" t="str">
        <v>ADV39</v>
      </c>
      <c r="N31" s="89" t="str">
        <v>是</v>
      </c>
      <c r="O31" s="89" t="str">
        <v>是</v>
      </c>
      <c r="P31" s="89" t="str">
        <v>是</v>
      </c>
      <c r="Q31" s="89" t="str">
        <v>是</v>
      </c>
      <c r="R31" s="89" t="str">
        <v>不填</v>
      </c>
      <c r="S31" s="89" t="str">
        <v>是</v>
      </c>
      <c r="T31" s="89" t="str">
        <v>品牌运营中心</v>
      </c>
      <c r="U31" s="89" t="str">
        <v>广告投放部</v>
      </c>
      <c r="V31" s="89" t="str">
        <v>站外投放部</v>
      </c>
      <c r="W31" s="84" t="str">
        <v>白纸、阿布、志文、循安</v>
      </c>
      <c r="X31" s="89"/>
      <c r="Y31" s="89" t="str">
        <v>贝果</v>
      </c>
      <c r="Z31" s="84" t="str">
        <v>白纸、阿布、志文、循安</v>
      </c>
      <c r="AA31" s="89" t="str">
        <v>账号密码</v>
      </c>
    </row>
    <row r="32">
      <c r="A32" s="89" t="str">
        <v>站内</v>
      </c>
      <c r="B32" s="93" t="str">
        <v>AD信息流</v>
      </c>
      <c r="C32" s="89" t="str">
        <v>杭州宜格化妆品有限公司</v>
      </c>
      <c r="D32" s="89" t="str">
        <v>正常使用</v>
      </c>
      <c r="E32" s="89" t="str">
        <v>抖音-巨量纵横</v>
      </c>
      <c r="F32" s="89" t="str">
        <v>自投</v>
      </c>
      <c r="G32" s="89" t="str">
        <v>广东省广告集团股份有限公司</v>
      </c>
      <c r="H32" s="89" t="str">
        <v>天猫抖音AD引流</v>
      </c>
      <c r="I32" s="84" t="s">
        <v>46</v>
      </c>
      <c r="J32" s="91"/>
      <c r="K32" s="92" t="s">
        <v>59</v>
      </c>
      <c r="M32" s="89" t="str">
        <v>ADV40</v>
      </c>
      <c r="N32" s="89" t="str">
        <v>是</v>
      </c>
      <c r="O32" s="89" t="str">
        <v>是</v>
      </c>
      <c r="P32" s="89" t="str">
        <v>是</v>
      </c>
      <c r="Q32" s="89" t="str">
        <v>是</v>
      </c>
      <c r="R32" s="89" t="str">
        <v>不填</v>
      </c>
      <c r="S32" s="89" t="str">
        <v>是</v>
      </c>
      <c r="T32" s="89" t="str">
        <v>品牌运营中心</v>
      </c>
      <c r="U32" s="89" t="str">
        <v>广告投放部</v>
      </c>
      <c r="V32" s="89" t="str">
        <v>站外投放部</v>
      </c>
      <c r="W32" s="84" t="str">
        <v>白纸、阿布、志文、循安</v>
      </c>
      <c r="X32" s="89"/>
      <c r="Y32" s="89" t="str">
        <v>贝果</v>
      </c>
      <c r="Z32" s="84" t="str">
        <v>白纸、阿布、志文、循安</v>
      </c>
      <c r="AA32" s="89" t="str">
        <v>账号密码</v>
      </c>
    </row>
    <row r="33">
      <c r="A33" s="89" t="str">
        <v>站内</v>
      </c>
      <c r="B33" s="93" t="str">
        <v>AD信息流</v>
      </c>
      <c r="C33" s="89" t="str">
        <v>杭州宜格化妆品有限公司</v>
      </c>
      <c r="D33" s="89" t="str">
        <v>正常使用</v>
      </c>
      <c r="E33" s="89" t="str">
        <v>抖音-巨量纵横</v>
      </c>
      <c r="F33" s="89" t="str">
        <v>自投</v>
      </c>
      <c r="G33" s="89" t="str">
        <v>广东省广告集团股份有限公司</v>
      </c>
      <c r="H33" s="89" t="str">
        <v>天猫抖音AD引流</v>
      </c>
      <c r="I33" s="84" t="s">
        <v>46</v>
      </c>
      <c r="J33" s="91"/>
      <c r="K33" s="92" t="s">
        <v>47</v>
      </c>
      <c r="M33" s="89" t="str">
        <v>ADV41</v>
      </c>
      <c r="N33" s="89" t="str">
        <v>是</v>
      </c>
      <c r="O33" s="89" t="str">
        <v>是</v>
      </c>
      <c r="P33" s="89" t="str">
        <v>是</v>
      </c>
      <c r="Q33" s="89" t="str">
        <v>是</v>
      </c>
      <c r="R33" s="89" t="str">
        <v>不填</v>
      </c>
      <c r="S33" s="89" t="str">
        <v>是</v>
      </c>
      <c r="T33" s="89" t="str">
        <v>品牌运营中心</v>
      </c>
      <c r="U33" s="89" t="str">
        <v>广告投放部</v>
      </c>
      <c r="V33" s="89" t="str">
        <v>站外投放部</v>
      </c>
      <c r="W33" s="84" t="str">
        <v>白纸、阿布、志文、循安</v>
      </c>
      <c r="X33" s="89"/>
      <c r="Y33" s="89" t="str">
        <v>贝果</v>
      </c>
      <c r="Z33" s="84" t="str">
        <v>白纸、阿布、志文、循安</v>
      </c>
      <c r="AA33" s="89" t="str">
        <v>账号密码</v>
      </c>
    </row>
    <row r="34">
      <c r="A34" s="89" t="str">
        <v>站内</v>
      </c>
      <c r="B34" s="93" t="str">
        <v>AD信息流</v>
      </c>
      <c r="C34" s="89" t="str">
        <v>杭州宜格化妆品有限公司</v>
      </c>
      <c r="D34" s="89" t="str">
        <v>正常使用</v>
      </c>
      <c r="E34" s="89" t="str">
        <v>抖音-巨量纵横</v>
      </c>
      <c r="F34" s="89" t="str">
        <v>自投</v>
      </c>
      <c r="G34" s="89" t="str">
        <v>群邑（上海）广告有限公司</v>
      </c>
      <c r="H34" s="89" t="str">
        <v>天猫抖音AD引流</v>
      </c>
      <c r="I34" s="84" t="s">
        <v>46</v>
      </c>
      <c r="J34" s="91"/>
      <c r="K34" s="92" t="s">
        <v>72</v>
      </c>
      <c r="M34" s="89" t="str">
        <v>ADV42</v>
      </c>
      <c r="N34" s="89" t="str">
        <v>是</v>
      </c>
      <c r="O34" s="89" t="str">
        <v>是</v>
      </c>
      <c r="P34" s="89" t="str">
        <v>是</v>
      </c>
      <c r="Q34" s="89" t="str">
        <v>是</v>
      </c>
      <c r="R34" s="89" t="str">
        <v>不填</v>
      </c>
      <c r="S34" s="89" t="str">
        <v>是</v>
      </c>
      <c r="T34" s="89" t="str">
        <v>品牌运营中心</v>
      </c>
      <c r="U34" s="89" t="str">
        <v>广告投放部</v>
      </c>
      <c r="V34" s="89" t="str">
        <v>站外投放部</v>
      </c>
      <c r="W34" s="84" t="str">
        <v>白纸、阿布、志文、循安</v>
      </c>
      <c r="X34" s="89"/>
      <c r="Y34" s="89" t="str">
        <v>贝果</v>
      </c>
      <c r="Z34" s="84" t="str">
        <v>白纸、阿布、志文、循安</v>
      </c>
      <c r="AA34" s="89" t="str">
        <v>账号密码</v>
      </c>
    </row>
    <row r="35">
      <c r="A35" s="89" t="str">
        <v>站内</v>
      </c>
      <c r="B35" s="93" t="str">
        <v>AD信息流</v>
      </c>
      <c r="C35" s="89" t="str">
        <v>杭州宜格化妆品有限公司</v>
      </c>
      <c r="D35" s="89" t="str">
        <v>正常使用</v>
      </c>
      <c r="E35" s="89" t="str">
        <v>抖音-巨量纵横</v>
      </c>
      <c r="F35" s="89" t="str">
        <v>自投</v>
      </c>
      <c r="G35" s="89" t="str">
        <v>群邑（上海）广告有限公司</v>
      </c>
      <c r="H35" s="89" t="str">
        <v>天猫抖音AD引流</v>
      </c>
      <c r="I35" s="84" t="s">
        <v>46</v>
      </c>
      <c r="J35" s="91"/>
      <c r="K35" s="92" t="s">
        <v>73</v>
      </c>
      <c r="M35" s="89" t="str">
        <v>ADV43</v>
      </c>
      <c r="N35" s="89" t="str">
        <v>是</v>
      </c>
      <c r="O35" s="89" t="str">
        <v>是</v>
      </c>
      <c r="P35" s="89" t="str">
        <v>是</v>
      </c>
      <c r="Q35" s="89" t="str">
        <v>是</v>
      </c>
      <c r="R35" s="89" t="str">
        <v>不填</v>
      </c>
      <c r="S35" s="89" t="str">
        <v>是</v>
      </c>
      <c r="T35" s="89" t="str">
        <v>品牌运营中心</v>
      </c>
      <c r="U35" s="89" t="str">
        <v>广告投放部</v>
      </c>
      <c r="V35" s="89" t="str">
        <v>站外投放部</v>
      </c>
      <c r="W35" s="84" t="str">
        <v>白纸、阿布、志文、循安</v>
      </c>
      <c r="X35" s="89"/>
      <c r="Y35" s="89" t="str">
        <v>贝果</v>
      </c>
      <c r="Z35" s="84" t="str">
        <v>白纸、阿布、志文、循安</v>
      </c>
      <c r="AA35" s="89" t="str">
        <v>账号密码</v>
      </c>
    </row>
    <row r="36">
      <c r="A36" s="89" t="str">
        <v>站内</v>
      </c>
      <c r="B36" s="93" t="str">
        <v>UD信息流</v>
      </c>
      <c r="C36" s="89" t="str">
        <v>杭州宜格化妆品有限公司</v>
      </c>
      <c r="D36" s="89" t="str">
        <v>正常使用</v>
      </c>
      <c r="E36" s="89" t="str">
        <v>Uni Desk</v>
      </c>
      <c r="F36" s="89" t="str">
        <v>自投</v>
      </c>
      <c r="G36" s="89" t="str">
        <v>北京九合互动文化传播有限公司</v>
      </c>
      <c r="H36" s="89" t="str">
        <v>UD信息流引流</v>
      </c>
      <c r="I36" s="84" t="s">
        <v>56</v>
      </c>
      <c r="J36" s="91"/>
      <c r="K36" s="92" t="str">
        <v>tb963892057577</v>
      </c>
      <c r="M36" s="89" t="str">
        <v>ADV44</v>
      </c>
      <c r="N36" s="89" t="str">
        <v>是</v>
      </c>
      <c r="O36" s="89" t="str">
        <v>是</v>
      </c>
      <c r="P36" s="89" t="str">
        <v>是</v>
      </c>
      <c r="Q36" s="89" t="str">
        <v>是</v>
      </c>
      <c r="R36" s="89" t="str">
        <v>不填</v>
      </c>
      <c r="S36" s="89" t="str">
        <v>是</v>
      </c>
      <c r="T36" s="89" t="str">
        <v>品牌运营中心</v>
      </c>
      <c r="U36" s="89" t="str">
        <v>广告投放部</v>
      </c>
      <c r="V36" s="89" t="str">
        <v>站外投放部</v>
      </c>
      <c r="W36" s="84" t="str">
        <v>白纸、阿布、志文</v>
      </c>
      <c r="X36" s="89"/>
      <c r="Y36" s="89" t="str">
        <v>贝果</v>
      </c>
      <c r="Z36" s="84" t="str">
        <v>白纸、阿布、志文</v>
      </c>
      <c r="AA36" s="89" t="str">
        <v>账号密码</v>
      </c>
    </row>
    <row r="37">
      <c r="A37" s="89" t="str">
        <v>站内</v>
      </c>
      <c r="B37" s="90"/>
      <c r="C37" s="89" t="str">
        <v>杭州宜格化妆品有限公司</v>
      </c>
      <c r="D37" s="89" t="str">
        <v>正常使用</v>
      </c>
      <c r="E37" s="89" t="str">
        <v>百度营销</v>
      </c>
      <c r="F37" s="89" t="str">
        <v>自投</v>
      </c>
      <c r="G37" s="89" t="str">
        <v>北京云锐国际文化传媒有限公司</v>
      </c>
      <c r="H37" s="89" t="str">
        <v>百度信息流引流</v>
      </c>
      <c r="I37" s="84" t="s">
        <v>49</v>
      </c>
      <c r="J37" s="91"/>
      <c r="K37" s="92" t="str">
        <v>杭州宜格化妆品有限公司1（shvipyr花西子3）</v>
      </c>
      <c r="M37" s="89" t="str">
        <v>ADV46</v>
      </c>
      <c r="N37" s="89" t="str">
        <v>是</v>
      </c>
      <c r="O37" s="89" t="str">
        <v>是</v>
      </c>
      <c r="P37" s="89" t="str">
        <v>是</v>
      </c>
      <c r="Q37" s="89" t="str">
        <v>是</v>
      </c>
      <c r="R37" s="89" t="str">
        <v>不填</v>
      </c>
      <c r="S37" s="89" t="str">
        <v>是</v>
      </c>
      <c r="T37" s="89" t="str">
        <v>品牌运营中心</v>
      </c>
      <c r="U37" s="89" t="str">
        <v>广告投放部</v>
      </c>
      <c r="V37" s="89" t="str">
        <v>站外投放部</v>
      </c>
      <c r="W37" s="84" t="str">
        <v>白纸、阿布、循安</v>
      </c>
      <c r="X37" s="89"/>
      <c r="Y37" s="89" t="str">
        <v>贝果</v>
      </c>
      <c r="Z37" s="84" t="str">
        <v>白纸、阿布、循安</v>
      </c>
      <c r="AA37" s="89" t="str">
        <v>账号密码</v>
      </c>
    </row>
    <row r="38">
      <c r="A38" s="89" t="str">
        <v>站内</v>
      </c>
      <c r="B38" s="90"/>
      <c r="C38" s="89" t="str">
        <v>杭州宜格化妆品有限公司</v>
      </c>
      <c r="D38" s="89" t="str">
        <v>正常使用</v>
      </c>
      <c r="E38" s="89" t="str">
        <v>磁力引擎</v>
      </c>
      <c r="F38" s="89" t="str">
        <v>自投</v>
      </c>
      <c r="G38" s="89" t="str">
        <v>北京起量文化传媒有限公司</v>
      </c>
      <c r="H38" s="89" t="str">
        <v>快手信息流引流</v>
      </c>
      <c r="I38" s="84" t="s">
        <v>57</v>
      </c>
      <c r="J38" s="91"/>
      <c r="K38" s="92">
        <v>13362198950</v>
      </c>
      <c r="M38" s="89" t="str">
        <v>ADV47</v>
      </c>
      <c r="N38" s="89" t="str">
        <v>是</v>
      </c>
      <c r="O38" s="89" t="str">
        <v>是</v>
      </c>
      <c r="P38" s="89" t="str">
        <v>是</v>
      </c>
      <c r="Q38" s="89" t="str">
        <v>是</v>
      </c>
      <c r="R38" s="89" t="str">
        <v>不填</v>
      </c>
      <c r="S38" s="89" t="str">
        <v>是</v>
      </c>
      <c r="T38" s="89" t="str">
        <v>品牌运营中心</v>
      </c>
      <c r="U38" s="89" t="str">
        <v>广告投放部</v>
      </c>
      <c r="V38" s="89" t="str">
        <v>站外投放部</v>
      </c>
      <c r="W38" s="84" t="str">
        <v>白纸、羽阳</v>
      </c>
      <c r="X38" s="89"/>
      <c r="Y38" s="89" t="str">
        <v>贝果</v>
      </c>
      <c r="Z38" s="84" t="str">
        <v>白纸、羽阳</v>
      </c>
      <c r="AA38" s="89" t="str">
        <v>账号密码</v>
      </c>
    </row>
    <row r="39">
      <c r="A39" s="89" t="str">
        <v>站内</v>
      </c>
      <c r="B39" s="93" t="str">
        <v>磁力金牛</v>
      </c>
      <c r="C39" s="89" t="str">
        <v>杭州宜格化妆品有限公司</v>
      </c>
      <c r="D39" s="89" t="str">
        <v>正常使用</v>
      </c>
      <c r="E39" s="89" t="str">
        <v>磁力金牛</v>
      </c>
      <c r="F39" s="89" t="str">
        <v>自投</v>
      </c>
      <c r="G39" s="89" t="str">
        <v>北京起量文化传媒有限公司</v>
      </c>
      <c r="H39" s="89" t="str">
        <v>快手磁力金牛</v>
      </c>
      <c r="I39" s="84" t="s">
        <v>62</v>
      </c>
      <c r="J39" s="91"/>
      <c r="K39" s="92">
        <v>13396586970</v>
      </c>
      <c r="M39" s="89" t="str">
        <v>ADV48</v>
      </c>
      <c r="N39" s="89" t="str">
        <v>是</v>
      </c>
      <c r="O39" s="89" t="str">
        <v>是</v>
      </c>
      <c r="P39" s="89" t="str">
        <v>是</v>
      </c>
      <c r="Q39" s="89" t="str">
        <v>是</v>
      </c>
      <c r="R39" s="89" t="str">
        <v>不填</v>
      </c>
      <c r="S39" s="89" t="str">
        <v>是</v>
      </c>
      <c r="T39" s="89" t="str">
        <v>品牌运营中心</v>
      </c>
      <c r="U39" s="89" t="str">
        <v>广告投放部</v>
      </c>
      <c r="V39" s="89" t="str">
        <v>站外投放部</v>
      </c>
      <c r="W39" s="84" t="str">
        <v>白纸、羽阳</v>
      </c>
      <c r="X39" s="89"/>
      <c r="Y39" s="89" t="str">
        <v>贝果</v>
      </c>
      <c r="Z39" s="84" t="str">
        <v>白纸、羽阳</v>
      </c>
      <c r="AA39" s="89" t="str">
        <v>账号密码</v>
      </c>
    </row>
    <row r="40">
      <c r="A40" s="89" t="str">
        <v>站内</v>
      </c>
      <c r="B40" s="90"/>
      <c r="C40" s="89" t="str">
        <v>杭州宜格化妆品有限公司</v>
      </c>
      <c r="D40" s="89" t="str">
        <v>正常使用</v>
      </c>
      <c r="E40" s="89" t="str">
        <v>腾讯ADQ</v>
      </c>
      <c r="F40" s="89" t="str">
        <v>自投</v>
      </c>
      <c r="G40" s="89" t="str">
        <v>群邑（上海）广告有限公司</v>
      </c>
      <c r="H40" s="89" t="str">
        <v>微信渠道投放</v>
      </c>
      <c r="I40" s="84" t="s">
        <v>64</v>
      </c>
      <c r="J40" s="91"/>
      <c r="K40" s="92" t="str">
        <v>微信扫码登录</v>
      </c>
      <c r="M40" s="89" t="str">
        <v>ADV49</v>
      </c>
      <c r="N40" s="89" t="str">
        <v>是</v>
      </c>
      <c r="O40" s="89" t="str">
        <v>是</v>
      </c>
      <c r="P40" s="89" t="str">
        <v>是</v>
      </c>
      <c r="Q40" s="89" t="str">
        <v>是</v>
      </c>
      <c r="R40" s="89" t="str">
        <v>不填</v>
      </c>
      <c r="S40" s="89" t="str">
        <v>是</v>
      </c>
      <c r="T40" s="89" t="str">
        <v>品牌运营中心</v>
      </c>
      <c r="U40" s="89" t="str">
        <v>广告投放部</v>
      </c>
      <c r="V40" s="89" t="str">
        <v>站外投放部</v>
      </c>
      <c r="W40" s="84" t="str">
        <v>白纸</v>
      </c>
      <c r="X40" s="89"/>
      <c r="Y40" s="89" t="str">
        <v>贝果</v>
      </c>
      <c r="Z40" s="84" t="str">
        <v>白纸</v>
      </c>
      <c r="AA40" s="89" t="str">
        <v>账号密码</v>
      </c>
    </row>
    <row r="41">
      <c r="A41" s="86" t="str">
        <v>站外</v>
      </c>
      <c r="B41" s="86" t="str">
        <v>千川信息流</v>
      </c>
      <c r="C41" s="22" t="str">
        <v>杭州宜格化妆品有限公司</v>
      </c>
      <c r="D41" s="87"/>
      <c r="E41" s="85"/>
      <c r="F41" s="87"/>
      <c r="G41" s="86" t="str">
        <v>北京云锐国际文化传媒有限公司</v>
      </c>
      <c r="H41" s="26"/>
      <c r="I41" s="26"/>
      <c r="J41" s="10" t="str">
        <v>1727265617683469</v>
      </c>
      <c r="K41" s="10" t="str" xml:space="preserve">
        <v>云锐-直播-官号2 </v>
      </c>
      <c r="M41" s="26"/>
      <c r="N41" s="26"/>
      <c r="O41" s="26"/>
      <c r="P41" s="85"/>
      <c r="Q41" s="85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86" t="str">
        <v>站外</v>
      </c>
      <c r="B42" s="85" t="str">
        <v>磁力金牛</v>
      </c>
      <c r="C42" s="85"/>
      <c r="D42" s="87"/>
      <c r="E42" s="85"/>
      <c r="F42" s="87"/>
      <c r="G42" s="85" t="str">
        <v>北京云锐国际文化传媒有限公司</v>
      </c>
      <c r="H42" s="26"/>
      <c r="I42" s="26"/>
      <c r="J42" s="12">
        <v>13304453</v>
      </c>
      <c r="K42" s="12" t="str">
        <v>花西子Florasis-云锐测试</v>
      </c>
      <c r="M42" s="26"/>
      <c r="N42" s="26"/>
      <c r="O42" s="26"/>
      <c r="P42" s="85"/>
      <c r="Q42" s="85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10" t="str">
        <v>站外</v>
      </c>
      <c r="B43" s="22" t="str">
        <v>AD信息流</v>
      </c>
      <c r="C43" s="22" t="str">
        <v>杭州宜格化妆品有限公司</v>
      </c>
      <c r="E43" s="22" t="str">
        <v>抖音</v>
      </c>
      <c r="F43" s="87"/>
      <c r="G43" s="10" t="str">
        <v>广东省广告集团股份有限公司</v>
      </c>
      <c r="H43" s="26"/>
      <c r="I43" s="26"/>
      <c r="J43" s="10" t="str">
        <v>1762866886323341</v>
      </c>
      <c r="K43" s="10" t="str">
        <v>abuHZP-天猫AD-省广-CID玉养气垫</v>
      </c>
      <c r="P43" s="22" t="str">
        <v>否</v>
      </c>
      <c r="Q43" s="22" t="str">
        <v>否</v>
      </c>
    </row>
    <row r="44">
      <c r="A44" s="10" t="str">
        <v>站外</v>
      </c>
      <c r="B44" s="22" t="str">
        <v>AD信息流</v>
      </c>
      <c r="C44" s="22" t="str">
        <v>杭州宜格化妆品有限公司</v>
      </c>
      <c r="E44" s="22" t="str">
        <v>抖音</v>
      </c>
      <c r="F44" s="87"/>
      <c r="G44" s="10" t="str">
        <v>广东省广告集团股份有限公司</v>
      </c>
      <c r="H44" s="26"/>
      <c r="I44" s="26"/>
      <c r="J44" s="10" t="str">
        <v>1758638395883534</v>
      </c>
      <c r="K44" s="10" t="str">
        <v>abuHZP-天猫AD-省广-CID23玉容轻妆出行组合</v>
      </c>
      <c r="P44" s="22" t="str">
        <v>否</v>
      </c>
      <c r="Q44" s="22" t="str">
        <v>否</v>
      </c>
    </row>
    <row r="45">
      <c r="A45" s="10" t="str">
        <v>站外</v>
      </c>
      <c r="B45" s="10" t="str">
        <v>AD信息流</v>
      </c>
      <c r="C45" s="22" t="str">
        <v>杭州宜格化妆品有限公司</v>
      </c>
      <c r="E45" s="22" t="str">
        <v>抖音</v>
      </c>
      <c r="F45" s="87"/>
      <c r="G45" s="10" t="str">
        <v>广东省广告集团股份有限公司</v>
      </c>
      <c r="H45" s="26"/>
      <c r="I45" s="26"/>
      <c r="J45" s="10" t="str">
        <v>1744729041456135</v>
      </c>
      <c r="K45" s="10" t="str">
        <v>HZP-天猫AD信息流-省广-CID9（X眉笔）</v>
      </c>
      <c r="P45" s="22" t="str">
        <v>否</v>
      </c>
      <c r="Q45" s="22" t="str">
        <v>否</v>
      </c>
    </row>
    <row r="46">
      <c r="A46" s="10" t="str">
        <v>站外</v>
      </c>
      <c r="B46" s="10" t="str">
        <v>AD信息流</v>
      </c>
      <c r="C46" s="22" t="str">
        <v>杭州宜格化妆品有限公司</v>
      </c>
      <c r="E46" s="22" t="str">
        <v>抖音</v>
      </c>
      <c r="F46" s="87"/>
      <c r="G46" s="10" t="str">
        <v>广东省广告集团股份有限公司</v>
      </c>
      <c r="H46" s="26"/>
      <c r="I46" s="26"/>
      <c r="J46" s="10" t="str">
        <v>1744631353681928</v>
      </c>
      <c r="K46" s="10" t="str">
        <v>HZP-天猫AD信息流-省广-CID4小黛伞防晒</v>
      </c>
      <c r="P46" s="22" t="str">
        <v>否</v>
      </c>
      <c r="Q46" s="22" t="str">
        <v>否</v>
      </c>
    </row>
    <row r="47">
      <c r="A47" s="10" t="str">
        <v>站外</v>
      </c>
      <c r="B47" s="10" t="str">
        <v>AD信息流</v>
      </c>
      <c r="C47" s="22" t="str">
        <v>杭州宜格化妆品有限公司</v>
      </c>
      <c r="E47" s="22" t="str">
        <v>抖音</v>
      </c>
      <c r="F47" s="87"/>
      <c r="G47" s="10" t="str">
        <v>广东省广告集团股份有限公司</v>
      </c>
      <c r="H47" s="26"/>
      <c r="I47" s="26"/>
      <c r="J47" s="10" t="str">
        <v>1752335658405895</v>
      </c>
      <c r="K47" s="10" t="str">
        <v>定妆花西子-杭州宜格CID投放-16玉养蜜粉</v>
      </c>
      <c r="P47" s="22" t="str">
        <v>否</v>
      </c>
      <c r="Q47" s="22" t="str">
        <v>否</v>
      </c>
    </row>
    <row r="48">
      <c r="A48" s="10" t="str">
        <v>站外</v>
      </c>
      <c r="B48" s="10" t="str">
        <v>AD信息流</v>
      </c>
      <c r="C48" s="22" t="str">
        <v>杭州宜格化妆品有限公司</v>
      </c>
      <c r="E48" s="22" t="str">
        <v>抖音</v>
      </c>
      <c r="F48" s="87"/>
      <c r="G48" s="10" t="str">
        <v>广东省广告集团股份有限公司</v>
      </c>
      <c r="H48" s="26"/>
      <c r="I48" s="26"/>
      <c r="J48" s="10" t="str">
        <v>1752335657150542</v>
      </c>
      <c r="K48" s="10" t="str">
        <v>定妆花西子-杭州宜格CID投放-14有色粉饼</v>
      </c>
      <c r="P48" s="22" t="str">
        <v>否</v>
      </c>
      <c r="Q48" s="22" t="str">
        <v>否</v>
      </c>
    </row>
    <row r="49">
      <c r="A49" s="10" t="str">
        <v>站外</v>
      </c>
      <c r="B49" s="10" t="str">
        <v>AD信息流</v>
      </c>
      <c r="C49" s="22" t="str">
        <v>杭州宜格化妆品有限公司</v>
      </c>
      <c r="E49" s="22" t="str">
        <v>抖音</v>
      </c>
      <c r="F49" s="87"/>
      <c r="G49" s="10" t="str">
        <v>广东省广告集团股份有限公司</v>
      </c>
      <c r="H49" s="26"/>
      <c r="I49" s="26"/>
      <c r="J49" s="10" t="str">
        <v>1750901317073991</v>
      </c>
      <c r="K49" s="10" t="str">
        <v>花西子-杭州宜格CID投放-6X持色唇纱</v>
      </c>
      <c r="P49" s="22" t="str">
        <v>否</v>
      </c>
      <c r="Q49" s="22" t="str">
        <v>否</v>
      </c>
    </row>
    <row r="50">
      <c r="A50" s="10" t="str">
        <v>站外</v>
      </c>
      <c r="B50" s="10" t="str">
        <v>AD信息流</v>
      </c>
      <c r="C50" s="22" t="str">
        <v>杭州宜格化妆品有限公司</v>
      </c>
      <c r="E50" s="22" t="str">
        <v>抖音</v>
      </c>
      <c r="F50" s="87"/>
      <c r="G50" s="10" t="str">
        <v>广东省广告集团股份有限公司</v>
      </c>
      <c r="H50" s="26"/>
      <c r="I50" s="26"/>
      <c r="J50" s="10" t="str">
        <v>1747107074839566</v>
      </c>
      <c r="K50" s="10" t="str">
        <v>abuHZP-天猫AD信息流-省广-CID19素颜出行组合</v>
      </c>
      <c r="P50" s="22" t="str">
        <v>否</v>
      </c>
      <c r="Q50" s="22" t="str">
        <v>否</v>
      </c>
    </row>
    <row r="51">
      <c r="A51" s="10" t="str">
        <v>站外</v>
      </c>
      <c r="B51" s="10" t="str">
        <v>AD信息流</v>
      </c>
      <c r="C51" s="22" t="str">
        <v>杭州宜格化妆品有限公司</v>
      </c>
      <c r="E51" s="22" t="str">
        <v>抖音</v>
      </c>
      <c r="F51" s="87"/>
      <c r="G51" s="10" t="str">
        <v>广东省广告集团股份有限公司</v>
      </c>
      <c r="H51" s="26"/>
      <c r="I51" s="26"/>
      <c r="J51" s="10" t="str">
        <v>1750901319256072</v>
      </c>
      <c r="K51" s="10" t="str">
        <v>定妆花西子-杭州宜格CID投放-9玉养蜜粉</v>
      </c>
      <c r="P51" s="22" t="str">
        <v>否</v>
      </c>
      <c r="Q51" s="22" t="str">
        <v>否</v>
      </c>
    </row>
    <row r="52">
      <c r="A52" s="10" t="str">
        <v>站外</v>
      </c>
      <c r="B52" s="10" t="str">
        <v>AD信息流</v>
      </c>
      <c r="C52" s="22" t="str">
        <v>杭州宜格化妆品有限公司</v>
      </c>
      <c r="E52" s="22" t="str">
        <v>抖音</v>
      </c>
      <c r="F52" s="87"/>
      <c r="G52" s="10" t="str">
        <v>广东省广告集团股份有限公司</v>
      </c>
      <c r="H52" s="26"/>
      <c r="I52" s="26"/>
      <c r="J52" s="10" t="str">
        <v>1750901314010184</v>
      </c>
      <c r="K52" s="10" t="str">
        <v>abu花西子-杭州宜格CID投放-2私模气垫</v>
      </c>
      <c r="P52" s="22" t="str">
        <v>否</v>
      </c>
      <c r="Q52" s="22" t="str">
        <v>否</v>
      </c>
    </row>
    <row r="53">
      <c r="A53" s="10" t="str">
        <v>站外</v>
      </c>
      <c r="B53" s="10" t="str">
        <v>AD信息流</v>
      </c>
      <c r="C53" s="22" t="str">
        <v>杭州宜格化妆品有限公司</v>
      </c>
      <c r="E53" s="22" t="str">
        <v>抖音</v>
      </c>
      <c r="F53" s="87"/>
      <c r="G53" s="10" t="str">
        <v>广东省广告集团股份有限公司</v>
      </c>
      <c r="H53" s="26"/>
      <c r="I53" s="26"/>
      <c r="J53" s="10" t="str">
        <v>1758638396516360</v>
      </c>
      <c r="K53" s="10" t="str">
        <v>花西子-杭州宜格CID投放-24X持色唇纱4P</v>
      </c>
      <c r="P53" s="22" t="str">
        <v>否</v>
      </c>
      <c r="Q53" s="22" t="str">
        <v>否</v>
      </c>
    </row>
    <row r="54">
      <c r="A54" s="10" t="str">
        <v>站外</v>
      </c>
      <c r="B54" s="10" t="str">
        <v>AD信息流</v>
      </c>
      <c r="C54" s="22" t="str">
        <v>杭州宜格化妆品有限公司</v>
      </c>
      <c r="E54" s="22" t="str">
        <v>抖音</v>
      </c>
      <c r="F54" s="87"/>
      <c r="G54" s="10" t="str">
        <v>广东省广告集团股份有限公司</v>
      </c>
      <c r="H54" s="26"/>
      <c r="I54" s="26"/>
      <c r="J54" s="10" t="str">
        <v>1750901317821447</v>
      </c>
      <c r="K54" s="10" t="str">
        <v>花西子-杭州宜格CID投放-7X眉粉笔</v>
      </c>
      <c r="P54" s="22" t="str">
        <v>否</v>
      </c>
      <c r="Q54" s="22" t="str">
        <v>否</v>
      </c>
    </row>
    <row r="55">
      <c r="A55" s="10" t="str">
        <v>站外</v>
      </c>
      <c r="B55" s="10" t="str">
        <v>AD信息流</v>
      </c>
      <c r="C55" s="22" t="str">
        <v>杭州宜格化妆品有限公司</v>
      </c>
      <c r="E55" s="22" t="str">
        <v>抖音</v>
      </c>
      <c r="F55" s="87"/>
      <c r="G55" s="10" t="str">
        <v>广东省广告集团股份有限公司</v>
      </c>
      <c r="H55" s="26"/>
      <c r="I55" s="26"/>
      <c r="J55" s="10" t="str">
        <v>1752335660396552</v>
      </c>
      <c r="K55" s="10" t="str">
        <v>定妆花西子-杭州宜格CID投放-19私模蜜粉</v>
      </c>
      <c r="P55" s="22" t="str">
        <v>否</v>
      </c>
      <c r="Q55" s="22" t="str">
        <v>否</v>
      </c>
    </row>
    <row r="56">
      <c r="A56" s="10" t="str">
        <v>站外</v>
      </c>
      <c r="B56" s="10" t="str">
        <v>AD信息流</v>
      </c>
      <c r="C56" s="22" t="str">
        <v>杭州宜格化妆品有限公司</v>
      </c>
      <c r="E56" s="22" t="str">
        <v>抖音</v>
      </c>
      <c r="F56" s="87"/>
      <c r="G56" s="10" t="str">
        <v>广东省广告集团股份有限公司</v>
      </c>
      <c r="H56" s="26"/>
      <c r="I56" s="26"/>
      <c r="J56" s="10" t="str">
        <v>1752335655990285</v>
      </c>
      <c r="K56" s="10" t="str">
        <v>abu花西子-杭州宜格CID投放-12私模气垫</v>
      </c>
      <c r="P56" s="22" t="str">
        <v>否</v>
      </c>
      <c r="Q56" s="22" t="str">
        <v>否</v>
      </c>
    </row>
    <row r="57">
      <c r="A57" s="10" t="str">
        <v>站外</v>
      </c>
      <c r="B57" s="10" t="str">
        <v>AD信息流</v>
      </c>
      <c r="C57" s="22" t="str">
        <v>杭州宜格化妆品有限公司</v>
      </c>
      <c r="E57" s="22" t="str">
        <v>抖音</v>
      </c>
      <c r="F57" s="87"/>
      <c r="G57" s="10" t="str">
        <v>广东省广告集团股份有限公司</v>
      </c>
      <c r="H57" s="26"/>
      <c r="I57" s="26"/>
      <c r="J57" s="10" t="str">
        <v>1750901316273160</v>
      </c>
      <c r="K57" s="10" t="str">
        <v>花西子-杭州宜格CID投放-5X东方妆奁</v>
      </c>
      <c r="P57" s="22" t="str">
        <v>否</v>
      </c>
      <c r="Q57" s="22" t="str">
        <v>否</v>
      </c>
    </row>
    <row r="58">
      <c r="A58" s="10" t="str">
        <v>站外</v>
      </c>
      <c r="B58" s="10" t="str">
        <v>AD信息流</v>
      </c>
      <c r="C58" s="22" t="str">
        <v>杭州宜格化妆品有限公司</v>
      </c>
      <c r="E58" s="22" t="str">
        <v>抖音</v>
      </c>
      <c r="F58" s="87"/>
      <c r="G58" s="10" t="str">
        <v>广东省广告集团股份有限公司</v>
      </c>
      <c r="H58" s="26"/>
      <c r="I58" s="26"/>
      <c r="J58" s="10" t="str">
        <v>1758638394426375</v>
      </c>
      <c r="K58" s="10" t="str">
        <v>定妆花西子-杭州宜格CID投放-21玉养喷雾</v>
      </c>
      <c r="P58" s="22" t="str">
        <v>否</v>
      </c>
      <c r="Q58" s="22" t="str">
        <v>否</v>
      </c>
    </row>
    <row r="59">
      <c r="A59" s="10" t="str">
        <v>站外</v>
      </c>
      <c r="B59" s="10" t="str">
        <v>AD信息流</v>
      </c>
      <c r="C59" s="22" t="str">
        <v>杭州宜格化妆品有限公司</v>
      </c>
      <c r="E59" s="22" t="str">
        <v>抖音</v>
      </c>
      <c r="F59" s="87"/>
      <c r="G59" s="10" t="str">
        <v>广东省广告集团股份有限公司</v>
      </c>
      <c r="H59" s="26"/>
      <c r="I59" s="26"/>
      <c r="J59" s="10" t="str">
        <v>1752335656568839</v>
      </c>
      <c r="K59" s="10" t="str">
        <v>abu花西子-杭州宜格CID投放-13小黛伞防晒</v>
      </c>
      <c r="P59" s="22" t="str">
        <v>否</v>
      </c>
      <c r="Q59" s="22" t="str">
        <v>否</v>
      </c>
    </row>
    <row r="60">
      <c r="A60" s="10" t="str">
        <v>站外</v>
      </c>
      <c r="B60" s="10" t="str">
        <v>AD信息流</v>
      </c>
      <c r="C60" s="22" t="str">
        <v>杭州宜格化妆品有限公司</v>
      </c>
      <c r="E60" s="22" t="str">
        <v>抖音</v>
      </c>
      <c r="F60" s="87"/>
      <c r="G60" s="10" t="str">
        <v>广东省广告集团股份有限公司</v>
      </c>
      <c r="H60" s="26"/>
      <c r="I60" s="26"/>
      <c r="J60" s="10" t="str">
        <v>1752335660988424</v>
      </c>
      <c r="K60" s="10" t="str">
        <v>定妆花西子-杭州宜格CID投放-20玉养蜜粉</v>
      </c>
      <c r="P60" s="22" t="str">
        <v>否</v>
      </c>
      <c r="Q60" s="22" t="str">
        <v>否</v>
      </c>
    </row>
    <row r="61">
      <c r="A61" s="10" t="str">
        <v>站外</v>
      </c>
      <c r="B61" s="10" t="str">
        <v>AD信息流</v>
      </c>
      <c r="C61" s="22" t="str">
        <v>杭州宜格化妆品有限公司</v>
      </c>
      <c r="E61" s="22" t="str">
        <v>抖音</v>
      </c>
      <c r="F61" s="87"/>
      <c r="G61" s="10" t="str">
        <v>广东省广告集团股份有限公司</v>
      </c>
      <c r="H61" s="26"/>
      <c r="I61" s="26"/>
      <c r="J61" s="10" t="str">
        <v>1750818944045070</v>
      </c>
      <c r="K61" s="10" t="str">
        <v>abu花西子-杭州宜格CID投放-1单层气垫</v>
      </c>
      <c r="P61" s="22" t="str">
        <v>否</v>
      </c>
      <c r="Q61" s="22" t="str">
        <v>否</v>
      </c>
    </row>
    <row r="62">
      <c r="A62" s="10" t="str">
        <v>站外</v>
      </c>
      <c r="B62" s="10" t="str">
        <v>AD信息流</v>
      </c>
      <c r="C62" s="22" t="str">
        <v>杭州宜格化妆品有限公司</v>
      </c>
      <c r="E62" s="22" t="str">
        <v>抖音</v>
      </c>
      <c r="F62" s="87"/>
      <c r="G62" s="10" t="str">
        <v>广东省广告集团股份有限公司</v>
      </c>
      <c r="H62" s="26"/>
      <c r="I62" s="26"/>
      <c r="J62" s="10" t="str">
        <v>1752335659719688</v>
      </c>
      <c r="K62" s="10" t="str">
        <v>定妆花西子-杭州宜格CID投放-18蜜粉饼</v>
      </c>
      <c r="P62" s="22" t="str">
        <v>否</v>
      </c>
      <c r="Q62" s="22" t="str">
        <v>否</v>
      </c>
    </row>
    <row r="63">
      <c r="A63" s="10" t="str">
        <v>站外</v>
      </c>
      <c r="B63" s="10" t="str">
        <v>AD信息流</v>
      </c>
      <c r="C63" s="22" t="str">
        <v>杭州宜格化妆品有限公司</v>
      </c>
      <c r="E63" s="22" t="str">
        <v>抖音</v>
      </c>
      <c r="F63" s="87"/>
      <c r="G63" s="10" t="str">
        <v>广东省广告集团股份有限公司</v>
      </c>
      <c r="H63" s="26"/>
      <c r="I63" s="26"/>
      <c r="J63" s="10" t="str">
        <v>1750901315529741</v>
      </c>
      <c r="K63" s="10" t="str">
        <v>花西子-杭州宜格CID投放-4X体验礼</v>
      </c>
      <c r="P63" s="22" t="str">
        <v>否</v>
      </c>
      <c r="Q63" s="22" t="str">
        <v>否</v>
      </c>
    </row>
    <row r="64">
      <c r="A64" s="10" t="str">
        <v>站外</v>
      </c>
      <c r="B64" s="10" t="str">
        <v>AD信息流</v>
      </c>
      <c r="C64" s="22" t="str">
        <v>杭州宜格化妆品有限公司</v>
      </c>
      <c r="E64" s="22" t="str">
        <v>抖音</v>
      </c>
      <c r="F64" s="87"/>
      <c r="G64" s="10" t="str">
        <v>广东省广告集团股份有限公司</v>
      </c>
      <c r="H64" s="26"/>
      <c r="I64" s="26"/>
      <c r="J64" s="10" t="str">
        <v>1752335655402510</v>
      </c>
      <c r="K64" s="10" t="str">
        <v>abu花西子-杭州宜格CID投放-11单层气垫</v>
      </c>
      <c r="P64" s="22" t="str">
        <v>否</v>
      </c>
      <c r="Q64" s="22" t="str">
        <v>否</v>
      </c>
    </row>
    <row r="65">
      <c r="A65" s="10" t="str">
        <v>站外</v>
      </c>
      <c r="B65" s="10" t="str">
        <v>AD信息流</v>
      </c>
      <c r="C65" s="22" t="str">
        <v>杭州宜格化妆品有限公司</v>
      </c>
      <c r="E65" s="22" t="str">
        <v>抖音</v>
      </c>
      <c r="F65" s="87"/>
      <c r="G65" s="10" t="str">
        <v>广东省广告集团股份有限公司</v>
      </c>
      <c r="H65" s="26"/>
      <c r="I65" s="26"/>
      <c r="J65" s="10" t="str">
        <v>1752335657794574</v>
      </c>
      <c r="K65" s="10" t="str">
        <v>花西子-杭州宜格CID投放-15X唇纱礼盒</v>
      </c>
      <c r="P65" s="22" t="str">
        <v>否</v>
      </c>
      <c r="Q65" s="22" t="str">
        <v>否</v>
      </c>
    </row>
    <row r="66">
      <c r="A66" s="10" t="str">
        <v>站外</v>
      </c>
      <c r="B66" s="10" t="str">
        <v>AD信息流</v>
      </c>
      <c r="C66" s="22" t="str">
        <v>杭州宜格化妆品有限公司</v>
      </c>
      <c r="E66" s="22" t="str">
        <v>抖音</v>
      </c>
      <c r="F66" s="87"/>
      <c r="G66" s="10" t="str">
        <v>广东省广告集团股份有限公司</v>
      </c>
      <c r="H66" s="26"/>
      <c r="I66" s="26"/>
      <c r="J66" s="10" t="str">
        <v>1761603636183048</v>
      </c>
      <c r="K66" s="10" t="str">
        <v>abuHZP-省广-CZHF-小黛伞防晒</v>
      </c>
      <c r="P66" s="22" t="str">
        <v>否</v>
      </c>
      <c r="Q66" s="22" t="str">
        <v>否</v>
      </c>
    </row>
    <row r="67">
      <c r="A67" s="10" t="str">
        <v>站外</v>
      </c>
      <c r="B67" s="10" t="str">
        <v>AD信息流</v>
      </c>
      <c r="C67" s="22" t="str">
        <v>杭州宜格化妆品有限公司</v>
      </c>
      <c r="E67" s="22" t="str">
        <v>抖音</v>
      </c>
      <c r="F67" s="87"/>
      <c r="G67" s="10" t="str">
        <v>广东省广告集团股份有限公司</v>
      </c>
      <c r="H67" s="26"/>
      <c r="I67" s="26"/>
      <c r="J67" s="10" t="str">
        <v>1758638397286413</v>
      </c>
      <c r="K67" s="10" t="str">
        <v>花西子-杭州宜格CID投放-25X卸妆油</v>
      </c>
      <c r="P67" s="22" t="str">
        <v>否</v>
      </c>
      <c r="Q67" s="22" t="str">
        <v>否</v>
      </c>
    </row>
    <row r="68">
      <c r="A68" s="10" t="str">
        <v>站外</v>
      </c>
      <c r="B68" s="10" t="str">
        <v>AD信息流</v>
      </c>
      <c r="C68" s="22" t="str">
        <v>杭州宜格化妆品有限公司</v>
      </c>
      <c r="E68" s="22" t="str">
        <v>抖音</v>
      </c>
      <c r="F68" s="87"/>
      <c r="G68" s="10" t="str">
        <v>广东省广告集团股份有限公司</v>
      </c>
      <c r="H68" s="26"/>
      <c r="I68" s="26"/>
      <c r="J68" s="10" t="str">
        <v>1731500988171336</v>
      </c>
      <c r="K68" s="10" t="str">
        <v>杭州宜格-省广-CID测试-蜜粉饼</v>
      </c>
      <c r="P68" s="22" t="str">
        <v>否</v>
      </c>
      <c r="Q68" s="22" t="str">
        <v>否</v>
      </c>
    </row>
    <row r="69">
      <c r="A69" s="10" t="str">
        <v>站外</v>
      </c>
      <c r="B69" s="10" t="str">
        <v>AD信息流</v>
      </c>
      <c r="C69" s="22" t="str">
        <v>杭州宜格化妆品有限公司</v>
      </c>
      <c r="E69" s="22" t="str">
        <v>抖音</v>
      </c>
      <c r="F69" s="87"/>
      <c r="G69" s="10" t="str">
        <v>广东省广告集团股份有限公司</v>
      </c>
      <c r="H69" s="26"/>
      <c r="I69" s="26"/>
      <c r="J69" s="10" t="str">
        <v>1728523273383949</v>
      </c>
      <c r="K69" s="10" t="str">
        <v>HZP-天猫AD信息流-省广-10-代运营（备款）</v>
      </c>
      <c r="P69" s="22" t="str">
        <v>否</v>
      </c>
      <c r="Q69" s="22" t="str">
        <v>否</v>
      </c>
    </row>
    <row r="70">
      <c r="A70" s="10" t="str">
        <v>站外</v>
      </c>
      <c r="B70" s="10" t="str">
        <v>AD信息流</v>
      </c>
      <c r="C70" s="22" t="str">
        <v>杭州宜格化妆品有限公司</v>
      </c>
      <c r="E70" s="22" t="str">
        <v>抖音</v>
      </c>
      <c r="F70" s="87"/>
      <c r="G70" s="10" t="str">
        <v>广东省广告集团股份有限公司</v>
      </c>
      <c r="H70" s="26"/>
      <c r="I70" s="26"/>
      <c r="J70" s="10" t="str">
        <v>1728523268627592</v>
      </c>
      <c r="K70" s="10" t="str">
        <v>HZP-天猫AD信息流-省广-05（备款）</v>
      </c>
      <c r="P70" s="22" t="str">
        <v>否</v>
      </c>
      <c r="Q70" s="22" t="str">
        <v>否</v>
      </c>
    </row>
    <row r="71">
      <c r="A71" s="10" t="str">
        <v>站外</v>
      </c>
      <c r="B71" s="10" t="str">
        <v>AD信息流</v>
      </c>
      <c r="C71" s="22" t="str">
        <v>杭州宜格化妆品有限公司</v>
      </c>
      <c r="E71" s="22" t="str">
        <v>抖音</v>
      </c>
      <c r="F71" s="87"/>
      <c r="G71" s="10" t="str">
        <v>广东省广告集团股份有限公司</v>
      </c>
      <c r="H71" s="26"/>
      <c r="I71" s="26"/>
      <c r="J71" s="13" t="str">
        <v>1731351048920072</v>
      </c>
      <c r="K71" s="13" t="str">
        <v>HZP-天猫AD信息流-省广-11(循安）</v>
      </c>
      <c r="P71" s="22" t="str">
        <v>否</v>
      </c>
      <c r="Q71" s="22" t="str">
        <v>否</v>
      </c>
    </row>
    <row r="72">
      <c r="A72" s="10" t="str">
        <v>站外</v>
      </c>
      <c r="B72" s="10" t="str">
        <v>AD信息流</v>
      </c>
      <c r="C72" s="22" t="str">
        <v>杭州宜格化妆品有限公司</v>
      </c>
      <c r="E72" s="22" t="str">
        <v>抖音</v>
      </c>
      <c r="F72" s="87"/>
      <c r="G72" s="10" t="str">
        <v>广东省广告集团股份有限公司</v>
      </c>
      <c r="H72" s="26"/>
      <c r="I72" s="26"/>
      <c r="J72" s="13" t="str">
        <v>1735143036523527</v>
      </c>
      <c r="K72" s="13" t="str">
        <v>HZP-天猫AD信息流-省广13-代运营-玉养蜜粉</v>
      </c>
      <c r="P72" s="22" t="str">
        <v>否</v>
      </c>
      <c r="Q72" s="22" t="str">
        <v>否</v>
      </c>
    </row>
    <row r="73">
      <c r="A73" s="10" t="str">
        <v>站外</v>
      </c>
      <c r="B73" s="10" t="str">
        <v>AD信息流</v>
      </c>
      <c r="C73" s="22" t="str">
        <v>杭州宜格化妆品有限公司</v>
      </c>
      <c r="E73" s="22" t="str">
        <v>抖音</v>
      </c>
      <c r="F73" s="87"/>
      <c r="G73" s="10" t="str">
        <v>广东省广告集团股份有限公司</v>
      </c>
      <c r="H73" s="26"/>
      <c r="I73" s="26"/>
      <c r="J73" s="13" t="str">
        <v>1750901314800648</v>
      </c>
      <c r="K73" s="13" t="str">
        <v>abu花西子-杭州宜格CID投放-3防晒(营销4P)</v>
      </c>
      <c r="P73" s="22" t="str">
        <v>否</v>
      </c>
      <c r="Q73" s="22" t="str">
        <v>否</v>
      </c>
    </row>
    <row r="74">
      <c r="A74" s="10" t="str">
        <v>站外</v>
      </c>
      <c r="B74" s="10" t="str">
        <v>AD信息流</v>
      </c>
      <c r="C74" s="22" t="str">
        <v>杭州宜格化妆品有限公司</v>
      </c>
      <c r="E74" s="22" t="str">
        <v>抖音</v>
      </c>
      <c r="F74" s="87"/>
      <c r="G74" s="10" t="str">
        <v>广东省广告集团股份有限公司</v>
      </c>
      <c r="H74" s="26"/>
      <c r="I74" s="26"/>
      <c r="J74" s="13" t="str">
        <v>1735143038500877</v>
      </c>
      <c r="K74" s="13" t="str">
        <v>HZP-天猫AD信息流-省广-15-自运营-气垫/喷雾</v>
      </c>
      <c r="P74" s="22" t="str">
        <v>否</v>
      </c>
      <c r="Q74" s="22" t="str">
        <v>否</v>
      </c>
    </row>
    <row r="75">
      <c r="A75" s="10" t="str">
        <v>站外</v>
      </c>
      <c r="B75" s="10" t="str">
        <v>AD信息流</v>
      </c>
      <c r="C75" s="22" t="str">
        <v>杭州宜格化妆品有限公司</v>
      </c>
      <c r="E75" s="22" t="str">
        <v>抖音</v>
      </c>
      <c r="F75" s="87"/>
      <c r="G75" s="10" t="str">
        <v>广东省广告集团股份有限公司</v>
      </c>
      <c r="H75" s="26"/>
      <c r="I75" s="26"/>
      <c r="J75" s="13" t="str">
        <v>1758638395143181</v>
      </c>
      <c r="K75" s="13" t="str">
        <v>abuHZP-天猫AD-省广-CID22素颜出行组合(营销4P)</v>
      </c>
      <c r="P75" s="22" t="str">
        <v>否</v>
      </c>
      <c r="Q75" s="22" t="str">
        <v>否</v>
      </c>
    </row>
    <row r="76">
      <c r="A76" s="10" t="str">
        <v>站外</v>
      </c>
      <c r="B76" s="10" t="str">
        <v>千川信息流</v>
      </c>
      <c r="C76" s="22" t="str">
        <v>杭州宜格化妆品有限公司</v>
      </c>
      <c r="D76" s="87"/>
      <c r="E76" s="22" t="str">
        <v>抖音</v>
      </c>
      <c r="F76" s="87"/>
      <c r="G76" s="10" t="str">
        <v>广东省广告集团股份有限公司</v>
      </c>
      <c r="H76" s="26"/>
      <c r="I76" s="26"/>
      <c r="J76" s="13" t="str">
        <v>1727435690629127</v>
      </c>
      <c r="K76" s="13" t="str" xml:space="preserve">
        <v>省广-直播-官号1 </v>
      </c>
      <c r="M76" s="26"/>
      <c r="N76" s="26"/>
      <c r="O76" s="26"/>
      <c r="P76" s="12"/>
      <c r="Q76" s="12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10" t="str">
        <v>站外</v>
      </c>
      <c r="B77" s="10" t="str">
        <v>矩阵号千川信息流</v>
      </c>
      <c r="C77" s="22" t="str">
        <v>杭州宜格化妆品有限公司</v>
      </c>
      <c r="D77" s="87"/>
      <c r="E77" s="22" t="str">
        <v>抖音</v>
      </c>
      <c r="F77" s="87"/>
      <c r="G77" s="10" t="str">
        <v>广东省广告集团股份有限公司</v>
      </c>
      <c r="H77" s="26"/>
      <c r="I77" s="26"/>
      <c r="J77" s="13" t="str">
        <v>1747734628974605</v>
      </c>
      <c r="K77" s="13" t="str" xml:space="preserve">
        <v>省广数字集合-矩阵直播-花西子礼物精选 </v>
      </c>
      <c r="M77" s="26"/>
      <c r="N77" s="26"/>
      <c r="O77" s="26"/>
      <c r="P77" s="12"/>
      <c r="Q77" s="12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10" t="str">
        <v>站外</v>
      </c>
      <c r="B78" s="10" t="str">
        <v>小红书加热</v>
      </c>
      <c r="C78" s="22" t="str">
        <v>杭州宜格化妆品有限公司</v>
      </c>
      <c r="D78" s="87"/>
      <c r="E78" s="22" t="str">
        <v>小红书</v>
      </c>
      <c r="F78" s="87"/>
      <c r="G78" s="10" t="str">
        <v>江苏拾光宝盒信息技术有限公司</v>
      </c>
      <c r="H78" s="26"/>
      <c r="I78" s="26"/>
      <c r="J78" s="13">
        <v>119989</v>
      </c>
      <c r="K78" s="13" t="str">
        <v>拾光宝盒（花西子Florasis3）</v>
      </c>
      <c r="P78" s="12"/>
      <c r="Q78" s="12"/>
    </row>
    <row r="79">
      <c r="A79" s="10" t="str">
        <v>站外</v>
      </c>
      <c r="B79" s="10" t="str">
        <v>小红书加热</v>
      </c>
      <c r="C79" s="22" t="str">
        <v>杭州宜格化妆品有限公司</v>
      </c>
      <c r="D79" s="87"/>
      <c r="E79" s="22" t="str">
        <v>小红书</v>
      </c>
      <c r="F79" s="87"/>
      <c r="G79" s="10" t="str">
        <v>江苏拾光宝盒信息技术有限公司</v>
      </c>
      <c r="H79" s="26"/>
      <c r="I79" s="26"/>
      <c r="J79" s="13">
        <v>65933</v>
      </c>
      <c r="K79" s="13" t="str">
        <v>拾光宝盒（花西子Florasis）</v>
      </c>
      <c r="P79" s="12"/>
      <c r="Q79" s="12"/>
    </row>
    <row r="80">
      <c r="A80" s="10" t="str">
        <v>站外</v>
      </c>
      <c r="B80" s="10" t="str">
        <v>小红书加热</v>
      </c>
      <c r="C80" s="22" t="str">
        <v>杭州宜格化妆品有限公司</v>
      </c>
      <c r="D80" s="87"/>
      <c r="E80" s="22" t="str">
        <v>小红书</v>
      </c>
      <c r="F80" s="87"/>
      <c r="G80" s="10" t="str">
        <v>江苏拾光宝盒信息技术有限公司</v>
      </c>
      <c r="H80" s="26"/>
      <c r="I80" s="26"/>
      <c r="J80" s="13">
        <v>119990</v>
      </c>
      <c r="K80" s="13" t="str">
        <v>拾光宝盒（花西子Florasis2）</v>
      </c>
      <c r="P80" s="12"/>
      <c r="Q80" s="12"/>
    </row>
    <row r="81">
      <c r="A81" s="10" t="str">
        <v>站外</v>
      </c>
      <c r="B81" s="12" t="str">
        <v>磁力金牛</v>
      </c>
      <c r="C81" s="22" t="str">
        <v>杭州宜格化妆品有限公司</v>
      </c>
      <c r="D81" s="87"/>
      <c r="E81" s="22" t="str">
        <v>快手</v>
      </c>
      <c r="F81" s="87"/>
      <c r="G81" s="12" t="str">
        <v>快手</v>
      </c>
      <c r="H81" s="26"/>
      <c r="I81" s="26"/>
      <c r="J81" s="3">
        <v>17230613</v>
      </c>
      <c r="K81" s="3" t="str">
        <v>花西子官方旗舰店</v>
      </c>
      <c r="P81" s="12"/>
      <c r="Q81" s="12"/>
    </row>
    <row r="82">
      <c r="A82" s="10" t="str">
        <v>站外</v>
      </c>
      <c r="B82" s="10" t="str">
        <v>AD信息流</v>
      </c>
      <c r="C82" s="22" t="str">
        <v>杭州宜格化妆品有限公司</v>
      </c>
      <c r="E82" s="22" t="str">
        <v>抖音</v>
      </c>
      <c r="F82" s="87"/>
      <c r="G82" s="10" t="str">
        <v>群邑（上海）广告有限公司</v>
      </c>
      <c r="H82" s="26"/>
      <c r="I82" s="26"/>
      <c r="J82" s="13" t="str">
        <v>1754167001896968</v>
      </c>
      <c r="K82" s="13" t="str">
        <v>杭州宜格化妆品-群邑天猫引流竞价-CID14-有色粉饼</v>
      </c>
      <c r="P82" s="22" t="str">
        <v>否</v>
      </c>
      <c r="Q82" s="22" t="str">
        <v>否</v>
      </c>
    </row>
    <row r="83">
      <c r="A83" s="10" t="str">
        <v>站外</v>
      </c>
      <c r="B83" s="10" t="str">
        <v>AD信息流</v>
      </c>
      <c r="C83" s="22" t="str">
        <v>杭州宜格化妆品有限公司</v>
      </c>
      <c r="E83" s="22" t="str">
        <v>抖音</v>
      </c>
      <c r="F83" s="87"/>
      <c r="G83" s="10" t="str">
        <v>群邑（上海）广告有限公司</v>
      </c>
      <c r="H83" s="26"/>
      <c r="I83" s="26"/>
      <c r="J83" s="13" t="str">
        <v>1744649914765325</v>
      </c>
      <c r="K83" s="13" t="str">
        <v>杭州宜格化妆品-群邑天猫引流竞价-CID07-玉养蜜粉</v>
      </c>
      <c r="P83" s="22" t="str">
        <v>否</v>
      </c>
      <c r="Q83" s="22" t="str">
        <v>否</v>
      </c>
    </row>
    <row r="84">
      <c r="A84" s="10" t="str">
        <v>站外</v>
      </c>
      <c r="B84" s="10" t="str">
        <v>AD信息流</v>
      </c>
      <c r="C84" s="22" t="str">
        <v>杭州宜格化妆品有限公司</v>
      </c>
      <c r="E84" s="22" t="str">
        <v>抖音</v>
      </c>
      <c r="F84" s="87"/>
      <c r="G84" s="10" t="str">
        <v>群邑（上海）广告有限公司</v>
      </c>
      <c r="H84" s="26"/>
      <c r="I84" s="26"/>
      <c r="J84" s="13" t="str">
        <v>1754167001310215</v>
      </c>
      <c r="K84" s="13" t="str">
        <v>杭州宜格化妆品-群邑天猫引流竞价-CID13-蜜粉饼</v>
      </c>
      <c r="P84" s="22" t="str">
        <v>否</v>
      </c>
      <c r="Q84" s="22" t="str">
        <v>否</v>
      </c>
    </row>
    <row r="85">
      <c r="A85" s="10" t="str">
        <v>站外</v>
      </c>
      <c r="B85" s="10" t="str">
        <v>AD信息流</v>
      </c>
      <c r="C85" s="22" t="str">
        <v>杭州宜格化妆品有限公司</v>
      </c>
      <c r="E85" s="22" t="str">
        <v>抖音</v>
      </c>
      <c r="F85" s="87"/>
      <c r="G85" s="10" t="str">
        <v>群邑（上海）广告有限公司</v>
      </c>
      <c r="H85" s="26"/>
      <c r="I85" s="26"/>
      <c r="J85" s="13" t="str">
        <v>1761579156325383</v>
      </c>
      <c r="K85" s="13" t="str">
        <v>群邑定妆-杭州宜格CID-14玉养喷雾</v>
      </c>
      <c r="P85" s="22" t="str">
        <v>否</v>
      </c>
      <c r="Q85" s="22" t="str">
        <v>否</v>
      </c>
    </row>
    <row r="86">
      <c r="A86" s="10" t="str">
        <v>站外</v>
      </c>
      <c r="B86" s="10" t="str">
        <v>AD信息流</v>
      </c>
      <c r="C86" s="22" t="str">
        <v>杭州宜格化妆品有限公司</v>
      </c>
      <c r="E86" s="22" t="str">
        <v>抖音</v>
      </c>
      <c r="F86" s="87"/>
      <c r="G86" s="10" t="str">
        <v>群邑（上海）广告有限公司</v>
      </c>
      <c r="H86" s="26"/>
      <c r="I86" s="26"/>
      <c r="J86" s="13" t="str">
        <v>1761579155761230</v>
      </c>
      <c r="K86" s="13" t="str">
        <v>群邑定妆-杭州宜格CID-13私模蜜粉</v>
      </c>
      <c r="P86" s="22" t="str">
        <v>否</v>
      </c>
      <c r="Q86" s="22" t="str">
        <v>否</v>
      </c>
    </row>
    <row r="87">
      <c r="A87" s="10" t="str">
        <v>站外</v>
      </c>
      <c r="B87" s="10" t="str">
        <v>AD信息流</v>
      </c>
      <c r="C87" s="22" t="str">
        <v>杭州宜格化妆品有限公司</v>
      </c>
      <c r="E87" s="22" t="str">
        <v>抖音</v>
      </c>
      <c r="F87" s="87"/>
      <c r="G87" s="10" t="str">
        <v>群邑（上海）广告有限公司</v>
      </c>
      <c r="H87" s="26"/>
      <c r="I87" s="26"/>
      <c r="J87" s="13" t="str">
        <v>1761579155066888</v>
      </c>
      <c r="K87" s="13" t="str">
        <v>群邑定妆-杭州宜格CID-12玉养蜜粉</v>
      </c>
      <c r="P87" s="22" t="str">
        <v>否</v>
      </c>
      <c r="Q87" s="22" t="str">
        <v>否</v>
      </c>
    </row>
    <row r="88">
      <c r="A88" s="10" t="str">
        <v>站外</v>
      </c>
      <c r="B88" s="10" t="str">
        <v>AD信息流</v>
      </c>
      <c r="C88" s="22" t="str">
        <v>杭州宜格化妆品有限公司</v>
      </c>
      <c r="E88" s="22" t="str">
        <v>抖音</v>
      </c>
      <c r="F88" s="87"/>
      <c r="G88" s="10" t="str">
        <v>群邑（上海）广告有限公司</v>
      </c>
      <c r="H88" s="26"/>
      <c r="I88" s="26"/>
      <c r="J88" s="13" t="str">
        <v>1754167002455111</v>
      </c>
      <c r="K88" s="13" t="str">
        <v>杭州宜格化妆品-群邑天猫引流竞价-CID15-定妆喷雾</v>
      </c>
      <c r="P88" s="22" t="str">
        <v>否</v>
      </c>
      <c r="Q88" s="22" t="str">
        <v>否</v>
      </c>
    </row>
    <row r="89">
      <c r="A89" s="10" t="str">
        <v>站外</v>
      </c>
      <c r="B89" s="10" t="str">
        <v>AD信息流</v>
      </c>
      <c r="C89" s="22" t="str">
        <v>杭州宜格化妆品有限公司</v>
      </c>
      <c r="E89" s="22" t="str">
        <v>抖音</v>
      </c>
      <c r="F89" s="87"/>
      <c r="G89" s="10" t="str">
        <v>群邑（上海）广告有限公司</v>
      </c>
      <c r="H89" s="26"/>
      <c r="I89" s="26"/>
      <c r="J89" s="13" t="str">
        <v>1754167000735758</v>
      </c>
      <c r="K89" s="13" t="str">
        <v>杭州宜格化妆品-群邑天猫引流竞价-CID12-私模蜜粉</v>
      </c>
      <c r="P89" s="22" t="str">
        <v>否</v>
      </c>
      <c r="Q89" s="22" t="str">
        <v>否</v>
      </c>
    </row>
    <row r="90">
      <c r="A90" s="10" t="str">
        <v>站外</v>
      </c>
      <c r="B90" s="10" t="str">
        <v>AD信息流</v>
      </c>
      <c r="C90" s="22" t="str">
        <v>杭州宜格化妆品有限公司</v>
      </c>
      <c r="E90" s="22" t="str">
        <v>抖音</v>
      </c>
      <c r="F90" s="87"/>
      <c r="G90" s="10" t="str">
        <v>群邑（上海）广告有限公司</v>
      </c>
      <c r="H90" s="26"/>
      <c r="I90" s="26"/>
      <c r="J90" s="13" t="str">
        <v>1734408229378061</v>
      </c>
      <c r="K90" s="13" t="str">
        <v>杭州宜格化妆品-天猫AD信息流-群邑12-代运营-玉养蜜粉</v>
      </c>
      <c r="P90" s="22" t="str">
        <v>否</v>
      </c>
      <c r="Q90" s="22" t="str">
        <v>否</v>
      </c>
    </row>
    <row r="91">
      <c r="A91" s="10" t="str">
        <v>站外</v>
      </c>
      <c r="B91" s="10" t="str">
        <v>AD信息流</v>
      </c>
      <c r="C91" s="22" t="str">
        <v>杭州宜格化妆品有限公司</v>
      </c>
      <c r="E91" s="22" t="str">
        <v>抖音</v>
      </c>
      <c r="F91" s="87"/>
      <c r="G91" s="10" t="str">
        <v>群邑（上海）广告有限公司</v>
      </c>
      <c r="H91" s="26"/>
      <c r="I91" s="26"/>
      <c r="J91" s="13" t="str">
        <v>1727635338328078</v>
      </c>
      <c r="K91" s="13" t="str">
        <v>杭州宜格化妆品-天猫AD信息流-群邑-05（备款）</v>
      </c>
      <c r="P91" s="22" t="str">
        <v>否</v>
      </c>
      <c r="Q91" s="22" t="str">
        <v>否</v>
      </c>
    </row>
    <row r="92">
      <c r="A92" s="10" t="str">
        <v>站外</v>
      </c>
      <c r="B92" s="10" t="str">
        <v>千川信息流</v>
      </c>
      <c r="C92" s="22" t="str">
        <v>杭州宜格化妆品有限公司</v>
      </c>
      <c r="D92" s="87"/>
      <c r="E92" s="85"/>
      <c r="F92" s="87"/>
      <c r="G92" s="86" t="str">
        <v>群邑（上海）广告有限公司</v>
      </c>
      <c r="H92" s="26"/>
      <c r="I92" s="26"/>
      <c r="J92" s="95" t="str">
        <v>1727535271575630</v>
      </c>
      <c r="K92" s="13" t="str" xml:space="preserve">
        <v>群邑-直播-官号1 </v>
      </c>
      <c r="M92" s="87"/>
      <c r="N92" s="87"/>
      <c r="O92" s="87"/>
      <c r="P92" s="85"/>
      <c r="Q92" s="85"/>
      <c r="R92" s="87"/>
      <c r="S92" s="87"/>
      <c r="T92" s="87"/>
      <c r="U92" s="87"/>
      <c r="V92" s="87"/>
      <c r="W92" s="87"/>
      <c r="X92" s="87"/>
      <c r="Y92" s="87"/>
      <c r="Z92" s="87"/>
      <c r="AA92" s="87"/>
    </row>
    <row r="93">
      <c r="A93" s="10" t="str">
        <v>站外</v>
      </c>
      <c r="B93" s="10" t="str">
        <v>磁力引擎</v>
      </c>
      <c r="C93" s="22" t="str">
        <v>杭州宜格化妆品有限公司</v>
      </c>
      <c r="E93" s="22" t="str">
        <v>抖音</v>
      </c>
      <c r="F93" s="87"/>
      <c r="G93" s="10" t="str">
        <v>群邑（上海）广告有限公司</v>
      </c>
      <c r="H93" s="26"/>
      <c r="I93" s="26"/>
      <c r="J93" s="13">
        <v>17029747</v>
      </c>
      <c r="K93" s="13" t="str">
        <v>花西子-QY2-小黛伞防晒</v>
      </c>
      <c r="P93" s="22" t="str">
        <v>否</v>
      </c>
      <c r="Q93" s="22" t="str">
        <v>否</v>
      </c>
    </row>
    <row r="94">
      <c r="A94" s="10" t="str">
        <v>站外</v>
      </c>
      <c r="B94" s="10" t="str">
        <v>磁力引擎</v>
      </c>
      <c r="C94" s="22" t="str">
        <v>杭州宜格化妆品有限公司</v>
      </c>
      <c r="E94" s="22" t="str">
        <v>抖音</v>
      </c>
      <c r="F94" s="87"/>
      <c r="G94" s="10" t="str">
        <v>群邑（上海）广告有限公司</v>
      </c>
      <c r="H94" s="26"/>
      <c r="I94" s="26"/>
      <c r="J94" s="13">
        <v>17029746</v>
      </c>
      <c r="K94" s="13" t="str">
        <v>花西子-QY2-玉养蜜粉</v>
      </c>
      <c r="P94" s="22" t="str">
        <v>否</v>
      </c>
      <c r="Q94" s="22" t="str">
        <v>否</v>
      </c>
    </row>
    <row r="95">
      <c r="A95" s="10" t="str">
        <v>站外</v>
      </c>
      <c r="B95" s="10" t="str">
        <v>磁力引擎</v>
      </c>
      <c r="C95" s="22" t="str">
        <v>杭州宜格化妆品有限公司</v>
      </c>
      <c r="E95" s="22" t="str">
        <v>抖音</v>
      </c>
      <c r="F95" s="87"/>
      <c r="G95" s="10" t="str">
        <v>群邑（上海）广告有限公司</v>
      </c>
      <c r="H95" s="26"/>
      <c r="I95" s="26"/>
      <c r="J95" s="13">
        <v>17029745</v>
      </c>
      <c r="K95" s="13" t="str">
        <v>花西子-QY2-丝柔唇纱</v>
      </c>
      <c r="P95" s="22" t="str">
        <v>否</v>
      </c>
      <c r="Q95" s="22" t="str">
        <v>否</v>
      </c>
    </row>
    <row r="96">
      <c r="A96" s="10" t="str">
        <v>站外</v>
      </c>
      <c r="B96" s="10" t="str">
        <v>磁力引擎</v>
      </c>
      <c r="C96" s="22" t="str">
        <v>杭州宜格化妆品有限公司</v>
      </c>
      <c r="E96" s="22" t="str">
        <v>抖音</v>
      </c>
      <c r="F96" s="87"/>
      <c r="G96" s="10" t="str">
        <v>群邑（上海）广告有限公司</v>
      </c>
      <c r="H96" s="26"/>
      <c r="I96" s="26"/>
      <c r="J96" s="13">
        <v>17029744</v>
      </c>
      <c r="K96" s="13" t="str">
        <v>花西子-QY2-玉养气垫</v>
      </c>
      <c r="P96" s="22" t="str">
        <v>否</v>
      </c>
      <c r="Q96" s="22" t="str">
        <v>否</v>
      </c>
    </row>
    <row r="97">
      <c r="A97" s="10" t="str">
        <v>站外</v>
      </c>
      <c r="B97" s="10" t="str">
        <v>磁力引擎</v>
      </c>
      <c r="C97" s="22" t="str">
        <v>杭州宜格化妆品有限公司</v>
      </c>
      <c r="E97" s="22" t="str">
        <v>抖音</v>
      </c>
      <c r="F97" s="87"/>
      <c r="G97" s="10" t="str">
        <v>群邑（上海）广告有限公司</v>
      </c>
      <c r="H97" s="26"/>
      <c r="I97" s="26"/>
      <c r="J97" s="13">
        <v>17029743</v>
      </c>
      <c r="K97" s="13" t="str">
        <v>花西子-QY2-私模蜜粉</v>
      </c>
      <c r="P97" s="22" t="str">
        <v>否</v>
      </c>
      <c r="Q97" s="22" t="str">
        <v>否</v>
      </c>
    </row>
    <row r="98">
      <c r="A98" s="10" t="str">
        <v>站外</v>
      </c>
      <c r="B98" s="10" t="str">
        <v>磁力引擎</v>
      </c>
      <c r="C98" s="22" t="str">
        <v>杭州宜格化妆品有限公司</v>
      </c>
      <c r="E98" s="22" t="str">
        <v>抖音</v>
      </c>
      <c r="F98" s="87"/>
      <c r="G98" s="10" t="str">
        <v>群邑（上海）广告有限公司</v>
      </c>
      <c r="H98" s="26"/>
      <c r="I98" s="26"/>
      <c r="J98" s="13">
        <v>17029742</v>
      </c>
      <c r="K98" s="13" t="str">
        <v>花西子-QY2-素颜出行组合</v>
      </c>
      <c r="P98" s="22" t="str">
        <v>否</v>
      </c>
      <c r="Q98" s="22" t="str">
        <v>否</v>
      </c>
    </row>
    <row r="99">
      <c r="A99" s="10" t="str">
        <v>站外</v>
      </c>
      <c r="B99" s="10" t="str">
        <v>磁力引擎</v>
      </c>
      <c r="C99" s="22" t="str">
        <v>杭州宜格化妆品有限公司</v>
      </c>
      <c r="E99" s="22" t="str">
        <v>抖音</v>
      </c>
      <c r="F99" s="87"/>
      <c r="G99" s="10" t="str">
        <v>群邑（上海）广告有限公司</v>
      </c>
      <c r="H99" s="26"/>
      <c r="I99" s="26"/>
      <c r="J99" s="13">
        <v>17029741</v>
      </c>
      <c r="K99" s="13" t="str">
        <v>花西子-QY2-同心锁口红</v>
      </c>
      <c r="P99" s="22" t="str">
        <v>否</v>
      </c>
      <c r="Q99" s="22" t="str">
        <v>否</v>
      </c>
    </row>
    <row r="100">
      <c r="A100" s="10" t="str">
        <v>站外</v>
      </c>
      <c r="B100" s="10" t="str">
        <v>磁力引擎</v>
      </c>
      <c r="C100" s="22" t="str">
        <v>杭州宜格化妆品有限公司</v>
      </c>
      <c r="E100" s="22" t="str">
        <v>抖音</v>
      </c>
      <c r="F100" s="87"/>
      <c r="G100" s="10" t="str">
        <v>群邑（上海）广告有限公司</v>
      </c>
      <c r="H100" s="26"/>
      <c r="I100" s="26"/>
      <c r="J100" s="13">
        <v>17029740</v>
      </c>
      <c r="K100" s="13" t="str">
        <v>花西子彩妆</v>
      </c>
      <c r="P100" s="22" t="str">
        <v>否</v>
      </c>
      <c r="Q100" s="22" t="str">
        <v>否</v>
      </c>
    </row>
    <row r="101">
      <c r="A101" s="10" t="str">
        <v>站外</v>
      </c>
      <c r="B101" s="10" t="str">
        <v>磁力引擎</v>
      </c>
      <c r="C101" s="22" t="str">
        <v>杭州宜格化妆品有限公司</v>
      </c>
      <c r="E101" s="22" t="str">
        <v>抖音</v>
      </c>
      <c r="F101" s="87"/>
      <c r="G101" s="10" t="str">
        <v>群邑（上海）广告有限公司</v>
      </c>
      <c r="H101" s="26"/>
      <c r="I101" s="26"/>
      <c r="J101" s="13">
        <v>17029739</v>
      </c>
      <c r="K101" s="13" t="str">
        <v>花西子彩妆</v>
      </c>
      <c r="P101" s="22" t="str">
        <v>否</v>
      </c>
      <c r="Q101" s="22" t="str">
        <v>否</v>
      </c>
    </row>
    <row r="102">
      <c r="A102" s="10" t="str">
        <v>站外</v>
      </c>
      <c r="B102" s="10" t="str">
        <v>磁力引擎</v>
      </c>
      <c r="C102" s="22" t="str">
        <v>杭州宜格化妆品有限公司</v>
      </c>
      <c r="E102" s="22" t="str">
        <v>抖音</v>
      </c>
      <c r="F102" s="87"/>
      <c r="G102" s="10" t="str">
        <v>群邑（上海）广告有限公司</v>
      </c>
      <c r="H102" s="26"/>
      <c r="I102" s="26"/>
      <c r="J102" s="13">
        <v>17026499</v>
      </c>
      <c r="K102" s="13" t="str">
        <v>花西子彩妆</v>
      </c>
      <c r="P102" s="22" t="str">
        <v>否</v>
      </c>
      <c r="Q102" s="22" t="str">
        <v>否</v>
      </c>
    </row>
    <row r="103">
      <c r="A103" s="10" t="str">
        <v>站外</v>
      </c>
      <c r="B103" s="10" t="str">
        <v>磁力引擎</v>
      </c>
      <c r="C103" s="22" t="str">
        <v>杭州宜格化妆品有限公司</v>
      </c>
      <c r="E103" s="22" t="str">
        <v>抖音</v>
      </c>
      <c r="F103" s="87"/>
      <c r="G103" s="10" t="str">
        <v>群邑（上海）广告有限公司</v>
      </c>
      <c r="H103" s="26"/>
      <c r="I103" s="26"/>
      <c r="J103" s="13">
        <v>16901306</v>
      </c>
      <c r="K103" s="13" t="str">
        <v>花西子-QY-私模蜜粉-DDN</v>
      </c>
      <c r="P103" s="22" t="str">
        <v>否</v>
      </c>
      <c r="Q103" s="22" t="str">
        <v>否</v>
      </c>
    </row>
    <row r="104">
      <c r="A104" s="10" t="str">
        <v>站外</v>
      </c>
      <c r="B104" s="10" t="str">
        <v>磁力引擎</v>
      </c>
      <c r="C104" s="22" t="str">
        <v>杭州宜格化妆品有限公司</v>
      </c>
      <c r="E104" s="22" t="str">
        <v>抖音</v>
      </c>
      <c r="F104" s="87"/>
      <c r="G104" s="10" t="str">
        <v>群邑（上海）广告有限公司</v>
      </c>
      <c r="H104" s="26"/>
      <c r="I104" s="26"/>
      <c r="J104" s="13">
        <v>16901305</v>
      </c>
      <c r="K104" s="13" t="str">
        <v>花西子-QY-玉养蜜粉-DDN</v>
      </c>
      <c r="P104" s="22" t="str">
        <v>否</v>
      </c>
      <c r="Q104" s="22" t="str">
        <v>否</v>
      </c>
    </row>
    <row r="105">
      <c r="A105" s="10" t="str">
        <v>站外</v>
      </c>
      <c r="B105" s="10" t="str">
        <v>磁力引擎</v>
      </c>
      <c r="C105" s="22" t="str">
        <v>杭州宜格化妆品有限公司</v>
      </c>
      <c r="E105" s="22" t="str">
        <v>抖音</v>
      </c>
      <c r="F105" s="87"/>
      <c r="G105" s="10" t="str">
        <v>群邑（上海）广告有限公司</v>
      </c>
      <c r="H105" s="26"/>
      <c r="I105" s="26"/>
      <c r="J105" s="13">
        <v>16901304</v>
      </c>
      <c r="K105" s="13" t="str">
        <v>花西子-QY-持色唇纱-DDN</v>
      </c>
      <c r="P105" s="22" t="str">
        <v>否</v>
      </c>
      <c r="Q105" s="22" t="str">
        <v>否</v>
      </c>
    </row>
    <row r="106">
      <c r="A106" s="10" t="str">
        <v>站外</v>
      </c>
      <c r="B106" s="10" t="str">
        <v>磁力引擎</v>
      </c>
      <c r="C106" s="22" t="str">
        <v>杭州宜格化妆品有限公司</v>
      </c>
      <c r="E106" s="22" t="str">
        <v>抖音</v>
      </c>
      <c r="F106" s="87"/>
      <c r="G106" s="10" t="str">
        <v>群邑（上海）广告有限公司</v>
      </c>
      <c r="H106" s="26"/>
      <c r="I106" s="26"/>
      <c r="J106" s="13">
        <v>16901303</v>
      </c>
      <c r="K106" s="13" t="str">
        <v>花西子-QY-小黛伞防晒-DDN</v>
      </c>
      <c r="P106" s="22" t="str">
        <v>否</v>
      </c>
      <c r="Q106" s="22" t="str">
        <v>否</v>
      </c>
    </row>
    <row r="107">
      <c r="A107" s="10" t="str">
        <v>站外</v>
      </c>
      <c r="B107" s="10" t="str">
        <v>磁力引擎</v>
      </c>
      <c r="C107" s="22" t="str">
        <v>杭州宜格化妆品有限公司</v>
      </c>
      <c r="E107" s="22" t="str">
        <v>抖音</v>
      </c>
      <c r="F107" s="87"/>
      <c r="G107" s="10" t="str">
        <v>群邑（上海）广告有限公司</v>
      </c>
      <c r="H107" s="26"/>
      <c r="I107" s="26"/>
      <c r="J107" s="13">
        <v>16901302</v>
      </c>
      <c r="K107" s="13" t="str">
        <v>花西子-QY-素颜出行-DDN</v>
      </c>
      <c r="P107" s="22" t="str">
        <v>否</v>
      </c>
      <c r="Q107" s="22" t="str">
        <v>否</v>
      </c>
    </row>
    <row r="108">
      <c r="A108" s="10" t="str">
        <v>站外</v>
      </c>
      <c r="B108" s="10" t="str">
        <v>磁力引擎</v>
      </c>
      <c r="C108" s="22" t="str">
        <v>杭州宜格化妆品有限公司</v>
      </c>
      <c r="E108" s="22" t="str">
        <v>抖音</v>
      </c>
      <c r="F108" s="87"/>
      <c r="G108" s="10" t="str">
        <v>群邑（上海）广告有限公司</v>
      </c>
      <c r="H108" s="26"/>
      <c r="I108" s="26"/>
      <c r="J108" s="13">
        <v>16901301</v>
      </c>
      <c r="K108" s="13" t="str">
        <v>花西子-QY-东方妆奁-DDN</v>
      </c>
      <c r="P108" s="22" t="str">
        <v>否</v>
      </c>
      <c r="Q108" s="22" t="str">
        <v>否</v>
      </c>
    </row>
    <row r="109">
      <c r="A109" s="10" t="str">
        <v>站外</v>
      </c>
      <c r="B109" s="10" t="str">
        <v>磁力引擎</v>
      </c>
      <c r="C109" s="22" t="str">
        <v>杭州宜格化妆品有限公司</v>
      </c>
      <c r="E109" s="22" t="str">
        <v>抖音</v>
      </c>
      <c r="F109" s="87"/>
      <c r="G109" s="10" t="str">
        <v>群邑（上海）广告有限公司</v>
      </c>
      <c r="H109" s="26"/>
      <c r="I109" s="26"/>
      <c r="J109" s="13">
        <v>16901300</v>
      </c>
      <c r="K109" s="13" t="str">
        <v>花西子-QY-玉养喷雾-DDN</v>
      </c>
      <c r="P109" s="22" t="str">
        <v>否</v>
      </c>
      <c r="Q109" s="22" t="str">
        <v>否</v>
      </c>
    </row>
    <row r="110">
      <c r="A110" s="10" t="str">
        <v>站外</v>
      </c>
      <c r="B110" s="10" t="str">
        <v>磁力引擎</v>
      </c>
      <c r="C110" s="22" t="str">
        <v>杭州宜格化妆品有限公司</v>
      </c>
      <c r="E110" s="22" t="str">
        <v>抖音</v>
      </c>
      <c r="F110" s="87"/>
      <c r="G110" s="10" t="str">
        <v>群邑（上海）广告有限公司</v>
      </c>
      <c r="H110" s="26"/>
      <c r="I110" s="26"/>
      <c r="J110" s="13">
        <v>16901299</v>
      </c>
      <c r="K110" s="13" t="str">
        <v>花西子-QY-翡翠气垫-DDN</v>
      </c>
      <c r="P110" s="22" t="str">
        <v>否</v>
      </c>
      <c r="Q110" s="22" t="str">
        <v>否</v>
      </c>
    </row>
    <row r="111">
      <c r="A111" s="10" t="str">
        <v>站外</v>
      </c>
      <c r="B111" s="10" t="str">
        <v>磁力引擎</v>
      </c>
      <c r="C111" s="22" t="str">
        <v>杭州宜格化妆品有限公司</v>
      </c>
      <c r="E111" s="22" t="str">
        <v>抖音</v>
      </c>
      <c r="F111" s="87"/>
      <c r="G111" s="10" t="str">
        <v>群邑（上海）广告有限公司</v>
      </c>
      <c r="H111" s="26"/>
      <c r="I111" s="26"/>
      <c r="J111" s="13">
        <v>16901298</v>
      </c>
      <c r="K111" s="13" t="str">
        <v>花西子彩妆</v>
      </c>
      <c r="P111" s="22" t="str">
        <v>否</v>
      </c>
      <c r="Q111" s="22" t="str">
        <v>否</v>
      </c>
    </row>
    <row r="112">
      <c r="A112" s="10" t="str">
        <v>站外</v>
      </c>
      <c r="B112" s="10" t="str">
        <v>磁力引擎</v>
      </c>
      <c r="C112" s="22" t="str">
        <v>杭州宜格化妆品有限公司</v>
      </c>
      <c r="E112" s="22" t="str">
        <v>抖音</v>
      </c>
      <c r="F112" s="87"/>
      <c r="G112" s="10" t="str">
        <v>群邑（上海）广告有限公司</v>
      </c>
      <c r="H112" s="26"/>
      <c r="I112" s="26"/>
      <c r="J112" s="13">
        <v>16896876</v>
      </c>
      <c r="K112" s="13" t="str">
        <v>花西子彩妆</v>
      </c>
      <c r="P112" s="22" t="str">
        <v>否</v>
      </c>
      <c r="Q112" s="22" t="str">
        <v>否</v>
      </c>
    </row>
    <row r="113">
      <c r="A113" s="10" t="str">
        <v>站外</v>
      </c>
      <c r="B113" s="12" t="str">
        <v>磁力金牛</v>
      </c>
      <c r="C113" s="22" t="str">
        <v>杭州宜格化妆品有限公司</v>
      </c>
      <c r="D113" s="87"/>
      <c r="E113" s="12" t="str">
        <v>快手</v>
      </c>
      <c r="F113" s="87"/>
      <c r="G113" s="12" t="str">
        <v>群邑（上海）广告有限公司</v>
      </c>
      <c r="H113" s="26"/>
      <c r="I113" s="26"/>
      <c r="J113" s="3">
        <v>16909143</v>
      </c>
      <c r="K113" s="3" t="str">
        <v>花西子官方旗舰店-群邑2</v>
      </c>
      <c r="P113" s="12"/>
      <c r="Q113" s="12"/>
    </row>
    <row r="114">
      <c r="A114" s="10" t="str">
        <v>站外</v>
      </c>
      <c r="B114" s="12" t="str">
        <v>磁力金牛</v>
      </c>
      <c r="C114" s="22" t="str">
        <v>杭州宜格化妆品有限公司</v>
      </c>
      <c r="D114" s="87"/>
      <c r="E114" s="12" t="str">
        <v>快手</v>
      </c>
      <c r="F114" s="87"/>
      <c r="G114" s="12" t="str">
        <v>群邑（上海）广告有限公司</v>
      </c>
      <c r="H114" s="26"/>
      <c r="I114" s="26"/>
      <c r="J114" s="3">
        <v>16909144</v>
      </c>
      <c r="K114" s="3" t="str">
        <v>花西子官方旗舰店-群邑3</v>
      </c>
      <c r="P114" s="12"/>
      <c r="Q114" s="12"/>
    </row>
    <row r="115">
      <c r="A115" s="10" t="str">
        <v>站外</v>
      </c>
      <c r="B115" s="12" t="str">
        <v>磁力金牛</v>
      </c>
      <c r="C115" s="22" t="str">
        <v>杭州宜格化妆品有限公司</v>
      </c>
      <c r="D115" s="87"/>
      <c r="E115" s="12" t="str">
        <v>快手</v>
      </c>
      <c r="F115" s="87"/>
      <c r="G115" s="12" t="str">
        <v>群邑（上海）广告有限公司</v>
      </c>
      <c r="H115" s="26"/>
      <c r="I115" s="26"/>
      <c r="J115" s="3">
        <v>16909142</v>
      </c>
      <c r="K115" s="3" t="str">
        <v>花西子官方旗舰店-群邑1</v>
      </c>
      <c r="P115" s="12"/>
      <c r="Q115" s="12"/>
    </row>
    <row r="116">
      <c r="A116" s="10" t="str">
        <v>站外</v>
      </c>
      <c r="B116" s="12" t="str">
        <v>磁力金牛</v>
      </c>
      <c r="C116" s="22" t="str">
        <v>杭州宜格化妆品有限公司</v>
      </c>
      <c r="D116" s="87"/>
      <c r="E116" s="12" t="str">
        <v>快手</v>
      </c>
      <c r="F116" s="87"/>
      <c r="G116" s="12" t="str">
        <v>群邑（上海）广告有限公司</v>
      </c>
      <c r="H116" s="26"/>
      <c r="I116" s="26"/>
      <c r="J116" s="3">
        <v>16909146</v>
      </c>
      <c r="K116" s="3" t="str">
        <v>花西子官方旗舰店-全站ROI</v>
      </c>
      <c r="P116" s="12"/>
      <c r="Q116" s="12"/>
    </row>
    <row r="117">
      <c r="A117" s="10" t="str">
        <v>站外</v>
      </c>
      <c r="B117" s="12" t="str">
        <v>磁力金牛</v>
      </c>
      <c r="C117" s="22" t="str">
        <v>杭州宜格化妆品有限公司</v>
      </c>
      <c r="D117" s="87"/>
      <c r="E117" s="12" t="str">
        <v>快手</v>
      </c>
      <c r="F117" s="87"/>
      <c r="G117" s="12" t="str">
        <v>群邑（上海）广告有限公司</v>
      </c>
      <c r="H117" s="26"/>
      <c r="I117" s="26"/>
      <c r="J117" s="3">
        <v>16909147</v>
      </c>
      <c r="K117" s="3" t="str">
        <v>花西子官方旗舰店-群邑4</v>
      </c>
      <c r="P117" s="12"/>
      <c r="Q117" s="12"/>
    </row>
    <row r="118">
      <c r="A118" s="10" t="str">
        <v>站外</v>
      </c>
      <c r="B118" s="12" t="str">
        <v>磁力金牛</v>
      </c>
      <c r="C118" s="22" t="str">
        <v>杭州宜格化妆品有限公司</v>
      </c>
      <c r="D118" s="87"/>
      <c r="E118" s="12" t="str">
        <v>快手</v>
      </c>
      <c r="F118" s="87"/>
      <c r="G118" s="12" t="str">
        <v>群邑（上海）广告有限公司</v>
      </c>
      <c r="H118" s="26"/>
      <c r="I118" s="26"/>
      <c r="J118" s="3">
        <v>16909148</v>
      </c>
      <c r="K118" s="3" t="str">
        <v>花西子官方旗舰店</v>
      </c>
      <c r="P118" s="12"/>
      <c r="Q118" s="12"/>
    </row>
    <row r="119">
      <c r="A119" s="10" t="str">
        <v>站外</v>
      </c>
      <c r="B119" s="12" t="str">
        <v>磁力金牛</v>
      </c>
      <c r="C119" s="22" t="str">
        <v>杭州宜格化妆品有限公司</v>
      </c>
      <c r="D119" s="87"/>
      <c r="E119" s="12" t="str">
        <v>快手</v>
      </c>
      <c r="F119" s="87"/>
      <c r="G119" s="12" t="str">
        <v>群邑（上海）广告有限公司</v>
      </c>
      <c r="H119" s="26"/>
      <c r="I119" s="26"/>
      <c r="J119" s="3">
        <v>16907921</v>
      </c>
      <c r="K119" s="3" t="str">
        <v>花西子官方旗舰店</v>
      </c>
      <c r="P119" s="12"/>
      <c r="Q119" s="12"/>
    </row>
    <row r="120">
      <c r="A120" s="10" t="str">
        <v>站外</v>
      </c>
      <c r="B120" s="12" t="str">
        <v>磁力金牛</v>
      </c>
      <c r="C120" s="22" t="str">
        <v>杭州宜格化妆品有限公司</v>
      </c>
      <c r="D120" s="87"/>
      <c r="E120" s="12" t="str">
        <v>快手</v>
      </c>
      <c r="F120" s="87"/>
      <c r="G120" s="12" t="str">
        <v>群邑（上海）广告有限公司</v>
      </c>
      <c r="H120" s="26"/>
      <c r="I120" s="26"/>
      <c r="J120" s="3">
        <v>16909145</v>
      </c>
      <c r="K120" s="3" t="str">
        <v>花西子官方旗舰店-群邑-RSH代投</v>
      </c>
      <c r="P120" s="12"/>
      <c r="Q120" s="12"/>
    </row>
    <row r="121">
      <c r="A121" s="10" t="str">
        <v>站外</v>
      </c>
      <c r="B121" s="12" t="str">
        <v>千川信息流</v>
      </c>
      <c r="C121" s="22" t="str">
        <v>杭州宜格化妆品有限公司</v>
      </c>
      <c r="D121" s="87"/>
      <c r="E121" s="12" t="str">
        <v>抖音</v>
      </c>
      <c r="F121" s="87"/>
      <c r="G121" s="10" t="str">
        <v>上海博观瑞思传媒科技有限公司</v>
      </c>
      <c r="H121" s="26"/>
      <c r="I121" s="26"/>
      <c r="J121" s="13" t="str">
        <v>1695557841246222</v>
      </c>
      <c r="K121" s="13" t="str" xml:space="preserve">
        <v>  博观-直播-官号1 </v>
      </c>
      <c r="P121" s="12"/>
      <c r="Q121" s="12"/>
    </row>
    <row r="122">
      <c r="A122" s="10" t="str">
        <v>站外</v>
      </c>
      <c r="B122" s="12" t="str">
        <v>千川信息流</v>
      </c>
      <c r="C122" s="22" t="str">
        <v>杭州宜格化妆品有限公司</v>
      </c>
      <c r="D122" s="87"/>
      <c r="E122" s="12" t="str">
        <v>抖音</v>
      </c>
      <c r="F122" s="87"/>
      <c r="G122" s="10" t="str">
        <v>上海博观瑞思传媒科技有限公司</v>
      </c>
      <c r="H122" s="26"/>
      <c r="I122" s="26"/>
      <c r="J122" s="13" t="str">
        <v>1760222811427847</v>
      </c>
      <c r="K122" s="13" t="str" xml:space="preserve">
        <v>  博观-图文1-引流 </v>
      </c>
      <c r="P122" s="12"/>
      <c r="Q122" s="12"/>
    </row>
    <row r="123">
      <c r="A123" s="10" t="str">
        <v>站外</v>
      </c>
      <c r="B123" s="12" t="str">
        <v>千川信息流</v>
      </c>
      <c r="C123" s="22" t="str">
        <v>杭州宜格化妆品有限公司</v>
      </c>
      <c r="D123" s="87"/>
      <c r="E123" s="12" t="str">
        <v>抖音</v>
      </c>
      <c r="F123" s="87"/>
      <c r="G123" s="10" t="str">
        <v>知定堂</v>
      </c>
      <c r="H123" s="26"/>
      <c r="I123" s="26"/>
      <c r="J123" s="13" t="str">
        <v>1761146745368653</v>
      </c>
      <c r="K123" s="13" t="str" xml:space="preserve">
        <v>  知定堂-图文1-引流 </v>
      </c>
      <c r="P123" s="12"/>
      <c r="Q123" s="12"/>
    </row>
    <row r="124">
      <c r="A124" s="10" t="str">
        <v>站外</v>
      </c>
      <c r="B124" s="12" t="str">
        <v>千川信息流</v>
      </c>
      <c r="C124" s="22" t="str">
        <v>杭州宜格化妆品有限公司</v>
      </c>
      <c r="D124" s="87"/>
      <c r="E124" s="12" t="str">
        <v>抖音</v>
      </c>
      <c r="F124" s="87"/>
      <c r="G124" s="86"/>
      <c r="H124" s="26"/>
      <c r="I124" s="26"/>
      <c r="J124" s="13" t="str">
        <v>1695646517812232</v>
      </c>
      <c r="K124" s="13" t="str" xml:space="preserve">
        <v>  花西子-小店随心推 </v>
      </c>
      <c r="P124" s="12"/>
      <c r="Q124" s="12"/>
    </row>
    <row r="125">
      <c r="A125" s="10" t="str">
        <v>站外</v>
      </c>
      <c r="B125" s="10" t="str">
        <v>矩阵号千川信息流</v>
      </c>
      <c r="C125" s="22" t="str">
        <v>杭州宜格化妆品有限公司</v>
      </c>
      <c r="D125" s="87"/>
      <c r="E125" s="12" t="str">
        <v>抖音</v>
      </c>
      <c r="F125" s="87"/>
      <c r="G125" s="10" t="str">
        <v>上海博观瑞思传媒科技有限公司</v>
      </c>
      <c r="H125" s="26"/>
      <c r="I125" s="26"/>
      <c r="J125" s="13" t="str">
        <v>1760519091540999</v>
      </c>
      <c r="K125" s="13" t="str" xml:space="preserve">
        <v>  博观-花西子-千川-3 </v>
      </c>
      <c r="P125" s="12"/>
      <c r="Q125" s="12"/>
    </row>
    <row r="126">
      <c r="A126" s="10" t="str">
        <v>站外</v>
      </c>
      <c r="B126" s="10" t="str">
        <v>矩阵号千川信息流</v>
      </c>
      <c r="C126" s="22" t="str">
        <v>杭州宜格化妆品有限公司</v>
      </c>
      <c r="D126" s="87"/>
      <c r="E126" s="12" t="str">
        <v>抖音</v>
      </c>
      <c r="F126" s="87"/>
      <c r="G126" s="10" t="str">
        <v>上海博观瑞思传媒科技有限公司</v>
      </c>
      <c r="H126" s="26"/>
      <c r="I126" s="26"/>
      <c r="J126" s="13" t="str">
        <v>1760519144208525</v>
      </c>
      <c r="K126" s="13" t="str" xml:space="preserve">
        <v>  博观-花西子-千川-4 </v>
      </c>
      <c r="P126" s="12"/>
      <c r="Q126" s="12"/>
    </row>
    <row r="127">
      <c r="A127" s="10" t="str">
        <v>站外</v>
      </c>
      <c r="B127" s="10" t="str">
        <v>矩阵号千川信息流</v>
      </c>
      <c r="C127" s="22" t="str">
        <v>杭州宜格化妆品有限公司</v>
      </c>
      <c r="D127" s="87"/>
      <c r="E127" s="12" t="str">
        <v>抖音</v>
      </c>
      <c r="F127" s="87"/>
      <c r="G127" s="10" t="str">
        <v>上海博观瑞思传媒科技有限公司</v>
      </c>
      <c r="H127" s="26"/>
      <c r="I127" s="26"/>
      <c r="J127" s="13" t="str">
        <v>1761057229537293</v>
      </c>
      <c r="K127" s="13" t="str" xml:space="preserve">
        <v>  博观-花西子-千川-5 </v>
      </c>
      <c r="P127" s="12"/>
      <c r="Q127" s="12"/>
    </row>
    <row r="128">
      <c r="A128" s="10" t="str">
        <v>站外</v>
      </c>
      <c r="B128" s="10" t="str">
        <v>矩阵号千川信息流</v>
      </c>
      <c r="C128" s="22" t="str">
        <v>杭州宜格化妆品有限公司</v>
      </c>
      <c r="D128" s="87"/>
      <c r="E128" s="12" t="str">
        <v>抖音</v>
      </c>
      <c r="F128" s="87"/>
      <c r="G128" s="10" t="str">
        <v>上海博观瑞思传媒科技有限公司</v>
      </c>
      <c r="H128" s="26"/>
      <c r="I128" s="26"/>
      <c r="J128" s="13" t="str">
        <v>1761057340544014</v>
      </c>
      <c r="K128" s="13" t="str" xml:space="preserve">
        <v>  博观-花西子-千川-6 </v>
      </c>
      <c r="P128" s="12"/>
      <c r="Q128" s="12"/>
    </row>
    <row r="129">
      <c r="A129" s="10" t="str">
        <v>站外</v>
      </c>
      <c r="B129" s="10" t="str">
        <v>小红书加热</v>
      </c>
      <c r="C129" s="22" t="str">
        <v>杭州宜格化妆品有限公司</v>
      </c>
      <c r="D129" s="87"/>
      <c r="E129" s="12" t="str">
        <v>小红书</v>
      </c>
      <c r="F129" s="87"/>
      <c r="G129" s="10" t="str">
        <v>上海博观瑞思传媒科技有限公司</v>
      </c>
      <c r="H129" s="26"/>
      <c r="I129" s="26"/>
      <c r="J129" s="13">
        <v>307497</v>
      </c>
      <c r="K129" s="13" t="str">
        <v>博观-花西子-3</v>
      </c>
      <c r="P129" s="12"/>
      <c r="Q129" s="12"/>
    </row>
    <row r="130">
      <c r="A130" s="10" t="str">
        <v>站外</v>
      </c>
      <c r="B130" s="22" t="str">
        <v>AD信息流</v>
      </c>
      <c r="C130" s="22" t="str">
        <v>杭州宜格化妆品有限公司</v>
      </c>
      <c r="E130" s="22" t="str">
        <v>抖音</v>
      </c>
      <c r="F130" s="87"/>
      <c r="G130" s="10" t="str">
        <v>上海聚胜万合广告有限公司</v>
      </c>
      <c r="H130" s="26"/>
      <c r="I130" s="26"/>
      <c r="J130" s="13" t="str">
        <v>1761595756097614</v>
      </c>
      <c r="K130" s="13" t="str">
        <v>聚合定妆-杭州宜格CID-3有色粉饼</v>
      </c>
      <c r="P130" s="22" t="str">
        <v>否</v>
      </c>
      <c r="Q130" s="22" t="str">
        <v>否</v>
      </c>
    </row>
    <row r="131">
      <c r="A131" s="10" t="str">
        <v>站外</v>
      </c>
      <c r="B131" s="22" t="str">
        <v>AD信息流</v>
      </c>
      <c r="C131" s="22" t="str">
        <v>杭州宜格化妆品有限公司</v>
      </c>
      <c r="E131" s="22" t="str">
        <v>抖音</v>
      </c>
      <c r="F131" s="87"/>
      <c r="G131" s="10" t="str">
        <v>上海聚胜万合广告有限公司</v>
      </c>
      <c r="H131" s="26"/>
      <c r="I131" s="26"/>
      <c r="J131" s="13" t="str">
        <v>1761595755440142</v>
      </c>
      <c r="K131" s="13" t="str">
        <v>聚合定妆-杭州宜格CID-2玉养蜜粉</v>
      </c>
      <c r="P131" s="22" t="str">
        <v>否</v>
      </c>
      <c r="Q131" s="22" t="str">
        <v>否</v>
      </c>
    </row>
    <row r="132">
      <c r="A132" s="10" t="str">
        <v>站外</v>
      </c>
      <c r="B132" s="22" t="str">
        <v>AD信息流</v>
      </c>
      <c r="C132" s="22" t="str">
        <v>杭州宜格化妆品有限公司</v>
      </c>
      <c r="E132" s="22" t="str">
        <v>抖音</v>
      </c>
      <c r="F132" s="87"/>
      <c r="G132" s="10" t="str">
        <v>上海聚胜万合广告有限公司</v>
      </c>
      <c r="H132" s="26"/>
      <c r="I132" s="26"/>
      <c r="J132" s="13" t="str">
        <v>1761595754924045</v>
      </c>
      <c r="K132" s="13" t="str">
        <v>聚合定妆-杭州宜格CID-1私模蜜粉</v>
      </c>
      <c r="P132" s="22" t="str">
        <v>否</v>
      </c>
      <c r="Q132" s="22" t="str">
        <v>否</v>
      </c>
    </row>
    <row r="133">
      <c r="A133" s="10" t="str">
        <v>站外</v>
      </c>
      <c r="B133" s="22" t="str">
        <v>AD信息流</v>
      </c>
      <c r="C133" s="22" t="str">
        <v>杭州宜格化妆品有限公司</v>
      </c>
      <c r="E133" s="22" t="str">
        <v>抖音</v>
      </c>
      <c r="F133" s="87"/>
      <c r="G133" s="10" t="str">
        <v>上海聚胜万合广告有限公司</v>
      </c>
      <c r="H133" s="26"/>
      <c r="I133" s="26"/>
      <c r="J133" s="13" t="str">
        <v>1761595756647431</v>
      </c>
      <c r="K133" s="13" t="str">
        <v>聚合定妆-杭州宜格CID-5私模蜜粉</v>
      </c>
      <c r="P133" s="22" t="str">
        <v>否</v>
      </c>
      <c r="Q133" s="22" t="str">
        <v>否</v>
      </c>
    </row>
    <row r="134">
      <c r="A134" s="10" t="str">
        <v>站外</v>
      </c>
      <c r="B134" s="22" t="str">
        <v>AD信息流</v>
      </c>
      <c r="C134" s="22" t="str">
        <v>杭州宜格化妆品有限公司</v>
      </c>
      <c r="E134" s="22" t="str">
        <v>抖音</v>
      </c>
      <c r="F134" s="87"/>
      <c r="G134" s="10" t="str">
        <v>上海聚胜万合广告有限公司</v>
      </c>
      <c r="H134" s="26"/>
      <c r="I134" s="26"/>
      <c r="J134" s="13" t="str">
        <v>1761595754386509</v>
      </c>
      <c r="K134" s="13" t="str">
        <v>聚合定妆-杭州宜格CID-4玉养蜜粉</v>
      </c>
      <c r="P134" s="22" t="str">
        <v>否</v>
      </c>
      <c r="Q134" s="22" t="str">
        <v>否</v>
      </c>
    </row>
    <row r="135">
      <c r="A135" s="10" t="str">
        <v>站外</v>
      </c>
      <c r="B135" s="22" t="str">
        <v>AD信息流</v>
      </c>
      <c r="C135" s="22" t="str">
        <v>杭州宜格化妆品有限公司</v>
      </c>
      <c r="E135" s="22" t="str">
        <v>抖音</v>
      </c>
      <c r="F135" s="87"/>
      <c r="G135" s="10" t="str">
        <v>上海聚胜万合广告有限公司</v>
      </c>
      <c r="H135" s="26"/>
      <c r="I135" s="26"/>
      <c r="J135" s="13" t="str">
        <v>1761236891646989</v>
      </c>
      <c r="K135" s="13" t="str">
        <v>杭州宜格化妆品有限公司-Mediav-备款户</v>
      </c>
      <c r="P135" s="22" t="str">
        <v>否</v>
      </c>
      <c r="Q135" s="22" t="str">
        <v>否</v>
      </c>
    </row>
    <row r="136">
      <c r="A136" s="10" t="str">
        <v>站外</v>
      </c>
      <c r="B136" s="10" t="str">
        <v>UD信息流</v>
      </c>
      <c r="C136" s="22" t="str">
        <v>杭州宜格化妆品有限公司</v>
      </c>
      <c r="E136" s="22" t="str">
        <v>抖音</v>
      </c>
      <c r="F136" s="87"/>
      <c r="G136" s="22" t="str">
        <v>上海剧星传媒股份有限公司</v>
      </c>
      <c r="H136" s="26"/>
      <c r="I136" s="26"/>
      <c r="J136" s="3">
        <v>1493959</v>
      </c>
      <c r="K136" s="3" t="str">
        <v>花西子UD2023-01</v>
      </c>
      <c r="P136" s="22" t="str">
        <v>否</v>
      </c>
      <c r="Q136" s="22" t="str">
        <v>否</v>
      </c>
    </row>
    <row r="137">
      <c r="A137" s="10" t="str">
        <v>站外</v>
      </c>
      <c r="B137" s="10" t="str">
        <v>小红书加热</v>
      </c>
      <c r="C137" s="22" t="str">
        <v>杭州宜格化妆品有限公司</v>
      </c>
      <c r="D137" s="87"/>
      <c r="E137" s="12" t="str">
        <v>小红书</v>
      </c>
      <c r="F137" s="87"/>
      <c r="G137" s="86" t="str">
        <v>上海剧星传媒股份有限公司</v>
      </c>
      <c r="H137" s="26"/>
      <c r="I137" s="26"/>
      <c r="J137" s="15" t="s">
        <v>53</v>
      </c>
      <c r="K137" s="13" t="str">
        <v>剧星小红书投放账户</v>
      </c>
      <c r="M137" s="87"/>
      <c r="N137" s="87"/>
      <c r="O137" s="87"/>
      <c r="P137" s="85"/>
      <c r="Q137" s="85"/>
      <c r="R137" s="87"/>
      <c r="S137" s="87"/>
      <c r="T137" s="87"/>
      <c r="U137" s="87"/>
      <c r="V137" s="87"/>
      <c r="W137" s="87"/>
      <c r="X137" s="87"/>
      <c r="Y137" s="87"/>
      <c r="Z137" s="87"/>
      <c r="AA137" s="87"/>
    </row>
    <row r="138">
      <c r="A138" s="10" t="str">
        <v>站外</v>
      </c>
      <c r="B138" s="88" t="str">
        <v>微信ADQ投放</v>
      </c>
      <c r="C138" s="22" t="str">
        <v>杭州宜格化妆品有限公司</v>
      </c>
      <c r="D138" s="87"/>
      <c r="E138" s="12" t="str">
        <v>微信</v>
      </c>
      <c r="F138" s="87"/>
      <c r="G138" s="10" t="str">
        <v>深圳市新广数字科技有限公司</v>
      </c>
      <c r="J138" s="13">
        <v>30385115</v>
      </c>
      <c r="K138" s="13" t="str">
        <v>杭州宜格化妆品有限公司</v>
      </c>
      <c r="P138" s="12"/>
      <c r="Q138" s="12"/>
    </row>
    <row r="139">
      <c r="A139" s="10" t="str">
        <v>站外</v>
      </c>
      <c r="B139" s="88" t="str">
        <v>微信ADQ投放</v>
      </c>
      <c r="C139" s="22" t="str">
        <v>杭州宜格化妆品有限公司</v>
      </c>
      <c r="D139" s="87"/>
      <c r="E139" s="12" t="str">
        <v>微信</v>
      </c>
      <c r="F139" s="87"/>
      <c r="G139" s="10" t="str">
        <v>深圳市新广数字科技有限公司</v>
      </c>
      <c r="J139" s="13">
        <v>29658645</v>
      </c>
      <c r="K139" s="13" t="str">
        <v>杭州花凝香生物科技有限公司</v>
      </c>
      <c r="P139" s="12"/>
      <c r="Q139" s="12"/>
    </row>
    <row r="140">
      <c r="A140" s="10" t="str">
        <v>站外</v>
      </c>
      <c r="B140" s="10" t="str">
        <v>千川矩阵信息流</v>
      </c>
      <c r="C140" s="22" t="str">
        <v>杭州宜格化妆品有限公司</v>
      </c>
      <c r="D140" s="87"/>
      <c r="E140" s="12" t="str">
        <v>抖音</v>
      </c>
      <c r="F140" s="87"/>
      <c r="G140" s="10" t="str">
        <v>知定堂</v>
      </c>
      <c r="H140" s="26"/>
      <c r="I140" s="26"/>
      <c r="J140" s="13" t="str">
        <v>1761153809509390</v>
      </c>
      <c r="K140" s="13" t="str" xml:space="preserve">
        <v>  ZH-花西子官方旗舰店 </v>
      </c>
      <c r="M140" s="26"/>
      <c r="N140" s="26"/>
      <c r="O140" s="26"/>
      <c r="P140" s="12"/>
      <c r="Q140" s="12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10" t="str">
        <v>站外</v>
      </c>
      <c r="B141" s="94" t="str">
        <v>B站起飞加热</v>
      </c>
      <c r="C141" s="22" t="str">
        <v>杭州宜格化妆品有限公司</v>
      </c>
      <c r="D141" s="87"/>
      <c r="E141" s="12" t="str">
        <v>B站</v>
      </c>
      <c r="F141" s="87"/>
      <c r="G141" s="86"/>
      <c r="J141" s="3"/>
      <c r="K141" s="3" t="str">
        <v>火烧云3户</v>
      </c>
      <c r="P141" s="12"/>
      <c r="Q141" s="12"/>
      <c r="R141" s="26"/>
      <c r="S141" s="26"/>
    </row>
    <row r="142">
      <c r="A142" s="10" t="str">
        <v>站外</v>
      </c>
      <c r="B142" s="94" t="str">
        <v>B站起飞加热</v>
      </c>
      <c r="C142" s="22" t="str">
        <v>杭州宜格化妆品有限公司</v>
      </c>
      <c r="D142" s="87"/>
      <c r="E142" s="12" t="str">
        <v>B站</v>
      </c>
      <c r="F142" s="87"/>
      <c r="G142" s="86"/>
      <c r="J142" s="13"/>
      <c r="K142" s="3" t="str">
        <v>无堂</v>
      </c>
      <c r="P142" s="12"/>
      <c r="Q142" s="12"/>
      <c r="R142" s="26"/>
      <c r="S142" s="26"/>
    </row>
    <row r="143">
      <c r="A143" s="26"/>
      <c r="B143" s="26"/>
      <c r="C143" s="12"/>
      <c r="D143" s="26"/>
      <c r="E143" s="12"/>
      <c r="F143" s="26"/>
      <c r="G143" s="10"/>
      <c r="H143" s="26"/>
      <c r="I143" s="26"/>
      <c r="J143" s="26"/>
      <c r="K143" s="12"/>
      <c r="M143" s="26"/>
      <c r="N143" s="26"/>
      <c r="O143" s="26"/>
      <c r="P143" s="12"/>
      <c r="Q143" s="12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6"/>
      <c r="B144" s="26"/>
      <c r="C144" s="12"/>
      <c r="D144" s="26"/>
      <c r="E144" s="12"/>
      <c r="F144" s="26"/>
      <c r="G144" s="10"/>
      <c r="H144" s="26"/>
      <c r="I144" s="26"/>
      <c r="J144" s="26"/>
      <c r="K144" s="12"/>
      <c r="M144" s="26"/>
      <c r="N144" s="26"/>
      <c r="O144" s="26"/>
      <c r="P144" s="12"/>
      <c r="Q144" s="12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12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12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12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12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12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12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12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</sheetData>
  <hyperlinks>
    <hyperlink ref="I29" display="https://ad.oceanengine.com/" r:id="rId1"/>
    <hyperlink ref="K34" display="huaxizi_xinxliuad9@163.com" r:id="rId2"/>
    <hyperlink ref="I22" display="https://ad.xiaohongshu.com/" r:id="rId3"/>
    <hyperlink ref="K25" display="huaxizi_xhongshu2@163.com" r:id="rId4"/>
    <hyperlink ref="I34" display="https://ad.oceanengine.com/" r:id="rId5"/>
    <hyperlink ref="I35" display="https://ad.oceanengine.com/" r:id="rId6"/>
    <hyperlink ref="I18" display="https://partner.kaola.com/index" r:id="rId7"/>
    <hyperlink ref="K30" display="huaxizi_xinxiliuad4@163.com" r:id="rId8"/>
    <hyperlink ref="I30" display="https://ad.oceanengine.com/" r:id="rId9"/>
    <hyperlink ref="I7" display="https://adbrain.taobao.com/indexbp.html?spm=a2etp.11817080.cf7687754.1.3cfc340cF6NZNK#!/live/report-rtp/index?alias=duration&amp;bizCode=adStrategyDuration&amp;perspective=report&amp;startTime=2022-11-12&amp;endTime=2022-12-05&amp;vs=false&amp;version=all&amp;dateType=history&amp;effect=15&amp;effectType=click&amp;tab=campaign&amp;reportQuery=%5Bobject%20Object%5D&amp;spm=" r:id="rId10"/>
    <hyperlink ref="I9" display="https://chaojihudong.taobao.com/indexbp.html?spm=a2e10l.13920195.cf7687754.d17068800.53f4677930Jd7Q#!/manage/shop-guarantee?alias=shop-guarantee&amp;perspective=manage" r:id="rId11"/>
    <hyperlink ref="I3" display="https://subway.simba.taobao.com/index.jsp?spm=..0.da0f51bf8.6f372030STYU7d&amp;file=indexnew.jsp#!/manage/campaign/detail?campaignId=222191719&amp;start=2022-12-06&amp;end=2022-12-06" r:id="rId12"/>
    <hyperlink ref="K24" display="shiguang2824@ten-box.cn" r:id="rId13"/>
    <hyperlink ref="I13" display="https://product.shop.jd.com/rest/ware/list/manage?wareStatusStr=onSale&amp;firstQuery=1" r:id="rId14"/>
    <hyperlink ref="I25" display="https://ad.xiaohongshu.com/" r:id="rId15"/>
    <hyperlink ref="I11" display="https://product.shop.jd.com/rest/ware/list/manage?wareStatusStr=onSale&amp;firstQuery=1" r:id="rId16"/>
    <hyperlink ref="I28" display="https://doujia.douyin.com/" r:id="rId17"/>
    <hyperlink ref="K33" display="huaxizi_xinxliuad8@163.com" r:id="rId18"/>
    <hyperlink ref="I14" display="https://product.shop.jd.com/rest/ware/list/manage?wareStatusStr=onSale&amp;firstQuery=1" r:id="rId19"/>
    <hyperlink ref="I17" display="https://business.oceanengine.com/site/promotion?#/account" r:id="rId20"/>
    <hyperlink ref="I36" display="https://unidesk.taobao.com/index.html" r:id="rId21"/>
    <hyperlink ref="K23" display="shiguang2272@ten-box.cn" r:id="rId22"/>
    <hyperlink ref="I26" display="https://ad.xiaohongshu.com/" r:id="rId23"/>
    <hyperlink ref="I10" display="https://product.shop.jd.com/rest/ware/list/manage?wareStatusStr=onSale&amp;firstQuery=1" r:id="rId24"/>
    <hyperlink ref="K31" display="huaxizi_xinxliuad5@163.com" r:id="rId25"/>
    <hyperlink ref="I5" display="https://branding.taobao.com/index.action?spm=a2e0z.13920195.cf7687754.ddb5ad158.d9df6c51tgUS2R&amp;file=index.action#!/account/index" r:id="rId26"/>
    <hyperlink ref="K35" display="joy.du@mindshareworld.com" r:id="rId27"/>
    <hyperlink ref="I19" display="https://jzt.jd.com/home/#/index" r:id="rId28"/>
    <hyperlink ref="I27" display="https://ad.weibo.com/" r:id="rId29"/>
    <hyperlink ref="I38" display="https://ad.e.kuaishou.com/manage?__accountId__=14861051" r:id="rId30"/>
    <hyperlink ref="J137" display="sd_xx@visionstar.cn" r:id="rId31"/>
    <hyperlink ref="I6" display="https://adbrain.taobao.com/indexbp.html?spm=a2etp.11817080.cf7687754.1.3cfc340cF6NZNK#!/live/report-rtp/index?alias=duration&amp;bizCode=adStrategyDuration&amp;perspective=report&amp;startTime=2022-11-12&amp;endTime=2022-12-05&amp;vs=false&amp;version=all&amp;dateType=history&amp;effect=15&amp;effectType=click&amp;tab=campaign&amp;reportQuery=%5Bobject%20Object%5D&amp;spm=" r:id="rId32"/>
    <hyperlink ref="K26" display="huaxizi_xhongshu4@163.com" r:id="rId33"/>
    <hyperlink ref="K21" display="shiguang2251@ten-box.cn" r:id="rId34"/>
    <hyperlink ref="I24" display="https://ad.xiaohongshu.com/" r:id="rId35"/>
    <hyperlink ref="I4" display="https://tuijian.taobao.com/indexbp.html?spm=a2e1u0.13920195.cf7687754.d17068800.2ab94d63TTfrAB#!/manage/def?spm=a2e1u0.13920195.cf7687754.d17068800.2ab94d63TTfrAB&amp;alias=def&amp;startTime=2022-12-06&amp;endTime=2022-12-06&amp;campaignGroupId=12563920&amp;marketScene=display_user_define&amp;statusList=START%2CPAUSE%2CWAIT" r:id="rId36"/>
    <hyperlink ref="K17" display="huaxizi_xinxliuad2@163.com" r:id="rId37"/>
    <hyperlink ref="I20" display="https://subway.simba.taobao.com/index.jsp?spm=..0.da0f51bf8.6f372030STYU7d&amp;file=indexnew.jsp#!/manage/campaign/detail?campaignId=222191719&amp;start=2022-12-06&amp;end=2022-12-06" r:id="rId38"/>
    <hyperlink ref="I32" display="https://ad.oceanengine.com/" r:id="rId39"/>
    <hyperlink ref="I23" display="https://ad.xiaohongshu.com/" r:id="rId40"/>
    <hyperlink ref="I37" display="https://cas.baidu.com/?tpl=www2&amp;fromu=http%3A%2F%2Fwww2.b...ommon%2Fappinit.ajax" r:id="rId41"/>
    <hyperlink ref="K32" display="huaxizi_xinxliuad7@163.com" r:id="rId42"/>
    <hyperlink ref="I33" display="https://ad.oceanengine.com/" r:id="rId43"/>
    <hyperlink ref="I39" display="https://niu.e.kuaishou.com/manage?__accountId__=13304454" r:id="rId44"/>
    <hyperlink ref="I31" display="https://ad.oceanengine.com/" r:id="rId45"/>
    <hyperlink ref="K22" display="shiguang1450@ten-box.cn" r:id="rId46"/>
    <hyperlink ref="I40" display="https://ad.qq.com/atlas/23959502/index" r:id="rId47"/>
    <hyperlink ref="I21" display="https://ad.xiaohongshu.com/" r:id="rId48"/>
    <hyperlink ref="I12" display="https://product.shop.jd.com/rest/ware/list/manage?wareStatusStr=onSale&amp;firstQuery=1" r:id="rId49"/>
    <hyperlink ref="K29" display="huaxizi_xinxiliuad@163.com" r:id="rId50"/>
    <hyperlink ref="I15" display="https://passport.vip.com/login?whereFrom=vipotd&amp;src=https%3A%2F%2Fe.vip.com%2Fmain.html" r:id="rId51"/>
    <hyperlink ref="I16" display="https://passport.vip.com/login?whereFrom=vipotd&amp;src=https%3A%2F%2Fe.vip.com%2Fmain.html" r:id="rId52"/>
    <hyperlink ref="I8" display="https://adbrain.taobao.com/indexbp.html?spm=a2etp.11817080.cf7687754.1.3cfc340cF6NZNK#!/live/report-rtp/index?alias=duration&amp;bizCode=adStrategyDuration&amp;perspective=report&amp;startTime=2022-11-12&amp;endTime=2022-12-05&amp;vs=false&amp;version=all&amp;dateType=history&amp;effect=15&amp;effectType=click&amp;tab=campaign&amp;reportQuery=%5Bobject%20Object%5D&amp;spm=" r:id="rId53"/>
  </hyperlinks>
  <picture r:id="rId54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0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38"/>
  </cols>
  <sheetData>
    <row r="1">
      <c r="A1" s="120" t="str">
        <v>营销活动分类</v>
      </c>
      <c r="B1" s="121" t="str">
        <v>营销活动场景</v>
      </c>
      <c r="C1" s="118" t="str">
        <v>编码</v>
      </c>
      <c r="D1" s="118" t="str">
        <v>一级部门</v>
      </c>
      <c r="E1" s="118" t="str">
        <v>二级部门</v>
      </c>
      <c r="F1" s="118" t="str">
        <v>三级部门</v>
      </c>
      <c r="G1" s="118" t="str">
        <v>四级部门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r="2">
      <c r="A2" s="104" t="str">
        <v>IP明星内容合作</v>
      </c>
      <c r="B2" s="115" t="str">
        <v>IP合作</v>
      </c>
      <c r="C2" s="102" t="str">
        <v>YXHD01</v>
      </c>
      <c r="D2" s="102" t="str">
        <v>品牌运营中心</v>
      </c>
      <c r="E2" s="102" t="str">
        <v>市场广告推广部</v>
      </c>
      <c r="F2" s="102" t="str">
        <v>市场推广部</v>
      </c>
      <c r="G2" s="102" t="str">
        <v>市场PR组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>
      <c r="A3" s="104" t="str">
        <v>IP明星内容合作</v>
      </c>
      <c r="B3" s="24" t="str">
        <v>明星差旅</v>
      </c>
      <c r="C3" s="102" t="str">
        <v>YXHD02</v>
      </c>
      <c r="D3" s="36" t="str">
        <v>品牌运营中心</v>
      </c>
      <c r="E3" s="36" t="str">
        <v>市场广告推广部</v>
      </c>
      <c r="F3" s="36" t="str">
        <v>市场推广部</v>
      </c>
      <c r="G3" s="103" t="str">
        <v>娱乐营销组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>
      <c r="A4" s="104" t="str">
        <v>IP明星内容合作</v>
      </c>
      <c r="B4" s="24" t="str">
        <v>明星代言单次合作</v>
      </c>
      <c r="C4" s="102" t="str">
        <v>YXHD03</v>
      </c>
      <c r="D4" s="36" t="str">
        <v>品牌运营中心</v>
      </c>
      <c r="E4" s="36" t="str">
        <v>市场广告推广部</v>
      </c>
      <c r="F4" s="36" t="str">
        <v>市场推广部</v>
      </c>
      <c r="G4" s="103" t="str">
        <v>娱乐营销组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>
      <c r="A5" s="104" t="str">
        <v>IP明星内容合作</v>
      </c>
      <c r="B5" s="24" t="str">
        <v>明星代言合作</v>
      </c>
      <c r="C5" s="102" t="str">
        <v>YXHD04</v>
      </c>
      <c r="D5" s="36" t="str">
        <v>品牌运营中心</v>
      </c>
      <c r="E5" s="36" t="str">
        <v>市场广告推广部</v>
      </c>
      <c r="F5" s="36" t="str">
        <v>市场推广部</v>
      </c>
      <c r="G5" s="103" t="str">
        <v>娱乐营销组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>
      <c r="A6" s="104" t="str">
        <v>IP明星内容合作</v>
      </c>
      <c r="B6" s="24" t="str">
        <v>明星拍摄</v>
      </c>
      <c r="C6" s="102" t="str">
        <v>YXHD05</v>
      </c>
      <c r="D6" s="36" t="str">
        <v>品牌运营中心</v>
      </c>
      <c r="E6" s="36" t="str">
        <v>市场广告推广部</v>
      </c>
      <c r="F6" s="36" t="str">
        <v>市场推广部</v>
      </c>
      <c r="G6" s="103" t="str">
        <v>娱乐营销组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>
      <c r="A7" s="104" t="str">
        <v>IP明星内容合作</v>
      </c>
      <c r="B7" s="24" t="str">
        <v>明星影综营销号</v>
      </c>
      <c r="C7" s="102" t="str">
        <v>YXHD06</v>
      </c>
      <c r="D7" s="36" t="str">
        <v>品牌运营中心</v>
      </c>
      <c r="E7" s="36" t="str">
        <v>市场广告推广部</v>
      </c>
      <c r="F7" s="36" t="str">
        <v>市场推广部</v>
      </c>
      <c r="G7" s="103" t="str">
        <v>娱乐营销组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>
      <c r="A8" s="104" t="str">
        <v>IP明星内容合作</v>
      </c>
      <c r="B8" s="24" t="str">
        <v>明星妆发造</v>
      </c>
      <c r="C8" s="102" t="str">
        <v>YXHD07</v>
      </c>
      <c r="D8" s="36" t="str">
        <v>品牌运营中心</v>
      </c>
      <c r="E8" s="36" t="str">
        <v>市场广告推广部</v>
      </c>
      <c r="F8" s="36" t="str">
        <v>市场推广部</v>
      </c>
      <c r="G8" s="103" t="str">
        <v>娱乐营销组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>
      <c r="A9" s="104" t="str">
        <v>IP明星内容合作</v>
      </c>
      <c r="B9" s="24" t="str">
        <v>明星综艺线下活动</v>
      </c>
      <c r="C9" s="102" t="str">
        <v>YXHD08</v>
      </c>
      <c r="D9" s="36" t="str">
        <v>品牌运营中心</v>
      </c>
      <c r="E9" s="36" t="str">
        <v>市场广告推广部</v>
      </c>
      <c r="F9" s="36" t="str">
        <v>市场推广部</v>
      </c>
      <c r="G9" s="103" t="str">
        <v>娱乐营销组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>
      <c r="A10" s="104" t="str">
        <v>IP明星内容合作</v>
      </c>
      <c r="B10" s="24" t="str">
        <v>影视综艺植入</v>
      </c>
      <c r="C10" s="102" t="str">
        <v>YXHD09</v>
      </c>
      <c r="D10" s="36" t="str">
        <v>品牌运营中心</v>
      </c>
      <c r="E10" s="36" t="str">
        <v>市场广告推广部</v>
      </c>
      <c r="F10" s="36" t="str">
        <v>市场推广部</v>
      </c>
      <c r="G10" s="103" t="str">
        <v>娱乐营销组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>
      <c r="A11" s="111" t="str">
        <v>其他达人直播</v>
      </c>
      <c r="B11" s="113" t="str">
        <v>抖音直播服务费-抖音其他</v>
      </c>
      <c r="C11" s="112" t="str">
        <v>YXHD10</v>
      </c>
      <c r="D11" s="109" t="str">
        <v>品牌运营中心</v>
      </c>
      <c r="E11" s="109" t="str">
        <v>市场广告推广部</v>
      </c>
      <c r="F11" s="109" t="str">
        <v>达播2部</v>
      </c>
      <c r="G11" s="109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</row>
    <row r="12">
      <c r="A12" s="111" t="str">
        <v>SKA达人</v>
      </c>
      <c r="B12" s="113" t="str">
        <v>抖音直播服务费-抖音其他</v>
      </c>
      <c r="C12" s="112" t="str">
        <v>YXHD11</v>
      </c>
      <c r="D12" s="109" t="str">
        <v>品牌运营中心</v>
      </c>
      <c r="E12" s="109" t="str">
        <v>市场广告推广部</v>
      </c>
      <c r="F12" s="109" t="str">
        <v>达播2部</v>
      </c>
      <c r="G12" s="109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</row>
    <row r="13">
      <c r="A13" s="104" t="str">
        <v>田恬</v>
      </c>
      <c r="B13" s="24" t="str">
        <v>抖音直播服务费-田恬</v>
      </c>
      <c r="C13" s="102" t="str">
        <v>YXHD12</v>
      </c>
      <c r="D13" s="36" t="str">
        <v>品牌运营中心</v>
      </c>
      <c r="E13" s="36" t="str">
        <v>直播运营部</v>
      </c>
      <c r="F13" s="36" t="str">
        <v>达播BD部</v>
      </c>
      <c r="G13" s="36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>
      <c r="A14" s="104" t="str">
        <v>其他达人直播</v>
      </c>
      <c r="B14" s="24" t="str">
        <v>抖音直播服务费-团长计划</v>
      </c>
      <c r="C14" s="102" t="str">
        <v>YXHD13</v>
      </c>
      <c r="D14" s="36" t="str">
        <v>品牌运营中心</v>
      </c>
      <c r="E14" s="36" t="str">
        <v>市场广告推广部</v>
      </c>
      <c r="F14" s="36" t="str">
        <v>达播2部</v>
      </c>
      <c r="G14" s="36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>
      <c r="A15" s="111" t="str">
        <v>其他达人直播</v>
      </c>
      <c r="B15" s="113" t="str">
        <v>抖音直播坑位费-抖音其他</v>
      </c>
      <c r="C15" s="112" t="str">
        <v>YXHD14</v>
      </c>
      <c r="D15" s="109" t="str">
        <v>品牌运营中心</v>
      </c>
      <c r="E15" s="109" t="str">
        <v>市场广告推广部</v>
      </c>
      <c r="F15" s="109" t="str">
        <v>达播2部</v>
      </c>
      <c r="G15" s="109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</row>
    <row r="16">
      <c r="A16" s="111" t="str">
        <v>SKA达人</v>
      </c>
      <c r="B16" s="113" t="str">
        <v>抖音直播坑位费-抖音其他</v>
      </c>
      <c r="C16" s="112" t="str">
        <v>YXHD15</v>
      </c>
      <c r="D16" s="109" t="str">
        <v>品牌运营中心</v>
      </c>
      <c r="E16" s="109" t="str">
        <v>市场广告推广部</v>
      </c>
      <c r="F16" s="109" t="str">
        <v>达播2部</v>
      </c>
      <c r="G16" s="109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</row>
    <row r="17">
      <c r="A17" s="104" t="str">
        <v>田恬</v>
      </c>
      <c r="B17" s="24" t="str">
        <v>抖音直播坑位费-田恬</v>
      </c>
      <c r="C17" s="102" t="str">
        <v>YXHD16</v>
      </c>
      <c r="D17" s="36" t="str">
        <v>品牌运营中心</v>
      </c>
      <c r="E17" s="36" t="str">
        <v>直播运营部</v>
      </c>
      <c r="F17" s="36" t="str">
        <v>达播BD部</v>
      </c>
      <c r="G17" s="36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>
      <c r="A18" s="104" t="str">
        <v>其他达人直播</v>
      </c>
      <c r="B18" s="24" t="str">
        <v>抖音直播坑位费-团长计划</v>
      </c>
      <c r="C18" s="102" t="str">
        <v>YXHD17</v>
      </c>
      <c r="D18" s="36" t="str">
        <v>品牌运营中心</v>
      </c>
      <c r="E18" s="36" t="str">
        <v>市场广告推广部</v>
      </c>
      <c r="F18" s="36" t="str">
        <v>达播2部</v>
      </c>
      <c r="G18" s="36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>
      <c r="A19" s="111" t="str">
        <v>其他达人直播</v>
      </c>
      <c r="B19" s="113" t="str">
        <v>快手直播服务费</v>
      </c>
      <c r="C19" s="112" t="str">
        <v>YXHD18</v>
      </c>
      <c r="D19" s="109" t="str">
        <v>品牌运营中心</v>
      </c>
      <c r="E19" s="109" t="str">
        <v>市场广告推广部</v>
      </c>
      <c r="F19" s="109" t="str">
        <v>达播2部</v>
      </c>
      <c r="G19" s="109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</row>
    <row r="20">
      <c r="A20" s="111" t="str">
        <v>SKA达人</v>
      </c>
      <c r="B20" s="113" t="str">
        <v>快手直播服务费</v>
      </c>
      <c r="C20" s="112" t="str">
        <v>YXHD19</v>
      </c>
      <c r="D20" s="109" t="str">
        <v>品牌运营中心</v>
      </c>
      <c r="E20" s="109" t="str">
        <v>市场广告推广部</v>
      </c>
      <c r="F20" s="109" t="str">
        <v>达播2部</v>
      </c>
      <c r="G20" s="10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</row>
    <row r="21">
      <c r="A21" s="111" t="str">
        <v>其他达人直播</v>
      </c>
      <c r="B21" s="113" t="str">
        <v>快手直播坑位费</v>
      </c>
      <c r="C21" s="112" t="str">
        <v>YXHD20</v>
      </c>
      <c r="D21" s="109" t="str">
        <v>品牌运营中心</v>
      </c>
      <c r="E21" s="109" t="str">
        <v>市场广告推广部</v>
      </c>
      <c r="F21" s="109" t="str">
        <v>达播2部</v>
      </c>
      <c r="G21" s="109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</row>
    <row r="22">
      <c r="A22" s="111" t="str">
        <v>SKA达人</v>
      </c>
      <c r="B22" s="113" t="str">
        <v>快手直播坑位费</v>
      </c>
      <c r="C22" s="112" t="str">
        <v>YXHD21</v>
      </c>
      <c r="D22" s="109" t="str">
        <v>品牌运营中心</v>
      </c>
      <c r="E22" s="109" t="str">
        <v>市场广告推广部</v>
      </c>
      <c r="F22" s="109" t="str">
        <v>达播2部</v>
      </c>
      <c r="G22" s="109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</row>
    <row r="23">
      <c r="A23" s="104" t="str">
        <v>李佳琦</v>
      </c>
      <c r="B23" s="24" t="str">
        <v>天猫直播服务费-李佳琦</v>
      </c>
      <c r="C23" s="102" t="str">
        <v>YXHD22</v>
      </c>
      <c r="D23" s="36" t="str">
        <v>品牌运营中心</v>
      </c>
      <c r="E23" s="36" t="str">
        <v>直播运营部</v>
      </c>
      <c r="F23" s="36" t="str">
        <v>达播BD部</v>
      </c>
      <c r="G23" s="3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>
      <c r="A24" s="111" t="str">
        <v>其他达人直播</v>
      </c>
      <c r="B24" s="113" t="str">
        <v>天猫直播服务费-其他</v>
      </c>
      <c r="C24" s="112" t="str">
        <v>YXHD23</v>
      </c>
      <c r="D24" s="109" t="str">
        <v>品牌运营中心</v>
      </c>
      <c r="E24" s="109" t="str">
        <v>直播运营部</v>
      </c>
      <c r="F24" s="109" t="str">
        <v>达播BD部</v>
      </c>
      <c r="G24" s="109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</row>
    <row r="25">
      <c r="A25" s="111" t="str">
        <v>SKA达人</v>
      </c>
      <c r="B25" s="113" t="str">
        <v>天猫直播服务费-其他</v>
      </c>
      <c r="C25" s="112" t="str">
        <v>YXHD24</v>
      </c>
      <c r="D25" s="109" t="str">
        <v>品牌运营中心</v>
      </c>
      <c r="E25" s="109" t="str">
        <v>直播运营部</v>
      </c>
      <c r="F25" s="109" t="str">
        <v>达播BD部</v>
      </c>
      <c r="G25" s="109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</row>
    <row r="26">
      <c r="A26" s="104" t="str">
        <v>李佳琦</v>
      </c>
      <c r="B26" s="24" t="str">
        <v>天猫直播坑位费-李佳琦</v>
      </c>
      <c r="C26" s="102" t="str">
        <v>YXHD25</v>
      </c>
      <c r="D26" s="36" t="str">
        <v>品牌运营中心</v>
      </c>
      <c r="E26" s="36" t="str">
        <v>直播运营部</v>
      </c>
      <c r="F26" s="36" t="str">
        <v>达播BD部</v>
      </c>
      <c r="G26" s="36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>
      <c r="A27" s="111" t="str">
        <v>其他达人直播</v>
      </c>
      <c r="B27" s="113" t="str">
        <v>天猫直播坑位费-其他</v>
      </c>
      <c r="C27" s="112" t="str">
        <v>YXHD26</v>
      </c>
      <c r="D27" s="109" t="str">
        <v>品牌运营中心</v>
      </c>
      <c r="E27" s="109" t="str">
        <v>直播运营部</v>
      </c>
      <c r="F27" s="109" t="str">
        <v>达播BD部</v>
      </c>
      <c r="G27" s="109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</row>
    <row r="28">
      <c r="A28" s="111" t="str">
        <v>SKA达人</v>
      </c>
      <c r="B28" s="113" t="str">
        <v>天猫直播坑位费-其他</v>
      </c>
      <c r="C28" s="112" t="str">
        <v>YXHD27</v>
      </c>
      <c r="D28" s="109" t="str">
        <v>品牌运营中心</v>
      </c>
      <c r="E28" s="109" t="str">
        <v>直播运营部</v>
      </c>
      <c r="F28" s="109" t="str">
        <v>达播BD部</v>
      </c>
      <c r="G28" s="109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</row>
    <row r="29">
      <c r="A29" s="104" t="str">
        <v>素材创意制作</v>
      </c>
      <c r="B29" s="24" t="str">
        <v>AD竞价内容创意-场地租赁</v>
      </c>
      <c r="C29" s="102" t="str">
        <v>YXHD28</v>
      </c>
      <c r="D29" s="36" t="str">
        <v>品牌运营中心</v>
      </c>
      <c r="E29" s="36" t="str">
        <v>市场广告推广部</v>
      </c>
      <c r="F29" s="36" t="str">
        <v>广告投放部</v>
      </c>
      <c r="G29" s="36" t="str">
        <v>内容策划组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>
      <c r="A30" s="104" t="str">
        <v>素材创意制作</v>
      </c>
      <c r="B30" s="24" t="str">
        <v>AD竞价内容创意-动画制作</v>
      </c>
      <c r="C30" s="102" t="str">
        <v>YXHD29</v>
      </c>
      <c r="D30" s="36" t="str">
        <v>品牌运营中心</v>
      </c>
      <c r="E30" s="36" t="str">
        <v>市场广告推广部</v>
      </c>
      <c r="F30" s="36" t="str">
        <v>广告投放部</v>
      </c>
      <c r="G30" s="36" t="str">
        <v>内容策划组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>
      <c r="A31" s="104" t="str">
        <v>素材创意制作</v>
      </c>
      <c r="B31" s="24" t="str">
        <v>AD竞价内容创意-服化道费</v>
      </c>
      <c r="C31" s="102" t="str">
        <v>YXHD30</v>
      </c>
      <c r="D31" s="36" t="str">
        <v>品牌运营中心</v>
      </c>
      <c r="E31" s="36" t="str">
        <v>市场广告推广部</v>
      </c>
      <c r="F31" s="36" t="str">
        <v>广告投放部</v>
      </c>
      <c r="G31" s="36" t="str">
        <v>内容策划组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>
      <c r="A32" s="104" t="str">
        <v>素材创意制作</v>
      </c>
      <c r="B32" s="24" t="str">
        <v>AD竞价内容创意-建模服务</v>
      </c>
      <c r="C32" s="102" t="str">
        <v>YXHD31</v>
      </c>
      <c r="D32" s="36" t="str">
        <v>品牌运营中心</v>
      </c>
      <c r="E32" s="36" t="str">
        <v>市场广告推广部</v>
      </c>
      <c r="F32" s="36" t="str">
        <v>广告投放部</v>
      </c>
      <c r="G32" s="36" t="str">
        <v>内容策划组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>
      <c r="A33" s="104" t="str">
        <v>素材创意制作</v>
      </c>
      <c r="B33" s="24" t="str">
        <v>AD竞价内容创意-模特服务</v>
      </c>
      <c r="C33" s="102" t="str">
        <v>YXHD32</v>
      </c>
      <c r="D33" s="36" t="str">
        <v>品牌运营中心</v>
      </c>
      <c r="E33" s="36" t="str">
        <v>市场广告推广部</v>
      </c>
      <c r="F33" s="36" t="str">
        <v>广告投放部</v>
      </c>
      <c r="G33" s="36" t="str">
        <v>内容策划组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>
      <c r="A34" s="104" t="str">
        <v>素材创意制作</v>
      </c>
      <c r="B34" s="24" t="str">
        <v>AD竞价内容创意-内容制作</v>
      </c>
      <c r="C34" s="102" t="str">
        <v>YXHD33</v>
      </c>
      <c r="D34" s="36" t="str">
        <v>品牌运营中心</v>
      </c>
      <c r="E34" s="36" t="str">
        <v>市场广告推广部</v>
      </c>
      <c r="F34" s="36" t="str">
        <v>广告投放部</v>
      </c>
      <c r="G34" s="36" t="str">
        <v>内容策划组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>
      <c r="A35" s="104" t="str">
        <v>素材创意制作</v>
      </c>
      <c r="B35" s="24" t="str">
        <v>AD竞价内容创意-拍摄服务</v>
      </c>
      <c r="C35" s="102" t="str">
        <v>YXHD34</v>
      </c>
      <c r="D35" s="36" t="str">
        <v>品牌运营中心</v>
      </c>
      <c r="E35" s="36" t="str">
        <v>市场广告推广部</v>
      </c>
      <c r="F35" s="36" t="str">
        <v>广告投放部</v>
      </c>
      <c r="G35" s="36" t="str">
        <v>内容策划组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>
      <c r="A36" s="104" t="str">
        <v>素材创意制作</v>
      </c>
      <c r="B36" s="24" t="str">
        <v>AD竞价内容创意-拍摄物料</v>
      </c>
      <c r="C36" s="102" t="str">
        <v>YXHD35</v>
      </c>
      <c r="D36" s="36" t="str">
        <v>品牌运营中心</v>
      </c>
      <c r="E36" s="36" t="str">
        <v>市场广告推广部</v>
      </c>
      <c r="F36" s="36" t="str">
        <v>广告投放部</v>
      </c>
      <c r="G36" s="36" t="str">
        <v>内容策划组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>
      <c r="A37" s="104" t="str">
        <v>素材创意制作</v>
      </c>
      <c r="B37" s="24" t="str">
        <v>AD竞价内容创意-设备租赁</v>
      </c>
      <c r="C37" s="102" t="str">
        <v>YXHD36</v>
      </c>
      <c r="D37" s="36" t="str">
        <v>品牌运营中心</v>
      </c>
      <c r="E37" s="36" t="str">
        <v>市场广告推广部</v>
      </c>
      <c r="F37" s="36" t="str">
        <v>广告投放部</v>
      </c>
      <c r="G37" s="36" t="str">
        <v>内容策划组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>
      <c r="A38" s="104" t="str">
        <v>素材创意制作</v>
      </c>
      <c r="B38" s="24" t="str">
        <v>AD竞价内容创意-视频制作</v>
      </c>
      <c r="C38" s="102" t="str">
        <v>YXHD37</v>
      </c>
      <c r="D38" s="36" t="str">
        <v>品牌运营中心</v>
      </c>
      <c r="E38" s="36" t="str">
        <v>市场广告推广部</v>
      </c>
      <c r="F38" s="36" t="str">
        <v>广告投放部</v>
      </c>
      <c r="G38" s="36" t="str">
        <v>内容策划组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>
      <c r="A39" s="104" t="str">
        <v>素材创意制作</v>
      </c>
      <c r="B39" s="24" t="str">
        <v>AD竞价内容创意-图文平面制作</v>
      </c>
      <c r="C39" s="102" t="str">
        <v>YXHD38</v>
      </c>
      <c r="D39" s="36" t="str">
        <v>品牌运营中心</v>
      </c>
      <c r="E39" s="36" t="str">
        <v>市场广告推广部</v>
      </c>
      <c r="F39" s="36" t="str">
        <v>广告投放部</v>
      </c>
      <c r="G39" s="36" t="str">
        <v>内容策划组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>
      <c r="A40" s="104" t="str">
        <v>素材创意制作</v>
      </c>
      <c r="B40" s="24" t="str">
        <v>AD竞价内容创意-舞台场地</v>
      </c>
      <c r="C40" s="102" t="str">
        <v>YXHD39</v>
      </c>
      <c r="D40" s="36" t="str">
        <v>品牌运营中心</v>
      </c>
      <c r="E40" s="36" t="str">
        <v>市场广告推广部</v>
      </c>
      <c r="F40" s="36" t="str">
        <v>广告投放部</v>
      </c>
      <c r="G40" s="36" t="str">
        <v>内容策划组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>
      <c r="A41" s="104" t="str">
        <v>素材创意制作</v>
      </c>
      <c r="B41" s="24" t="str">
        <v>AD竞价内容创意-渲染服务</v>
      </c>
      <c r="C41" s="102" t="str">
        <v>YXHD40</v>
      </c>
      <c r="D41" s="36" t="str">
        <v>品牌运营中心</v>
      </c>
      <c r="E41" s="36" t="str">
        <v>市场广告推广部</v>
      </c>
      <c r="F41" s="36" t="str">
        <v>广告投放部</v>
      </c>
      <c r="G41" s="36" t="str">
        <v>内容策划组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>
      <c r="A42" s="104" t="str">
        <v>素材创意制作</v>
      </c>
      <c r="B42" s="24" t="str">
        <v>AD竞价内容创意-专业人物合作</v>
      </c>
      <c r="C42" s="102" t="str">
        <v>YXHD41</v>
      </c>
      <c r="D42" s="36" t="str">
        <v>品牌运营中心</v>
      </c>
      <c r="E42" s="36" t="str">
        <v>市场广告推广部</v>
      </c>
      <c r="F42" s="36" t="str">
        <v>广告投放部</v>
      </c>
      <c r="G42" s="36" t="str">
        <v>内容策划组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>
      <c r="A43" s="104" t="str">
        <v>内容加热</v>
      </c>
      <c r="B43" s="24" t="str">
        <v>B站起飞加热</v>
      </c>
      <c r="C43" s="102" t="str">
        <v>YXHD42</v>
      </c>
      <c r="D43" s="36" t="str">
        <v>品牌运营中心</v>
      </c>
      <c r="E43" s="36" t="str">
        <v>市场广告推广部</v>
      </c>
      <c r="F43" s="36" t="str">
        <v>市场推广部</v>
      </c>
      <c r="G43" s="36" t="str">
        <v>内容投放组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>
      <c r="A44" s="104" t="str">
        <v>内容加热</v>
      </c>
      <c r="B44" s="24" t="str">
        <v>DOU+</v>
      </c>
      <c r="C44" s="102" t="str">
        <v>YXHD43</v>
      </c>
      <c r="D44" s="36" t="str">
        <v>品牌运营中心</v>
      </c>
      <c r="E44" s="36" t="str">
        <v>市场广告推广部</v>
      </c>
      <c r="F44" s="36" t="str">
        <v>市场推广部</v>
      </c>
      <c r="G44" s="36" t="str">
        <v>内容投放组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>
      <c r="A45" s="104" t="str">
        <v>素材创意制作</v>
      </c>
      <c r="B45" s="24" t="str">
        <v>抖音视频创意-店铺-场地租赁</v>
      </c>
      <c r="C45" s="102" t="str">
        <v>YXHD44</v>
      </c>
      <c r="D45" s="36" t="str">
        <v>品牌运营中心</v>
      </c>
      <c r="E45" s="36" t="str">
        <v>渠道运营部</v>
      </c>
      <c r="F45" s="36" t="str">
        <v>抖音部</v>
      </c>
      <c r="G45" s="36" t="str">
        <v>内容部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>
      <c r="A46" s="104" t="str">
        <v>素材创意制作</v>
      </c>
      <c r="B46" s="24" t="str">
        <v>抖音视频创意-店铺-动画制作</v>
      </c>
      <c r="C46" s="102" t="str">
        <v>YXHD45</v>
      </c>
      <c r="D46" s="36" t="str">
        <v>品牌运营中心</v>
      </c>
      <c r="E46" s="36" t="str">
        <v>渠道运营部</v>
      </c>
      <c r="F46" s="36" t="str">
        <v>抖音部</v>
      </c>
      <c r="G46" s="36" t="str">
        <v>内容部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>
      <c r="A47" s="104" t="str">
        <v>素材创意制作</v>
      </c>
      <c r="B47" s="24" t="str">
        <v>抖音视频创意-店铺-服化道费</v>
      </c>
      <c r="C47" s="102" t="str">
        <v>YXHD46</v>
      </c>
      <c r="D47" s="36" t="str">
        <v>品牌运营中心</v>
      </c>
      <c r="E47" s="36" t="str">
        <v>渠道运营部</v>
      </c>
      <c r="F47" s="36" t="str">
        <v>抖音部</v>
      </c>
      <c r="G47" s="36" t="str">
        <v>内容部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>
      <c r="A48" s="104" t="str">
        <v>素材创意制作</v>
      </c>
      <c r="B48" s="24" t="str">
        <v>抖音视频创意-店铺-建模服务</v>
      </c>
      <c r="C48" s="102" t="str">
        <v>YXHD47</v>
      </c>
      <c r="D48" s="36" t="str">
        <v>品牌运营中心</v>
      </c>
      <c r="E48" s="36" t="str">
        <v>渠道运营部</v>
      </c>
      <c r="F48" s="36" t="str">
        <v>抖音部</v>
      </c>
      <c r="G48" s="36" t="str">
        <v>内容部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>
      <c r="A49" s="104" t="str">
        <v>素材创意制作</v>
      </c>
      <c r="B49" s="24" t="str">
        <v>抖音视频创意-店铺-模特服务</v>
      </c>
      <c r="C49" s="102" t="str">
        <v>YXHD48</v>
      </c>
      <c r="D49" s="36" t="str">
        <v>品牌运营中心</v>
      </c>
      <c r="E49" s="36" t="str">
        <v>渠道运营部</v>
      </c>
      <c r="F49" s="36" t="str">
        <v>抖音部</v>
      </c>
      <c r="G49" s="36" t="str">
        <v>内容部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>
      <c r="A50" s="104" t="str">
        <v>素材创意制作</v>
      </c>
      <c r="B50" s="24" t="str">
        <v>抖音视频创意-店铺-内容制作</v>
      </c>
      <c r="C50" s="102" t="str">
        <v>YXHD49</v>
      </c>
      <c r="D50" s="36" t="str">
        <v>品牌运营中心</v>
      </c>
      <c r="E50" s="36" t="str">
        <v>渠道运营部</v>
      </c>
      <c r="F50" s="36" t="str">
        <v>抖音部</v>
      </c>
      <c r="G50" s="36" t="str">
        <v>内容部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>
      <c r="A51" s="104" t="str">
        <v>素材创意制作</v>
      </c>
      <c r="B51" s="24" t="str">
        <v>抖音视频创意-店铺-拍摄服务</v>
      </c>
      <c r="C51" s="102" t="str">
        <v>YXHD50</v>
      </c>
      <c r="D51" s="36" t="str">
        <v>品牌运营中心</v>
      </c>
      <c r="E51" s="36" t="str">
        <v>渠道运营部</v>
      </c>
      <c r="F51" s="36" t="str">
        <v>抖音部</v>
      </c>
      <c r="G51" s="36" t="str">
        <v>内容部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>
      <c r="A52" s="104" t="str">
        <v>素材创意制作</v>
      </c>
      <c r="B52" s="24" t="str">
        <v>抖音视频创意-店铺-拍摄物料</v>
      </c>
      <c r="C52" s="102" t="str">
        <v>YXHD51</v>
      </c>
      <c r="D52" s="36" t="str">
        <v>品牌运营中心</v>
      </c>
      <c r="E52" s="36" t="str">
        <v>渠道运营部</v>
      </c>
      <c r="F52" s="36" t="str">
        <v>抖音部</v>
      </c>
      <c r="G52" s="36" t="str">
        <v>内容部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>
      <c r="A53" s="104" t="str">
        <v>素材创意制作</v>
      </c>
      <c r="B53" s="24" t="str">
        <v>抖音视频创意-店铺-设备租赁</v>
      </c>
      <c r="C53" s="102" t="str">
        <v>YXHD52</v>
      </c>
      <c r="D53" s="36" t="str">
        <v>品牌运营中心</v>
      </c>
      <c r="E53" s="36" t="str">
        <v>渠道运营部</v>
      </c>
      <c r="F53" s="36" t="str">
        <v>抖音部</v>
      </c>
      <c r="G53" s="36" t="str">
        <v>内容部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>
      <c r="A54" s="104" t="str">
        <v>素材创意制作</v>
      </c>
      <c r="B54" s="24" t="str">
        <v>抖音视频创意-店铺-视频制作</v>
      </c>
      <c r="C54" s="102" t="str">
        <v>YXHD53</v>
      </c>
      <c r="D54" s="36" t="str">
        <v>品牌运营中心</v>
      </c>
      <c r="E54" s="36" t="str">
        <v>渠道运营部</v>
      </c>
      <c r="F54" s="36" t="str">
        <v>抖音部</v>
      </c>
      <c r="G54" s="36" t="str">
        <v>内容部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>
      <c r="A55" s="104" t="str">
        <v>素材创意制作</v>
      </c>
      <c r="B55" s="24" t="str">
        <v>抖音视频创意-店铺-图文平面制作</v>
      </c>
      <c r="C55" s="102" t="str">
        <v>YXHD54</v>
      </c>
      <c r="D55" s="36" t="str">
        <v>品牌运营中心</v>
      </c>
      <c r="E55" s="36" t="str">
        <v>渠道运营部</v>
      </c>
      <c r="F55" s="36" t="str">
        <v>抖音部</v>
      </c>
      <c r="G55" s="36" t="str">
        <v>内容部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>
      <c r="A56" s="104" t="str">
        <v>素材创意制作</v>
      </c>
      <c r="B56" s="24" t="str">
        <v>抖音视频创意-店铺-舞台场地搭建</v>
      </c>
      <c r="C56" s="102" t="str">
        <v>YXHD55</v>
      </c>
      <c r="D56" s="36" t="str">
        <v>品牌运营中心</v>
      </c>
      <c r="E56" s="36" t="str">
        <v>渠道运营部</v>
      </c>
      <c r="F56" s="36" t="str">
        <v>抖音部</v>
      </c>
      <c r="G56" s="36" t="str">
        <v>内容部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>
      <c r="A57" s="104" t="str">
        <v>素材创意制作</v>
      </c>
      <c r="B57" s="24" t="str">
        <v>抖音视频创意-店铺-渲染服务</v>
      </c>
      <c r="C57" s="102" t="str">
        <v>YXHD56</v>
      </c>
      <c r="D57" s="36" t="str">
        <v>品牌运营中心</v>
      </c>
      <c r="E57" s="36" t="str">
        <v>渠道运营部</v>
      </c>
      <c r="F57" s="36" t="str">
        <v>抖音部</v>
      </c>
      <c r="G57" s="36" t="str">
        <v>内容部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>
      <c r="A58" s="104" t="str">
        <v>素材创意制作</v>
      </c>
      <c r="B58" s="24" t="str">
        <v>抖音视频创意-店铺-专业人物合作</v>
      </c>
      <c r="C58" s="102" t="str">
        <v>YXHD57</v>
      </c>
      <c r="D58" s="36" t="str">
        <v>品牌运营中心</v>
      </c>
      <c r="E58" s="36" t="str">
        <v>渠道运营部</v>
      </c>
      <c r="F58" s="36" t="str">
        <v>抖音部</v>
      </c>
      <c r="G58" s="36" t="str">
        <v>内容部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>
      <c r="A59" s="104" t="str">
        <v>素材创意制作</v>
      </c>
      <c r="B59" s="24" t="str">
        <v>抖音视频创意-矩阵号-场地租赁</v>
      </c>
      <c r="C59" s="102" t="str">
        <v>YXHD58</v>
      </c>
      <c r="D59" s="36" t="str">
        <v>品牌运营中心</v>
      </c>
      <c r="E59" s="36" t="str">
        <v>渠道运营部</v>
      </c>
      <c r="F59" s="36" t="str">
        <v>抖音部</v>
      </c>
      <c r="G59" s="103" t="str">
        <v>矩阵运营部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>
      <c r="A60" s="104" t="str">
        <v>素材创意制作</v>
      </c>
      <c r="B60" s="24" t="str">
        <v>抖音视频创意-矩阵号-动画制作</v>
      </c>
      <c r="C60" s="102" t="str">
        <v>YXHD59</v>
      </c>
      <c r="D60" s="36" t="str">
        <v>品牌运营中心</v>
      </c>
      <c r="E60" s="36" t="str">
        <v>渠道运营部</v>
      </c>
      <c r="F60" s="36" t="str">
        <v>抖音部</v>
      </c>
      <c r="G60" s="103" t="str">
        <v>矩阵运营部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>
      <c r="A61" s="104" t="str">
        <v>素材创意制作</v>
      </c>
      <c r="B61" s="24" t="str">
        <v>抖音视频创意-矩阵号-服化道费</v>
      </c>
      <c r="C61" s="102" t="str">
        <v>YXHD60</v>
      </c>
      <c r="D61" s="36" t="str">
        <v>品牌运营中心</v>
      </c>
      <c r="E61" s="36" t="str">
        <v>渠道运营部</v>
      </c>
      <c r="F61" s="36" t="str">
        <v>抖音部</v>
      </c>
      <c r="G61" s="103" t="str">
        <v>矩阵运营部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>
      <c r="A62" s="104" t="str">
        <v>素材创意制作</v>
      </c>
      <c r="B62" s="24" t="str">
        <v>抖音视频创意-矩阵号-建模服务</v>
      </c>
      <c r="C62" s="102" t="str">
        <v>YXHD61</v>
      </c>
      <c r="D62" s="36" t="str">
        <v>品牌运营中心</v>
      </c>
      <c r="E62" s="36" t="str">
        <v>渠道运营部</v>
      </c>
      <c r="F62" s="36" t="str">
        <v>抖音部</v>
      </c>
      <c r="G62" s="103" t="str">
        <v>矩阵运营部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>
      <c r="A63" s="104" t="str">
        <v>素材创意制作</v>
      </c>
      <c r="B63" s="24" t="str">
        <v>抖音视频创意-矩阵号-模特服务</v>
      </c>
      <c r="C63" s="102" t="str">
        <v>YXHD62</v>
      </c>
      <c r="D63" s="36" t="str">
        <v>品牌运营中心</v>
      </c>
      <c r="E63" s="36" t="str">
        <v>渠道运营部</v>
      </c>
      <c r="F63" s="36" t="str">
        <v>抖音部</v>
      </c>
      <c r="G63" s="103" t="str">
        <v>矩阵运营部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>
      <c r="A64" s="104" t="str">
        <v>素材创意制作</v>
      </c>
      <c r="B64" s="24" t="str">
        <v>抖音视频创意-矩阵号-内容制作</v>
      </c>
      <c r="C64" s="102" t="str">
        <v>YXHD63</v>
      </c>
      <c r="D64" s="36" t="str">
        <v>品牌运营中心</v>
      </c>
      <c r="E64" s="36" t="str">
        <v>渠道运营部</v>
      </c>
      <c r="F64" s="36" t="str">
        <v>抖音部</v>
      </c>
      <c r="G64" s="103" t="str">
        <v>矩阵运营部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>
      <c r="A65" s="104" t="str">
        <v>素材创意制作</v>
      </c>
      <c r="B65" s="24" t="str">
        <v>抖音视频创意-矩阵号-拍摄服务</v>
      </c>
      <c r="C65" s="102" t="str">
        <v>YXHD64</v>
      </c>
      <c r="D65" s="36" t="str">
        <v>品牌运营中心</v>
      </c>
      <c r="E65" s="36" t="str">
        <v>渠道运营部</v>
      </c>
      <c r="F65" s="36" t="str">
        <v>抖音部</v>
      </c>
      <c r="G65" s="103" t="str">
        <v>矩阵运营部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>
      <c r="A66" s="104" t="str">
        <v>素材创意制作</v>
      </c>
      <c r="B66" s="24" t="str">
        <v>抖音视频创意-矩阵号-拍摄物料</v>
      </c>
      <c r="C66" s="102" t="str">
        <v>YXHD65</v>
      </c>
      <c r="D66" s="36" t="str">
        <v>品牌运营中心</v>
      </c>
      <c r="E66" s="36" t="str">
        <v>渠道运营部</v>
      </c>
      <c r="F66" s="36" t="str">
        <v>抖音部</v>
      </c>
      <c r="G66" s="103" t="str">
        <v>矩阵运营部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>
      <c r="A67" s="104" t="str">
        <v>素材创意制作</v>
      </c>
      <c r="B67" s="24" t="str">
        <v>抖音视频创意-矩阵号-设备租赁</v>
      </c>
      <c r="C67" s="102" t="str">
        <v>YXHD66</v>
      </c>
      <c r="D67" s="36" t="str">
        <v>品牌运营中心</v>
      </c>
      <c r="E67" s="36" t="str">
        <v>渠道运营部</v>
      </c>
      <c r="F67" s="36" t="str">
        <v>抖音部</v>
      </c>
      <c r="G67" s="103" t="str">
        <v>矩阵运营部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>
      <c r="A68" s="104" t="str">
        <v>素材创意制作</v>
      </c>
      <c r="B68" s="24" t="str">
        <v>抖音视频创意-矩阵号-视频制作</v>
      </c>
      <c r="C68" s="102" t="str">
        <v>YXHD67</v>
      </c>
      <c r="D68" s="36" t="str">
        <v>品牌运营中心</v>
      </c>
      <c r="E68" s="36" t="str">
        <v>渠道运营部</v>
      </c>
      <c r="F68" s="36" t="str">
        <v>抖音部</v>
      </c>
      <c r="G68" s="103" t="str">
        <v>矩阵运营部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>
      <c r="A69" s="104" t="str">
        <v>素材创意制作</v>
      </c>
      <c r="B69" s="24" t="str">
        <v>抖音视频创意-矩阵号-图文平面制作</v>
      </c>
      <c r="C69" s="102" t="str">
        <v>YXHD68</v>
      </c>
      <c r="D69" s="36" t="str">
        <v>品牌运营中心</v>
      </c>
      <c r="E69" s="36" t="str">
        <v>渠道运营部</v>
      </c>
      <c r="F69" s="36" t="str">
        <v>抖音部</v>
      </c>
      <c r="G69" s="103" t="str">
        <v>矩阵运营部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>
      <c r="A70" s="104" t="str">
        <v>素材创意制作</v>
      </c>
      <c r="B70" s="24" t="str">
        <v>抖音视频创意-矩阵号-舞台场地搭建</v>
      </c>
      <c r="C70" s="102" t="str">
        <v>YXHD69</v>
      </c>
      <c r="D70" s="36" t="str">
        <v>品牌运营中心</v>
      </c>
      <c r="E70" s="36" t="str">
        <v>渠道运营部</v>
      </c>
      <c r="F70" s="36" t="str">
        <v>抖音部</v>
      </c>
      <c r="G70" s="103" t="str">
        <v>矩阵运营部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>
      <c r="A71" s="104" t="str">
        <v>素材创意制作</v>
      </c>
      <c r="B71" s="24" t="str">
        <v>抖音视频创意-矩阵号-渲染服务</v>
      </c>
      <c r="C71" s="102" t="str">
        <v>YXHD70</v>
      </c>
      <c r="D71" s="36" t="str">
        <v>品牌运营中心</v>
      </c>
      <c r="E71" s="36" t="str">
        <v>渠道运营部</v>
      </c>
      <c r="F71" s="36" t="str">
        <v>抖音部</v>
      </c>
      <c r="G71" s="103" t="str">
        <v>矩阵运营部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>
      <c r="A72" s="104" t="str">
        <v>素材创意制作</v>
      </c>
      <c r="B72" s="24" t="str">
        <v>抖音视频创意-矩阵号-专业人物合作</v>
      </c>
      <c r="C72" s="102" t="str">
        <v>YXHD71</v>
      </c>
      <c r="D72" s="36" t="str">
        <v>品牌运营中心</v>
      </c>
      <c r="E72" s="36" t="str">
        <v>渠道运营部</v>
      </c>
      <c r="F72" s="36" t="str">
        <v>抖音部</v>
      </c>
      <c r="G72" s="103" t="str">
        <v>矩阵运营部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>
      <c r="A73" s="104" t="str">
        <v>内容加热</v>
      </c>
      <c r="B73" s="24" t="str">
        <v>粉丝通</v>
      </c>
      <c r="C73" s="102" t="str">
        <v>YXHD72</v>
      </c>
      <c r="D73" s="36" t="str">
        <v>品牌运营中心</v>
      </c>
      <c r="E73" s="36" t="str">
        <v>市场广告推广部</v>
      </c>
      <c r="F73" s="36" t="str">
        <v>市场推广部</v>
      </c>
      <c r="G73" s="36" t="str">
        <v>内容投放组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>
      <c r="A74" s="104" t="str">
        <v>内容加热</v>
      </c>
      <c r="B74" s="24" t="str">
        <v>矩阵号DOU+</v>
      </c>
      <c r="C74" s="102" t="str">
        <v>YXHD73</v>
      </c>
      <c r="D74" s="36" t="str">
        <v>品牌运营中心</v>
      </c>
      <c r="E74" s="36" t="str">
        <v>渠道运营部</v>
      </c>
      <c r="F74" s="36" t="str">
        <v>抖音部</v>
      </c>
      <c r="G74" s="103" t="str">
        <v>矩阵运营部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>
      <c r="A75" s="104" t="str">
        <v>内容加热</v>
      </c>
      <c r="B75" s="24" t="str">
        <v>快手作品推荐</v>
      </c>
      <c r="C75" s="102" t="str">
        <v>YXHD74</v>
      </c>
      <c r="D75" s="36" t="str">
        <v>品牌运营中心</v>
      </c>
      <c r="E75" s="36" t="str">
        <v>市场广告推广部</v>
      </c>
      <c r="F75" s="36" t="str">
        <v>市场推广部</v>
      </c>
      <c r="G75" s="36" t="str">
        <v>内容投放组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>
      <c r="A76" s="104" t="str">
        <v>内容加热</v>
      </c>
      <c r="B76" s="24" t="str">
        <v>内容服务</v>
      </c>
      <c r="C76" s="102" t="str">
        <v>YXHD75</v>
      </c>
      <c r="D76" s="36" t="str">
        <v>品牌运营中心</v>
      </c>
      <c r="E76" s="36" t="str">
        <v>市场广告推广部</v>
      </c>
      <c r="F76" s="36" t="str">
        <v>市场推广部</v>
      </c>
      <c r="G76" s="36" t="str">
        <v>内容投放组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>
      <c r="A77" s="104" t="str">
        <v>内容加热</v>
      </c>
      <c r="B77" s="24" t="str">
        <v>内容热推</v>
      </c>
      <c r="C77" s="102" t="str">
        <v>YXHD76</v>
      </c>
      <c r="D77" s="36" t="str">
        <v>品牌运营中心</v>
      </c>
      <c r="E77" s="36" t="str">
        <v>市场广告推广部</v>
      </c>
      <c r="F77" s="36" t="str">
        <v>市场推广部</v>
      </c>
      <c r="G77" s="36" t="str">
        <v>内容投放组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>
      <c r="A78" s="104" t="str">
        <v>素材创意制作</v>
      </c>
      <c r="B78" s="24" t="str">
        <v>天猫淘内内容</v>
      </c>
      <c r="C78" s="102" t="str">
        <v>YXHD77</v>
      </c>
      <c r="D78" s="36" t="str">
        <v>品牌运营中心</v>
      </c>
      <c r="E78" s="36" t="str">
        <v>直播运营部</v>
      </c>
      <c r="F78" s="36" t="str">
        <v>达播BD部</v>
      </c>
      <c r="G78" s="36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>
      <c r="A79" s="104" t="str">
        <v>内容加热</v>
      </c>
      <c r="B79" s="24" t="str">
        <v>微博粉条</v>
      </c>
      <c r="C79" s="102" t="str">
        <v>YXHD78</v>
      </c>
      <c r="D79" s="36" t="str">
        <v>品牌运营中心</v>
      </c>
      <c r="E79" s="36" t="str">
        <v>市场广告推广部</v>
      </c>
      <c r="F79" s="36" t="str">
        <v>市场推广部</v>
      </c>
      <c r="G79" s="36" t="str">
        <v>内容投放组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>
      <c r="A80" s="104" t="str">
        <v>内容加热</v>
      </c>
      <c r="B80" s="24" t="str">
        <v>微博搜索</v>
      </c>
      <c r="C80" s="102" t="str">
        <v>YXHD79</v>
      </c>
      <c r="D80" s="36" t="str">
        <v>品牌运营中心</v>
      </c>
      <c r="E80" s="36" t="str">
        <v>市场广告推广部</v>
      </c>
      <c r="F80" s="36" t="str">
        <v>市场推广部</v>
      </c>
      <c r="G80" s="36" t="str">
        <v>内容投放组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>
      <c r="A81" s="104" t="str">
        <v>内容加热</v>
      </c>
      <c r="B81" s="24" t="str">
        <v>小红书加热</v>
      </c>
      <c r="C81" s="102" t="str">
        <v>YXHD80</v>
      </c>
      <c r="D81" s="36" t="str">
        <v>品牌运营中心</v>
      </c>
      <c r="E81" s="36" t="str">
        <v>市场广告推广部</v>
      </c>
      <c r="F81" s="36" t="str">
        <v>市场推广部</v>
      </c>
      <c r="G81" s="36" t="str">
        <v>内容投放组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>
      <c r="A82" s="104" t="str">
        <v>内容加热</v>
      </c>
      <c r="B82" s="24" t="str">
        <v>星聚力</v>
      </c>
      <c r="C82" s="102" t="str">
        <v>YXHD81</v>
      </c>
      <c r="D82" s="36" t="str">
        <v>品牌运营中心</v>
      </c>
      <c r="E82" s="36" t="str">
        <v>市场广告推广部</v>
      </c>
      <c r="F82" s="36" t="str">
        <v>市场推广部</v>
      </c>
      <c r="G82" s="36" t="str">
        <v>内容投放组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>
      <c r="A83" s="104" t="str">
        <v>素材创意制作</v>
      </c>
      <c r="B83" s="24" t="str">
        <v>虚拟IP</v>
      </c>
      <c r="C83" s="102" t="str">
        <v>YXHD82</v>
      </c>
      <c r="D83" s="36" t="str">
        <v>品牌运营中心</v>
      </c>
      <c r="E83" s="36" t="str">
        <v>渠道运营部</v>
      </c>
      <c r="F83" s="36" t="str">
        <v>抖音部</v>
      </c>
      <c r="G83" s="36" t="str">
        <v>内容部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>
      <c r="A84" s="104" t="str">
        <v>素材创意制作</v>
      </c>
      <c r="B84" s="24" t="str">
        <v>直播间视觉设计费</v>
      </c>
      <c r="C84" s="102" t="str">
        <v>YXHD83</v>
      </c>
      <c r="D84" s="36" t="str">
        <v>品牌运营中心</v>
      </c>
      <c r="E84" s="36" t="str">
        <v>渠道运营部</v>
      </c>
      <c r="F84" s="36" t="str">
        <v>抖音部</v>
      </c>
      <c r="G84" s="36" t="str">
        <v>内容部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>
      <c r="A85" s="104" t="str">
        <v>线上品宣</v>
      </c>
      <c r="B85" s="24" t="str">
        <v>OTT广告</v>
      </c>
      <c r="C85" s="102" t="str">
        <v>YXHD84</v>
      </c>
      <c r="D85" s="36" t="str">
        <v>品牌运营中心</v>
      </c>
      <c r="E85" s="36" t="str">
        <v>市场广告推广部</v>
      </c>
      <c r="F85" s="36" t="str">
        <v>广告投放部</v>
      </c>
      <c r="G85" s="36" t="str">
        <v>媒介部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>
      <c r="A86" s="104" t="str">
        <v>线上品宣</v>
      </c>
      <c r="B86" s="24" t="str">
        <v>OTV广告</v>
      </c>
      <c r="C86" s="102" t="str">
        <v>YXHD85</v>
      </c>
      <c r="D86" s="36" t="str">
        <v>品牌运营中心</v>
      </c>
      <c r="E86" s="36" t="str">
        <v>市场广告推广部</v>
      </c>
      <c r="F86" s="36" t="str">
        <v>广告投放部</v>
      </c>
      <c r="G86" s="36" t="str">
        <v>媒介部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>
      <c r="A87" s="104" t="str">
        <v>线上品宣</v>
      </c>
      <c r="B87" s="24" t="str">
        <v>程序化投放</v>
      </c>
      <c r="C87" s="102" t="str">
        <v>YXHD86</v>
      </c>
      <c r="D87" s="36" t="str">
        <v>品牌运营中心</v>
      </c>
      <c r="E87" s="36" t="str">
        <v>市场广告推广部</v>
      </c>
      <c r="F87" s="36" t="str">
        <v>广告投放部</v>
      </c>
      <c r="G87" s="36" t="str">
        <v>媒介部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>
      <c r="A88" s="104" t="str">
        <v>线下品宣</v>
      </c>
      <c r="B88" s="24" t="str">
        <v>地标广告</v>
      </c>
      <c r="C88" s="102" t="str">
        <v>YXHD87</v>
      </c>
      <c r="D88" s="36" t="str">
        <v>品牌运营中心</v>
      </c>
      <c r="E88" s="36" t="str">
        <v>市场广告推广部</v>
      </c>
      <c r="F88" s="36" t="str">
        <v>广告投放部</v>
      </c>
      <c r="G88" s="36" t="str">
        <v>媒介部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>
      <c r="A89" s="104" t="str">
        <v>线下品宣</v>
      </c>
      <c r="B89" s="24" t="str">
        <v>电梯广告</v>
      </c>
      <c r="C89" s="102" t="str">
        <v>YXHD88</v>
      </c>
      <c r="D89" s="36" t="str">
        <v>品牌运营中心</v>
      </c>
      <c r="E89" s="36" t="str">
        <v>市场广告推广部</v>
      </c>
      <c r="F89" s="36" t="str">
        <v>广告投放部</v>
      </c>
      <c r="G89" s="36" t="str">
        <v>媒介部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>
      <c r="A90" s="104" t="str">
        <v>线下品宣</v>
      </c>
      <c r="B90" s="24" t="str">
        <v>电影院广告</v>
      </c>
      <c r="C90" s="102" t="str">
        <v>YXHD89</v>
      </c>
      <c r="D90" s="36" t="str">
        <v>品牌运营中心</v>
      </c>
      <c r="E90" s="36" t="str">
        <v>市场广告推广部</v>
      </c>
      <c r="F90" s="36" t="str">
        <v>广告投放部</v>
      </c>
      <c r="G90" s="36" t="str">
        <v>媒介部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>
      <c r="A91" s="104" t="str">
        <v>线上品宣</v>
      </c>
      <c r="B91" s="24" t="str">
        <v>抖音品牌信息流</v>
      </c>
      <c r="C91" s="102" t="str">
        <v>YXHD90</v>
      </c>
      <c r="D91" s="36" t="str">
        <v>品牌运营中心</v>
      </c>
      <c r="E91" s="36" t="str">
        <v>市场广告推广部</v>
      </c>
      <c r="F91" s="36" t="str">
        <v>广告投放部</v>
      </c>
      <c r="G91" s="36" t="str">
        <v>媒介部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>
      <c r="A92" s="104" t="str">
        <v>线上品宣</v>
      </c>
      <c r="B92" s="24" t="str">
        <v>广告效果监测</v>
      </c>
      <c r="C92" s="102" t="str">
        <v>YXHD91</v>
      </c>
      <c r="D92" s="36" t="str">
        <v>品牌运营中心</v>
      </c>
      <c r="E92" s="36" t="str">
        <v>市场广告推广部</v>
      </c>
      <c r="F92" s="36" t="str">
        <v>广告投放部</v>
      </c>
      <c r="G92" s="36" t="str">
        <v>媒介部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>
      <c r="A93" s="104" t="str">
        <v>线上品宣</v>
      </c>
      <c r="B93" s="24" t="str">
        <v>开屏类广告</v>
      </c>
      <c r="C93" s="102" t="str">
        <v>YXHD92</v>
      </c>
      <c r="D93" s="36" t="str">
        <v>品牌运营中心</v>
      </c>
      <c r="E93" s="36" t="str">
        <v>市场广告推广部</v>
      </c>
      <c r="F93" s="36" t="str">
        <v>广告投放部</v>
      </c>
      <c r="G93" s="36" t="str">
        <v>媒介部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>
      <c r="A94" s="104" t="str">
        <v>线上品宣</v>
      </c>
      <c r="B94" s="24" t="str">
        <v>快手品牌信息流</v>
      </c>
      <c r="C94" s="102" t="str">
        <v>YXHD93</v>
      </c>
      <c r="D94" s="36" t="str">
        <v>品牌运营中心</v>
      </c>
      <c r="E94" s="36" t="str">
        <v>市场广告推广部</v>
      </c>
      <c r="F94" s="36" t="str">
        <v>广告投放部</v>
      </c>
      <c r="G94" s="36" t="str">
        <v>媒介部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>
      <c r="A95" s="104" t="str">
        <v>线上品宣</v>
      </c>
      <c r="B95" s="24" t="str">
        <v>商业化资源包合作</v>
      </c>
      <c r="C95" s="102" t="str">
        <v>YXHD94</v>
      </c>
      <c r="D95" s="36" t="str">
        <v>品牌运营中心</v>
      </c>
      <c r="E95" s="36" t="str">
        <v>市场广告推广部</v>
      </c>
      <c r="F95" s="36" t="str">
        <v>广告投放部</v>
      </c>
      <c r="G95" s="36" t="str">
        <v>媒介部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>
      <c r="A96" s="104" t="str">
        <v>线上品宣</v>
      </c>
      <c r="B96" s="24" t="str">
        <v>投放策略调研</v>
      </c>
      <c r="C96" s="102" t="str">
        <v>YXHD95</v>
      </c>
      <c r="D96" s="36" t="str">
        <v>品牌运营中心</v>
      </c>
      <c r="E96" s="36" t="str">
        <v>市场广告推广部</v>
      </c>
      <c r="F96" s="36" t="str">
        <v>策略部</v>
      </c>
      <c r="G96" s="36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>
      <c r="A97" s="108" t="str">
        <v>IMC国妆</v>
      </c>
      <c r="B97" s="36" t="str">
        <v>IMC国妆</v>
      </c>
      <c r="C97" s="102" t="str">
        <v>YXHD96</v>
      </c>
      <c r="D97" s="36" t="str">
        <v>品牌产品中心</v>
      </c>
      <c r="E97" s="36" t="str">
        <v>品牌营销部</v>
      </c>
      <c r="F97" s="36"/>
      <c r="G97" s="36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>
      <c r="A98" s="24" t="str">
        <v>IMC花养</v>
      </c>
      <c r="B98" s="36" t="str">
        <v>IMC花养</v>
      </c>
      <c r="C98" s="102" t="str">
        <v>YXHD97</v>
      </c>
      <c r="D98" s="36" t="str">
        <v>品牌产品中心</v>
      </c>
      <c r="E98" s="36" t="str">
        <v>品牌营销部</v>
      </c>
      <c r="F98" s="36"/>
      <c r="G98" s="36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>
      <c r="A99" s="24" t="str">
        <v>IMC文化</v>
      </c>
      <c r="B99" s="36" t="str">
        <v>IMC文化</v>
      </c>
      <c r="C99" s="102" t="str">
        <v>YXHD98</v>
      </c>
      <c r="D99" s="36" t="str">
        <v>品牌产品中心</v>
      </c>
      <c r="E99" s="36" t="str">
        <v>品牌营销部</v>
      </c>
      <c r="F99" s="36"/>
      <c r="G99" s="36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>
      <c r="A100" s="104" t="str">
        <v>日常-创意与物料</v>
      </c>
      <c r="B100" s="24" t="str">
        <v>日常-创意与物料</v>
      </c>
      <c r="C100" s="102" t="str">
        <v>YXHD99</v>
      </c>
      <c r="D100" s="36" t="str">
        <v>品牌产品中心</v>
      </c>
      <c r="E100" s="36" t="str">
        <v>品牌营销部</v>
      </c>
      <c r="F100" s="36"/>
      <c r="G100" s="36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>
      <c r="A101" s="107" t="str">
        <v>调研费</v>
      </c>
      <c r="B101" s="36" t="str">
        <v>数据采买和调研费</v>
      </c>
      <c r="C101" s="102" t="str">
        <v>YXHD100</v>
      </c>
      <c r="D101" s="36" t="str">
        <v>品牌产品中心</v>
      </c>
      <c r="E101" s="36" t="str">
        <v>品牌营销部</v>
      </c>
      <c r="F101" s="36"/>
      <c r="G101" s="36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>
      <c r="A102" s="107" t="str">
        <v>新媒体费用</v>
      </c>
      <c r="B102" s="36" t="str">
        <v>私域代运营费用</v>
      </c>
      <c r="C102" s="102" t="str">
        <v>YXHD101</v>
      </c>
      <c r="D102" s="36" t="str">
        <v>品牌产品中心</v>
      </c>
      <c r="E102" s="36" t="str">
        <v>品牌营销部</v>
      </c>
      <c r="F102" s="36"/>
      <c r="G102" s="36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>
      <c r="A103" s="107" t="str">
        <v>新媒体费用</v>
      </c>
      <c r="B103" s="36" t="str">
        <v>私域视频制作</v>
      </c>
      <c r="C103" s="102" t="str">
        <v>YXHD102</v>
      </c>
      <c r="D103" s="36" t="str">
        <v>品牌产品中心</v>
      </c>
      <c r="E103" s="36" t="str">
        <v>品牌营销部</v>
      </c>
      <c r="F103" s="36"/>
      <c r="G103" s="36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>
      <c r="A104" s="107" t="str">
        <v>新媒体费用</v>
      </c>
      <c r="B104" s="36" t="str">
        <v>私域图文制作费</v>
      </c>
      <c r="C104" s="102" t="str">
        <v>YXHD103</v>
      </c>
      <c r="D104" s="36" t="str">
        <v>品牌产品中心</v>
      </c>
      <c r="E104" s="36" t="str">
        <v>品牌营销部</v>
      </c>
      <c r="F104" s="36"/>
      <c r="G104" s="36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>
      <c r="A105" s="107" t="str">
        <v>新媒体费用</v>
      </c>
      <c r="B105" s="36" t="str">
        <v>私域账号运营费</v>
      </c>
      <c r="C105" s="102" t="str">
        <v>YXHD104</v>
      </c>
      <c r="D105" s="36" t="str">
        <v>品牌产品中心</v>
      </c>
      <c r="E105" s="36" t="str">
        <v>品牌营销部</v>
      </c>
      <c r="F105" s="36"/>
      <c r="G105" s="36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>
      <c r="A106" s="104" t="str">
        <v>李佳琦全案</v>
      </c>
      <c r="B106" s="24" t="str">
        <v>佳琦全案-服务费</v>
      </c>
      <c r="C106" s="102" t="str">
        <v>YXHD105</v>
      </c>
      <c r="D106" s="36" t="str">
        <v>品牌运营中心</v>
      </c>
      <c r="E106" s="36" t="str">
        <v>直播运营部</v>
      </c>
      <c r="F106" s="36" t="str">
        <v>达播BD部</v>
      </c>
      <c r="G106" s="36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>
      <c r="A107" s="104" t="str">
        <v>李佳琦全案</v>
      </c>
      <c r="B107" s="24" t="str">
        <v>佳琦全案-设计费</v>
      </c>
      <c r="C107" s="102" t="str">
        <v>YXHD106</v>
      </c>
      <c r="D107" s="36" t="str">
        <v>品牌运营中心</v>
      </c>
      <c r="E107" s="36" t="str">
        <v>直播运营部</v>
      </c>
      <c r="F107" s="36" t="str">
        <v>达播BD部</v>
      </c>
      <c r="G107" s="36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>
      <c r="A108" s="104" t="str">
        <v>直播公关费</v>
      </c>
      <c r="B108" s="24" t="str">
        <v>李佳琦公关礼</v>
      </c>
      <c r="C108" s="102" t="str">
        <v>YXHD107</v>
      </c>
      <c r="D108" s="36" t="str">
        <v>品牌运营中心</v>
      </c>
      <c r="E108" s="36" t="str">
        <v>直播运营部</v>
      </c>
      <c r="F108" s="36" t="str">
        <v>达播BD部</v>
      </c>
      <c r="G108" s="36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>
      <c r="A109" s="104" t="str">
        <v>直播公关费</v>
      </c>
      <c r="B109" s="24" t="str">
        <v>直播公关礼-外采-达播二部</v>
      </c>
      <c r="C109" s="102" t="str">
        <v>YXHD108</v>
      </c>
      <c r="D109" s="36" t="str">
        <v>品牌运营中心</v>
      </c>
      <c r="E109" s="36" t="str">
        <v>市场广告推广部</v>
      </c>
      <c r="F109" s="36" t="str">
        <v>达播2部</v>
      </c>
      <c r="G109" s="36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>
      <c r="A110" s="104" t="str">
        <v>直播公关费</v>
      </c>
      <c r="B110" s="24" t="str">
        <v>直播公关礼-外采-淘宝其他</v>
      </c>
      <c r="C110" s="102" t="str">
        <v>YXHD109</v>
      </c>
      <c r="D110" s="36" t="str">
        <v>品牌运营中心</v>
      </c>
      <c r="E110" s="36" t="str">
        <v>市场广告推广部</v>
      </c>
      <c r="F110" s="36" t="str">
        <v>达播2部</v>
      </c>
      <c r="G110" s="36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>
      <c r="A111" s="104" t="str">
        <v>直播公关费</v>
      </c>
      <c r="B111" s="24" t="str">
        <v>直播公关礼-外采-田恬</v>
      </c>
      <c r="C111" s="102" t="str">
        <v>YXHD110</v>
      </c>
      <c r="D111" s="36" t="str">
        <v>品牌运营中心</v>
      </c>
      <c r="E111" s="36" t="str">
        <v>直播运营部</v>
      </c>
      <c r="F111" s="36" t="str">
        <v>达播BD部</v>
      </c>
      <c r="G111" s="36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>
      <c r="A112" s="104" t="str">
        <v>直播公关费</v>
      </c>
      <c r="B112" s="24" t="str">
        <v>直播公关礼-自有-达播二部</v>
      </c>
      <c r="C112" s="102" t="str">
        <v>YXHD111</v>
      </c>
      <c r="D112" s="36" t="str">
        <v>品牌运营中心</v>
      </c>
      <c r="E112" s="36" t="str">
        <v>市场广告推广部</v>
      </c>
      <c r="F112" s="36" t="str">
        <v>达播2部</v>
      </c>
      <c r="G112" s="36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>
      <c r="A113" s="104" t="str">
        <v>直播公关费</v>
      </c>
      <c r="B113" s="24" t="str">
        <v>直播公关礼-自有-淘宝其他</v>
      </c>
      <c r="C113" s="102" t="str">
        <v>YXHD112</v>
      </c>
      <c r="D113" s="36" t="str">
        <v>品牌运营中心</v>
      </c>
      <c r="E113" s="36" t="str">
        <v>市场广告推广部</v>
      </c>
      <c r="F113" s="36" t="str">
        <v>达播2部</v>
      </c>
      <c r="G113" s="36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>
      <c r="A114" s="104" t="str">
        <v>直播公关费</v>
      </c>
      <c r="B114" s="24" t="str">
        <v>直播公关礼-自有-田恬</v>
      </c>
      <c r="C114" s="102" t="str">
        <v>YXHD113</v>
      </c>
      <c r="D114" s="36" t="str">
        <v>品牌运营中心</v>
      </c>
      <c r="E114" s="36" t="str">
        <v>直播运营部</v>
      </c>
      <c r="F114" s="36" t="str">
        <v>达播BD部</v>
      </c>
      <c r="G114" s="36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>
      <c r="A115" s="105" t="str">
        <v>品牌营销-跨中心协同</v>
      </c>
      <c r="B115" s="106" t="str">
        <v>项目推广协同</v>
      </c>
      <c r="C115" s="102" t="str">
        <v>YXHD114</v>
      </c>
      <c r="D115" s="114"/>
      <c r="E115" s="114"/>
      <c r="F115" s="114"/>
      <c r="G115" s="114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>
      <c r="A116" s="108" t="str">
        <v>天猫站外推广</v>
      </c>
      <c r="B116" s="36" t="str">
        <v>AD信息流</v>
      </c>
      <c r="C116" s="102" t="str">
        <v>YXHD115</v>
      </c>
      <c r="D116" s="36" t="str">
        <v>品牌运营中心</v>
      </c>
      <c r="E116" s="36" t="str">
        <v>运营策略部</v>
      </c>
      <c r="F116" s="36" t="str">
        <v>天猫运营部</v>
      </c>
      <c r="G116" s="36" t="str">
        <v>天猫推广组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>
      <c r="A117" s="24" t="str">
        <v>天猫站外推广</v>
      </c>
      <c r="B117" s="36" t="str">
        <v>UD信息流</v>
      </c>
      <c r="C117" s="102" t="str">
        <v>YXHD116</v>
      </c>
      <c r="D117" s="36" t="str">
        <v>品牌运营中心</v>
      </c>
      <c r="E117" s="36" t="str">
        <v>运营策略部</v>
      </c>
      <c r="F117" s="36" t="str">
        <v>天猫运营部</v>
      </c>
      <c r="G117" s="36" t="str">
        <v>天猫推广组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>
      <c r="A118" s="104" t="str">
        <v>天猫站外推广</v>
      </c>
      <c r="B118" s="24" t="str">
        <v>百度SEO竞价广告</v>
      </c>
      <c r="C118" s="102" t="str">
        <v>YXHD117</v>
      </c>
      <c r="D118" s="36" t="str">
        <v>品牌运营中心</v>
      </c>
      <c r="E118" s="36" t="str">
        <v>运营策略部</v>
      </c>
      <c r="F118" s="36" t="str">
        <v>天猫运营部</v>
      </c>
      <c r="G118" s="36" t="str">
        <v>天猫推广组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>
      <c r="A119" s="104" t="str">
        <v>天猫站外推广</v>
      </c>
      <c r="B119" s="24" t="str">
        <v>百度SEO搜索广告</v>
      </c>
      <c r="C119" s="102" t="str">
        <v>YXHD118</v>
      </c>
      <c r="D119" s="36" t="str">
        <v>品牌运营中心</v>
      </c>
      <c r="E119" s="36" t="str">
        <v>运营策略部</v>
      </c>
      <c r="F119" s="36" t="str">
        <v>天猫运营部</v>
      </c>
      <c r="G119" s="36" t="str">
        <v>天猫推广组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>
      <c r="A120" s="108" t="str">
        <v>天猫站外推广</v>
      </c>
      <c r="B120" s="36" t="str">
        <v>磁力引擎</v>
      </c>
      <c r="C120" s="102" t="str">
        <v>YXHD119</v>
      </c>
      <c r="D120" s="36" t="str">
        <v>品牌运营中心</v>
      </c>
      <c r="E120" s="36" t="str">
        <v>运营策略部</v>
      </c>
      <c r="F120" s="36" t="str">
        <v>天猫运营部</v>
      </c>
      <c r="G120" s="36" t="str">
        <v>天猫推广组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>
      <c r="A121" s="104" t="str">
        <v>京东渠道推广-POP</v>
      </c>
      <c r="B121" s="24" t="str">
        <v>京东POP-合约展位</v>
      </c>
      <c r="C121" s="102" t="str">
        <v>YXHD120</v>
      </c>
      <c r="D121" s="36" t="str">
        <v>品牌运营中心</v>
      </c>
      <c r="E121" s="36" t="str">
        <v>渠道运营部</v>
      </c>
      <c r="F121" s="36" t="str">
        <v>特色电商部</v>
      </c>
      <c r="G121" s="36" t="str">
        <v>京东唯品推广组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>
      <c r="A122" s="104" t="str">
        <v>京东渠道推广-POP</v>
      </c>
      <c r="B122" s="24" t="str">
        <v>京东POP-京桥</v>
      </c>
      <c r="C122" s="102" t="str">
        <v>YXHD121</v>
      </c>
      <c r="D122" s="36" t="str">
        <v>品牌运营中心</v>
      </c>
      <c r="E122" s="36" t="str">
        <v>渠道运营部</v>
      </c>
      <c r="F122" s="36" t="str">
        <v>特色电商部</v>
      </c>
      <c r="G122" s="36" t="str">
        <v>京东唯品推广组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>
      <c r="A123" s="104" t="str">
        <v>京东渠道推广-POP</v>
      </c>
      <c r="B123" s="24" t="str">
        <v>京东POP-京任务</v>
      </c>
      <c r="C123" s="102" t="str">
        <v>YXHD122</v>
      </c>
      <c r="D123" s="36" t="str">
        <v>品牌运营中心</v>
      </c>
      <c r="E123" s="36" t="str">
        <v>渠道运营部</v>
      </c>
      <c r="F123" s="36" t="str">
        <v>特色电商部</v>
      </c>
      <c r="G123" s="36" t="str">
        <v>京东唯品推广组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>
      <c r="A124" s="104" t="str">
        <v>京东渠道推广-POP</v>
      </c>
      <c r="B124" s="24" t="str">
        <v>京东POP-京挑客</v>
      </c>
      <c r="C124" s="102" t="str">
        <v>YXHD123</v>
      </c>
      <c r="D124" s="36" t="str">
        <v>品牌运营中心</v>
      </c>
      <c r="E124" s="36" t="str">
        <v>渠道运营部</v>
      </c>
      <c r="F124" s="36" t="str">
        <v>特色电商部</v>
      </c>
      <c r="G124" s="36" t="str">
        <v>京东唯品推广组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>
      <c r="A125" s="104" t="str">
        <v>京东渠道推广-POP</v>
      </c>
      <c r="B125" s="24" t="str">
        <v>京东POP-京准通常规投放</v>
      </c>
      <c r="C125" s="102" t="str">
        <v>YXHD124</v>
      </c>
      <c r="D125" s="36" t="str">
        <v>品牌运营中心</v>
      </c>
      <c r="E125" s="36" t="str">
        <v>渠道运营部</v>
      </c>
      <c r="F125" s="36" t="str">
        <v>特色电商部</v>
      </c>
      <c r="G125" s="36" t="str">
        <v>京东唯品推广组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>
      <c r="A126" s="104" t="str">
        <v>京东渠道推广-POP</v>
      </c>
      <c r="B126" s="24" t="str">
        <v>京东POP-联合活动</v>
      </c>
      <c r="C126" s="102" t="str">
        <v>YXHD125</v>
      </c>
      <c r="D126" s="36" t="str">
        <v>品牌运营中心</v>
      </c>
      <c r="E126" s="36" t="str">
        <v>渠道运营部</v>
      </c>
      <c r="F126" s="36" t="str">
        <v>特色电商部</v>
      </c>
      <c r="G126" s="36" t="str">
        <v>京东唯品推广组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>
      <c r="A127" s="104" t="str">
        <v>京东渠道推广-自营</v>
      </c>
      <c r="B127" s="24" t="str">
        <v>京东自播服务</v>
      </c>
      <c r="C127" s="102" t="str">
        <v>YXHD126</v>
      </c>
      <c r="D127" s="36" t="str">
        <v>品牌运营中心</v>
      </c>
      <c r="E127" s="36" t="str">
        <v>渠道运营部</v>
      </c>
      <c r="F127" s="36" t="str">
        <v>特色电商部</v>
      </c>
      <c r="G127" s="36" t="str">
        <v>京东部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>
      <c r="A128" s="104" t="str">
        <v>京东渠道推广-自营</v>
      </c>
      <c r="B128" s="24" t="str">
        <v>京东自营-合约展位</v>
      </c>
      <c r="C128" s="102" t="str">
        <v>YXHD127</v>
      </c>
      <c r="D128" s="36" t="str">
        <v>品牌运营中心</v>
      </c>
      <c r="E128" s="36" t="str">
        <v>渠道运营部</v>
      </c>
      <c r="F128" s="36" t="str">
        <v>特色电商部</v>
      </c>
      <c r="G128" s="36" t="str">
        <v>京东唯品推广组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>
      <c r="A129" s="104" t="str">
        <v>京东渠道推广-自营</v>
      </c>
      <c r="B129" s="24" t="str">
        <v>京东自营-京桥</v>
      </c>
      <c r="C129" s="102" t="str">
        <v>YXHD128</v>
      </c>
      <c r="D129" s="36" t="str">
        <v>品牌运营中心</v>
      </c>
      <c r="E129" s="36" t="str">
        <v>渠道运营部</v>
      </c>
      <c r="F129" s="36" t="str">
        <v>特色电商部</v>
      </c>
      <c r="G129" s="36" t="str">
        <v>京东唯品推广组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>
      <c r="A130" s="104" t="str">
        <v>京东渠道推广-自营</v>
      </c>
      <c r="B130" s="24" t="str">
        <v>京东自营-京任务</v>
      </c>
      <c r="C130" s="102" t="str">
        <v>YXHD129</v>
      </c>
      <c r="D130" s="36" t="str">
        <v>品牌运营中心</v>
      </c>
      <c r="E130" s="36" t="str">
        <v>渠道运营部</v>
      </c>
      <c r="F130" s="36" t="str">
        <v>特色电商部</v>
      </c>
      <c r="G130" s="36" t="str">
        <v>京东唯品推广组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>
      <c r="A131" s="104" t="str">
        <v>京东渠道推广-自营</v>
      </c>
      <c r="B131" s="24" t="str">
        <v>京东自营-京挑客</v>
      </c>
      <c r="C131" s="102" t="str">
        <v>YXHD130</v>
      </c>
      <c r="D131" s="36" t="str">
        <v>品牌运营中心</v>
      </c>
      <c r="E131" s="36" t="str">
        <v>渠道运营部</v>
      </c>
      <c r="F131" s="36" t="str">
        <v>特色电商部</v>
      </c>
      <c r="G131" s="36" t="str">
        <v>京东唯品推广组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>
      <c r="A132" s="104" t="str">
        <v>京东渠道推广-自营</v>
      </c>
      <c r="B132" s="24" t="str">
        <v>京东自营-京准通常规投放</v>
      </c>
      <c r="C132" s="102" t="str">
        <v>YXHD131</v>
      </c>
      <c r="D132" s="36" t="str">
        <v>品牌运营中心</v>
      </c>
      <c r="E132" s="36" t="str">
        <v>渠道运营部</v>
      </c>
      <c r="F132" s="36" t="str">
        <v>特色电商部</v>
      </c>
      <c r="G132" s="36" t="str">
        <v>京东唯品推广组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>
      <c r="A133" s="104" t="str">
        <v>京东渠道推广-自营</v>
      </c>
      <c r="B133" s="24" t="str">
        <v>京东自营-联合活动</v>
      </c>
      <c r="C133" s="102" t="str">
        <v>YXHD132</v>
      </c>
      <c r="D133" s="36" t="str">
        <v>品牌运营中心</v>
      </c>
      <c r="E133" s="36" t="str">
        <v>渠道运营部</v>
      </c>
      <c r="F133" s="36" t="str">
        <v>特色电商部</v>
      </c>
      <c r="G133" s="36" t="str">
        <v>京东唯品推广组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>
      <c r="A134" s="104" t="str">
        <v>拼多多渠道推广</v>
      </c>
      <c r="B134" s="24" t="str">
        <v>拼多多-联合投放</v>
      </c>
      <c r="C134" s="102" t="str">
        <v>YXHD133</v>
      </c>
      <c r="D134" s="36" t="str">
        <v>品牌运营中心</v>
      </c>
      <c r="E134" s="36" t="str">
        <v>渠道运营部</v>
      </c>
      <c r="F134" s="36" t="str">
        <v>综合渠道运营部</v>
      </c>
      <c r="G134" s="36" t="str">
        <v>综合渠道推广部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>
      <c r="A135" s="104" t="str">
        <v>拼多多渠道推广</v>
      </c>
      <c r="B135" s="24" t="str">
        <v>拼多多-常规投放</v>
      </c>
      <c r="C135" s="102" t="str">
        <v>YXHD134</v>
      </c>
      <c r="D135" s="36" t="str">
        <v>品牌运营中心</v>
      </c>
      <c r="E135" s="36" t="str">
        <v>渠道运营部</v>
      </c>
      <c r="F135" s="36" t="str">
        <v>综合渠道运营部</v>
      </c>
      <c r="G135" s="36" t="str">
        <v>综合渠道推广部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>
      <c r="A136" s="116" t="str">
        <v>淘宝客</v>
      </c>
      <c r="B136" s="116" t="str">
        <v>淘宝客-佳琦</v>
      </c>
      <c r="C136" s="102" t="str">
        <v>YXHD190</v>
      </c>
      <c r="D136" s="117" t="str">
        <v>品牌运营中心</v>
      </c>
      <c r="E136" s="117" t="str">
        <v>运营策略部</v>
      </c>
      <c r="F136" s="117" t="str">
        <v>天猫运营部</v>
      </c>
      <c r="G136" s="117" t="str">
        <v>天猫推广组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>
      <c r="A137" s="116" t="str">
        <v>淘宝客</v>
      </c>
      <c r="B137" s="117" t="str">
        <v>淘宝客-其他挂链</v>
      </c>
      <c r="C137" s="102" t="str">
        <v>YXHD135</v>
      </c>
      <c r="D137" s="117" t="str">
        <v>品牌运营中心</v>
      </c>
      <c r="E137" s="117" t="str">
        <v>运营策略部</v>
      </c>
      <c r="F137" s="117" t="str">
        <v>天猫运营部</v>
      </c>
      <c r="G137" s="117" t="str">
        <v>天猫推广组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>
      <c r="A138" s="104" t="str">
        <v>天猫站内推广</v>
      </c>
      <c r="B138" s="24" t="str">
        <v>天猫-超级互动城</v>
      </c>
      <c r="C138" s="102" t="str">
        <v>YXHD136</v>
      </c>
      <c r="D138" s="36" t="str">
        <v>品牌运营中心</v>
      </c>
      <c r="E138" s="36" t="str">
        <v>运营策略部</v>
      </c>
      <c r="F138" s="36" t="str">
        <v>天猫运营部</v>
      </c>
      <c r="G138" s="36" t="str">
        <v>天猫推广组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>
      <c r="A139" s="104" t="str">
        <v>天猫站内推广</v>
      </c>
      <c r="B139" s="24" t="str">
        <v>天猫-互动城</v>
      </c>
      <c r="C139" s="102" t="str">
        <v>YXHD137</v>
      </c>
      <c r="D139" s="36" t="str">
        <v>品牌运营中心</v>
      </c>
      <c r="E139" s="36" t="str">
        <v>运营策略部</v>
      </c>
      <c r="F139" s="36" t="str">
        <v>天猫运营部</v>
      </c>
      <c r="G139" s="36" t="str">
        <v>天猫推广组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>
      <c r="A140" s="104" t="str">
        <v>天猫站内推广</v>
      </c>
      <c r="B140" s="24" t="str">
        <v>天猫-极速推</v>
      </c>
      <c r="C140" s="102" t="str">
        <v>YXHD138</v>
      </c>
      <c r="D140" s="36" t="str">
        <v>品牌运营中心</v>
      </c>
      <c r="E140" s="36" t="str">
        <v>运营策略部</v>
      </c>
      <c r="F140" s="36" t="str">
        <v>天猫运营部</v>
      </c>
      <c r="G140" s="36" t="str">
        <v>天猫推广组</v>
      </c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>
      <c r="A141" s="104" t="str">
        <v>天猫站内推广</v>
      </c>
      <c r="B141" s="24" t="str">
        <v>天猫-妈妈Club</v>
      </c>
      <c r="C141" s="102" t="str">
        <v>YXHD139</v>
      </c>
      <c r="D141" s="36" t="str">
        <v>品牌运营中心</v>
      </c>
      <c r="E141" s="36" t="str">
        <v>运营策略部</v>
      </c>
      <c r="F141" s="36" t="str">
        <v>天猫运营部</v>
      </c>
      <c r="G141" s="36" t="str">
        <v>天猫推广组</v>
      </c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>
      <c r="A142" s="104" t="str">
        <v>天猫站内推广</v>
      </c>
      <c r="B142" s="24" t="str">
        <v>天猫-明星店铺</v>
      </c>
      <c r="C142" s="102" t="str">
        <v>YXHD140</v>
      </c>
      <c r="D142" s="36" t="str">
        <v>品牌运营中心</v>
      </c>
      <c r="E142" s="36" t="str">
        <v>运营策略部</v>
      </c>
      <c r="F142" s="36" t="str">
        <v>天猫运营部</v>
      </c>
      <c r="G142" s="36" t="str">
        <v>天猫推广组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>
      <c r="A143" s="104" t="str">
        <v>天猫站内推广</v>
      </c>
      <c r="B143" s="24" t="str">
        <v>天猫-品牌专区</v>
      </c>
      <c r="C143" s="102" t="str">
        <v>YXHD141</v>
      </c>
      <c r="D143" s="36" t="str">
        <v>品牌运营中心</v>
      </c>
      <c r="E143" s="36" t="str">
        <v>运营策略部</v>
      </c>
      <c r="F143" s="36" t="str">
        <v>天猫运营部</v>
      </c>
      <c r="G143" s="36" t="str">
        <v>天猫推广组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>
      <c r="A144" s="104" t="str">
        <v>天猫站内推广</v>
      </c>
      <c r="B144" s="24" t="str">
        <v>天猫-万相台-超级短视频</v>
      </c>
      <c r="C144" s="102" t="str">
        <v>YXHD142</v>
      </c>
      <c r="D144" s="36" t="str">
        <v>品牌运营中心</v>
      </c>
      <c r="E144" s="36" t="str">
        <v>运营策略部</v>
      </c>
      <c r="F144" s="36" t="str">
        <v>天猫运营部</v>
      </c>
      <c r="G144" s="36" t="str">
        <v>天猫推广组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>
      <c r="A145" s="104" t="str">
        <v>天猫站内推广</v>
      </c>
      <c r="B145" s="24" t="str">
        <v>天猫-万相台-超级直播</v>
      </c>
      <c r="C145" s="102" t="str">
        <v>YXHD143</v>
      </c>
      <c r="D145" s="36" t="str">
        <v>品牌运营中心</v>
      </c>
      <c r="E145" s="36" t="str">
        <v>运营策略部</v>
      </c>
      <c r="F145" s="36" t="str">
        <v>天猫运营部</v>
      </c>
      <c r="G145" s="36" t="str">
        <v>天猫推广组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>
      <c r="A146" s="104" t="str">
        <v>天猫站内推广</v>
      </c>
      <c r="B146" s="24" t="str">
        <v>天猫-万相台-常规投放</v>
      </c>
      <c r="C146" s="102" t="str">
        <v>YXHD144</v>
      </c>
      <c r="D146" s="36" t="str">
        <v>品牌运营中心</v>
      </c>
      <c r="E146" s="36" t="str">
        <v>运营策略部</v>
      </c>
      <c r="F146" s="36" t="str">
        <v>天猫运营部</v>
      </c>
      <c r="G146" s="36" t="str">
        <v>天猫推广组</v>
      </c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>
      <c r="A147" s="104" t="str">
        <v>天猫站内推广</v>
      </c>
      <c r="B147" s="24" t="str">
        <v>天猫-引力魔方</v>
      </c>
      <c r="C147" s="102" t="str">
        <v>YXHD145</v>
      </c>
      <c r="D147" s="36" t="str">
        <v>品牌运营中心</v>
      </c>
      <c r="E147" s="36" t="str">
        <v>运营策略部</v>
      </c>
      <c r="F147" s="36" t="str">
        <v>天猫运营部</v>
      </c>
      <c r="G147" s="36" t="str">
        <v>天猫推广组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>
      <c r="A148" s="104" t="str">
        <v>天猫站内推广</v>
      </c>
      <c r="B148" s="24" t="str">
        <v>天猫-直通车</v>
      </c>
      <c r="C148" s="102" t="str">
        <v>YXHD146</v>
      </c>
      <c r="D148" s="36" t="str">
        <v>品牌运营中心</v>
      </c>
      <c r="E148" s="36" t="str">
        <v>运营策略部</v>
      </c>
      <c r="F148" s="36" t="str">
        <v>天猫运营部</v>
      </c>
      <c r="G148" s="36" t="str">
        <v>天猫推广组</v>
      </c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>
      <c r="A149" s="104" t="str">
        <v>唯品会渠道推广</v>
      </c>
      <c r="B149" s="24" t="str">
        <v>唯品会-达人卖货</v>
      </c>
      <c r="C149" s="102" t="str">
        <v>YXHD147</v>
      </c>
      <c r="D149" s="36" t="str">
        <v>品牌运营中心</v>
      </c>
      <c r="E149" s="36" t="str">
        <v>渠道运营部</v>
      </c>
      <c r="F149" s="36" t="str">
        <v>特色电商部</v>
      </c>
      <c r="G149" s="36" t="str">
        <v>京东唯品推广组</v>
      </c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>
      <c r="A150" s="104" t="str">
        <v>唯品会渠道推广</v>
      </c>
      <c r="B150" s="24" t="str">
        <v>唯品会-唯品常规投放</v>
      </c>
      <c r="C150" s="102" t="str">
        <v>YXHD148</v>
      </c>
      <c r="D150" s="36" t="str">
        <v>品牌运营中心</v>
      </c>
      <c r="E150" s="36" t="str">
        <v>渠道运营部</v>
      </c>
      <c r="F150" s="36" t="str">
        <v>特色电商部</v>
      </c>
      <c r="G150" s="36" t="str">
        <v>京东唯品推广组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>
      <c r="A151" s="104" t="str">
        <v>唯品会渠道推广</v>
      </c>
      <c r="B151" s="24" t="str">
        <v>唯享客</v>
      </c>
      <c r="C151" s="102" t="str">
        <v>YXHD149</v>
      </c>
      <c r="D151" s="36" t="str">
        <v>品牌运营中心</v>
      </c>
      <c r="E151" s="36" t="str">
        <v>渠道运营部</v>
      </c>
      <c r="F151" s="36" t="str">
        <v>特色电商部</v>
      </c>
      <c r="G151" s="103" t="str">
        <v>唯品部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>
      <c r="A152" s="104" t="str">
        <v>考拉渠道推广</v>
      </c>
      <c r="B152" s="24" t="str">
        <v>考拉-常规投放</v>
      </c>
      <c r="C152" s="102" t="str">
        <v>YXHD150</v>
      </c>
      <c r="D152" s="36" t="str">
        <v>品牌运营中心</v>
      </c>
      <c r="E152" s="36" t="str">
        <v>渠道运营部</v>
      </c>
      <c r="F152" s="36" t="str">
        <v>综合渠道运营部</v>
      </c>
      <c r="G152" s="36" t="str">
        <v>综合渠道推广部</v>
      </c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>
      <c r="A153" s="104" t="str">
        <v>匠泽店渠道推广</v>
      </c>
      <c r="B153" s="24" t="str">
        <v>淘宝匠泽-引力魔方</v>
      </c>
      <c r="C153" s="102" t="str">
        <v>YXHD151</v>
      </c>
      <c r="D153" s="36" t="str">
        <v>品牌运营中心</v>
      </c>
      <c r="E153" s="36" t="str">
        <v>渠道运营部</v>
      </c>
      <c r="F153" s="36" t="str">
        <v>综合渠道运营部</v>
      </c>
      <c r="G153" s="36" t="str">
        <v>综合渠道推广部</v>
      </c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>
      <c r="A154" s="104" t="str">
        <v>匠泽店渠道推广</v>
      </c>
      <c r="B154" s="24" t="str">
        <v>淘宝匠泽-直通车</v>
      </c>
      <c r="C154" s="102" t="str">
        <v>YXHD152</v>
      </c>
      <c r="D154" s="36" t="str">
        <v>品牌运营中心</v>
      </c>
      <c r="E154" s="36" t="str">
        <v>渠道运营部</v>
      </c>
      <c r="F154" s="36" t="str">
        <v>综合渠道运营部</v>
      </c>
      <c r="G154" s="36" t="str">
        <v>综合渠道推广部</v>
      </c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>
      <c r="A155" s="104" t="str">
        <v>京东到家渠道推广</v>
      </c>
      <c r="B155" s="24" t="str">
        <v>京东到家-常规投放</v>
      </c>
      <c r="C155" s="102" t="str">
        <v>YXHD153</v>
      </c>
      <c r="D155" s="36" t="str">
        <v>品牌运营中心</v>
      </c>
      <c r="E155" s="36" t="str">
        <v>渠道运营部</v>
      </c>
      <c r="F155" s="36" t="str">
        <v>综合渠道运营部</v>
      </c>
      <c r="G155" s="36" t="str">
        <v>综合渠道推广部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>
      <c r="A156" s="104" t="str">
        <v>微信渠道推广</v>
      </c>
      <c r="B156" s="24" t="str">
        <v>微信-ADQ推广</v>
      </c>
      <c r="C156" s="102" t="str">
        <v>YXHD154</v>
      </c>
      <c r="D156" s="36" t="str">
        <v>品牌运营中心</v>
      </c>
      <c r="E156" s="36" t="str">
        <v>渠道运营部</v>
      </c>
      <c r="F156" s="36" t="str">
        <v>综合渠道运营部</v>
      </c>
      <c r="G156" s="36" t="str">
        <v>综合渠道推广部</v>
      </c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>
      <c r="A157" s="104" t="str">
        <v>微信渠道推广</v>
      </c>
      <c r="B157" s="24" t="str">
        <v>微信-微信豆充值</v>
      </c>
      <c r="C157" s="102" t="str">
        <v>YXHD155</v>
      </c>
      <c r="D157" s="36" t="str">
        <v>品牌运营中心</v>
      </c>
      <c r="E157" s="36" t="str">
        <v>渠道运营部</v>
      </c>
      <c r="F157" s="36" t="str">
        <v>综合渠道运营部</v>
      </c>
      <c r="G157" s="36" t="str">
        <v>综合渠道推广部</v>
      </c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>
      <c r="A158" s="104" t="str">
        <v>微信渠道推广</v>
      </c>
      <c r="B158" s="24" t="str">
        <v>微信号服务费</v>
      </c>
      <c r="C158" s="102" t="str">
        <v>YXHD156</v>
      </c>
      <c r="D158" s="36" t="str">
        <v>品牌运营中心</v>
      </c>
      <c r="E158" s="36" t="str">
        <v>渠道运营部</v>
      </c>
      <c r="F158" s="36" t="str">
        <v>综合渠道运营部</v>
      </c>
      <c r="G158" s="36" t="str">
        <v>综合渠道推广部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>
      <c r="A159" s="104" t="str">
        <v>微信渠道推广</v>
      </c>
      <c r="B159" s="24" t="str">
        <v>微信号佣金</v>
      </c>
      <c r="C159" s="102" t="str">
        <v>YXHD157</v>
      </c>
      <c r="D159" s="36" t="str">
        <v>品牌运营中心</v>
      </c>
      <c r="E159" s="36" t="str">
        <v>渠道运营部</v>
      </c>
      <c r="F159" s="36" t="str">
        <v>综合渠道运营部</v>
      </c>
      <c r="G159" s="36" t="str">
        <v>综合渠道推广部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>
      <c r="A160" s="104" t="str">
        <v>微信渠道推广</v>
      </c>
      <c r="B160" s="24" t="str">
        <v>微信号代投费</v>
      </c>
      <c r="C160" s="102" t="str">
        <v>YXHD158</v>
      </c>
      <c r="D160" s="36" t="str">
        <v>品牌运营中心</v>
      </c>
      <c r="E160" s="36" t="str">
        <v>渠道运营部</v>
      </c>
      <c r="F160" s="36" t="str">
        <v>综合渠道运营部</v>
      </c>
      <c r="G160" s="36" t="str">
        <v>综合渠道推广部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>
      <c r="A161" s="104" t="str">
        <v>达人推广</v>
      </c>
      <c r="B161" s="24" t="str">
        <v>达人合作</v>
      </c>
      <c r="C161" s="102" t="str">
        <v>YXHD159</v>
      </c>
      <c r="D161" s="36" t="str">
        <v>品牌运营中心</v>
      </c>
      <c r="E161" s="36" t="str">
        <v>市场广告推广部</v>
      </c>
      <c r="F161" s="36" t="str">
        <v>市场推广部</v>
      </c>
      <c r="G161" s="36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>
      <c r="A162" s="104" t="str">
        <v>达人推广</v>
      </c>
      <c r="B162" s="24" t="str">
        <v>达人佣金</v>
      </c>
      <c r="C162" s="102" t="str">
        <v>YXHD160</v>
      </c>
      <c r="D162" s="36" t="str">
        <v>品牌运营中心</v>
      </c>
      <c r="E162" s="36" t="str">
        <v>市场广告推广部</v>
      </c>
      <c r="F162" s="36" t="str">
        <v>市场推广部</v>
      </c>
      <c r="G162" s="36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>
      <c r="A163" s="105" t="str">
        <v>市场公关费</v>
      </c>
      <c r="B163" s="24" t="str">
        <v>公关礼策划服务</v>
      </c>
      <c r="C163" s="102" t="str">
        <v>YXHD161</v>
      </c>
      <c r="D163" s="36" t="str">
        <v>品牌运营中心</v>
      </c>
      <c r="E163" s="36" t="str">
        <v>市场广告推广部</v>
      </c>
      <c r="F163" s="36" t="str">
        <v>市场推广部</v>
      </c>
      <c r="G163" s="36" t="str">
        <v>市场PR组</v>
      </c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>
      <c r="A164" s="105" t="str">
        <v>市场公关费</v>
      </c>
      <c r="B164" s="24" t="str">
        <v>公关舆情服务</v>
      </c>
      <c r="C164" s="102" t="str">
        <v>YXHD162</v>
      </c>
      <c r="D164" s="36" t="str">
        <v>品牌运营中心</v>
      </c>
      <c r="E164" s="36" t="str">
        <v>市场广告推广部</v>
      </c>
      <c r="F164" s="36" t="str">
        <v>市场推广部</v>
      </c>
      <c r="G164" s="36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>
      <c r="A165" s="105" t="str">
        <v>市场公关费</v>
      </c>
      <c r="B165" s="106" t="str">
        <v>市场公关整合营销</v>
      </c>
      <c r="C165" s="102" t="str">
        <v>YXHD163</v>
      </c>
      <c r="D165" s="36" t="str">
        <v>品牌运营中心</v>
      </c>
      <c r="E165" s="36" t="str">
        <v>市场广告推广部</v>
      </c>
      <c r="F165" s="36" t="str">
        <v>市场推广部</v>
      </c>
      <c r="G165" s="36" t="str">
        <v>市场PR组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>
      <c r="A166" s="105" t="str">
        <v>市场公关费</v>
      </c>
      <c r="B166" s="24" t="str">
        <v>市场公关礼-外采</v>
      </c>
      <c r="C166" s="102" t="str">
        <v>YXHD164</v>
      </c>
      <c r="D166" s="36" t="str">
        <v>品牌运营中心</v>
      </c>
      <c r="E166" s="36" t="str">
        <v>市场广告推广部</v>
      </c>
      <c r="F166" s="36" t="str">
        <v>市场推广部</v>
      </c>
      <c r="G166" s="36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>
      <c r="A167" s="105" t="str">
        <v>市场公关费</v>
      </c>
      <c r="B167" s="24" t="str">
        <v>市场公关礼-自有</v>
      </c>
      <c r="C167" s="102" t="str">
        <v>YXHD165</v>
      </c>
      <c r="D167" s="36" t="str">
        <v>品牌运营中心</v>
      </c>
      <c r="E167" s="36" t="str">
        <v>市场广告推广部</v>
      </c>
      <c r="F167" s="36" t="str">
        <v>市场推广部</v>
      </c>
      <c r="G167" s="36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>
      <c r="A168" s="105" t="str">
        <v>市场公关费</v>
      </c>
      <c r="B168" s="24" t="str">
        <v>市场公关线下活动</v>
      </c>
      <c r="C168" s="102" t="str">
        <v>YXHD166</v>
      </c>
      <c r="D168" s="36" t="str">
        <v>品牌运营中心</v>
      </c>
      <c r="E168" s="36" t="str">
        <v>市场广告推广部</v>
      </c>
      <c r="F168" s="36" t="str">
        <v>市场推广部</v>
      </c>
      <c r="G168" s="36" t="str">
        <v>市场PR组</v>
      </c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>
      <c r="A169" s="104" t="str">
        <v>特殊渠道推广</v>
      </c>
      <c r="B169" s="24" t="str">
        <v>特渠运营</v>
      </c>
      <c r="C169" s="102" t="str">
        <v>YXHD167</v>
      </c>
      <c r="D169" s="36" t="str">
        <v>品牌运营中心</v>
      </c>
      <c r="E169" s="36" t="str">
        <v>渠道运营部</v>
      </c>
      <c r="F169" s="36"/>
      <c r="G169" s="36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>
      <c r="A170" s="108" t="str">
        <v>快手渠道推广</v>
      </c>
      <c r="B170" s="36" t="str">
        <v>磁力金牛</v>
      </c>
      <c r="C170" s="102" t="str">
        <v>YXHD168</v>
      </c>
      <c r="D170" s="36" t="str">
        <v>品牌运营中心</v>
      </c>
      <c r="E170" s="36" t="str">
        <v>运营策略部</v>
      </c>
      <c r="F170" s="36" t="str">
        <v>天猫运营部</v>
      </c>
      <c r="G170" s="36" t="str">
        <v>天猫推广组</v>
      </c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>
      <c r="A171" s="104" t="str">
        <v>内容加热</v>
      </c>
      <c r="B171" s="24" t="str">
        <v>抖音官号DOU+</v>
      </c>
      <c r="C171" s="102" t="str">
        <v>YXHD169</v>
      </c>
      <c r="D171" s="36" t="str">
        <v>品牌运营中心</v>
      </c>
      <c r="E171" s="36" t="str">
        <v>渠道运营部</v>
      </c>
      <c r="F171" s="36" t="str">
        <v>抖音部</v>
      </c>
      <c r="G171" s="36" t="str">
        <v>抖音推广部</v>
      </c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>
      <c r="A172" s="104" t="str">
        <v>矩阵代运营</v>
      </c>
      <c r="B172" s="24" t="str">
        <v>矩阵号服务费</v>
      </c>
      <c r="C172" s="102" t="str">
        <v>YXHD170</v>
      </c>
      <c r="D172" s="36" t="str">
        <v>品牌运营中心</v>
      </c>
      <c r="E172" s="36" t="str">
        <v>渠道运营部</v>
      </c>
      <c r="F172" s="36" t="str">
        <v>抖音部</v>
      </c>
      <c r="G172" s="103" t="str">
        <v>矩阵运营部</v>
      </c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>
      <c r="A173" s="108" t="str">
        <v>矩阵号千川信息流</v>
      </c>
      <c r="B173" s="36" t="str">
        <v>矩阵号千川信息流</v>
      </c>
      <c r="C173" s="102" t="str">
        <v>YXHD171</v>
      </c>
      <c r="D173" s="36" t="str">
        <v>品牌运营中心</v>
      </c>
      <c r="E173" s="36" t="str">
        <v>渠道运营部</v>
      </c>
      <c r="F173" s="36" t="str">
        <v>抖音部</v>
      </c>
      <c r="G173" s="103" t="str">
        <v>矩阵运营部</v>
      </c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>
      <c r="A174" s="104" t="str">
        <v>矩阵代运营</v>
      </c>
      <c r="B174" s="24" t="str">
        <v>矩阵号佣金</v>
      </c>
      <c r="C174" s="102" t="str">
        <v>YXHD172</v>
      </c>
      <c r="D174" s="36" t="str">
        <v>品牌运营中心</v>
      </c>
      <c r="E174" s="36" t="str">
        <v>渠道运营部</v>
      </c>
      <c r="F174" s="36" t="str">
        <v>抖音部</v>
      </c>
      <c r="G174" s="103" t="str">
        <v>矩阵运营部</v>
      </c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>
      <c r="A175" s="104" t="str">
        <v>快手人设号</v>
      </c>
      <c r="B175" s="24" t="str">
        <v>快手人设号-服务费</v>
      </c>
      <c r="C175" s="102" t="str">
        <v>YXHD173</v>
      </c>
      <c r="D175" s="36" t="str">
        <v>品牌运营中心</v>
      </c>
      <c r="E175" s="36" t="str">
        <v>渠道运营部</v>
      </c>
      <c r="F175" s="36" t="str">
        <v>创新部</v>
      </c>
      <c r="G175" s="36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>
      <c r="A176" s="104" t="str">
        <v>快手人设号</v>
      </c>
      <c r="B176" s="24" t="str">
        <v>快手人设号-内容制作</v>
      </c>
      <c r="C176" s="102" t="str">
        <v>YXHD174</v>
      </c>
      <c r="D176" s="36" t="str">
        <v>品牌运营中心</v>
      </c>
      <c r="E176" s="36" t="str">
        <v>渠道运营部</v>
      </c>
      <c r="F176" s="36" t="str">
        <v>创新部</v>
      </c>
      <c r="G176" s="36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>
      <c r="A177" s="104" t="str">
        <v>快手人设号</v>
      </c>
      <c r="B177" s="24" t="str">
        <v>快手人设号-视频制作</v>
      </c>
      <c r="C177" s="102" t="str">
        <v>YXHD175</v>
      </c>
      <c r="D177" s="36" t="str">
        <v>品牌运营中心</v>
      </c>
      <c r="E177" s="36" t="str">
        <v>渠道运营部</v>
      </c>
      <c r="F177" s="36" t="str">
        <v>创新部</v>
      </c>
      <c r="G177" s="36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>
      <c r="A178" s="104" t="str">
        <v>快手人设号</v>
      </c>
      <c r="B178" s="24" t="str">
        <v>快手人设号-图文平面制作</v>
      </c>
      <c r="C178" s="102" t="str">
        <v>YXHD176</v>
      </c>
      <c r="D178" s="36" t="str">
        <v>品牌运营中心</v>
      </c>
      <c r="E178" s="36" t="str">
        <v>渠道运营部</v>
      </c>
      <c r="F178" s="36" t="str">
        <v>创新部</v>
      </c>
      <c r="G178" s="36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>
      <c r="A179" s="108" t="str">
        <v>千川信息流</v>
      </c>
      <c r="B179" s="36" t="str">
        <v>千川信息流</v>
      </c>
      <c r="C179" s="102" t="str">
        <v>YXHD177</v>
      </c>
      <c r="D179" s="36" t="str">
        <v>品牌运营中心</v>
      </c>
      <c r="E179" s="36" t="str">
        <v>渠道运营部</v>
      </c>
      <c r="F179" s="36" t="str">
        <v>抖音部</v>
      </c>
      <c r="G179" s="36" t="str">
        <v>抖音推广部</v>
      </c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>
      <c r="A180" s="104" t="str">
        <v>直播间物料制作</v>
      </c>
      <c r="B180" s="24" t="str">
        <v>抖音其他/快手直播间道具及搭建</v>
      </c>
      <c r="C180" s="102" t="str">
        <v>YXHD178</v>
      </c>
      <c r="D180" s="36" t="str">
        <v>品牌运营中心</v>
      </c>
      <c r="E180" s="36" t="str">
        <v>市场广告推广部</v>
      </c>
      <c r="F180" s="36" t="str">
        <v>达播2部</v>
      </c>
      <c r="G180" s="36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>
      <c r="A181" s="104" t="str">
        <v>李佳琦</v>
      </c>
      <c r="B181" s="24" t="str">
        <v>佳琦直播间场景搭建</v>
      </c>
      <c r="C181" s="102" t="str">
        <v>YXHD179</v>
      </c>
      <c r="D181" s="36" t="str">
        <v>品牌运营中心</v>
      </c>
      <c r="E181" s="36" t="str">
        <v>直播运营部</v>
      </c>
      <c r="F181" s="109" t="str">
        <v>直播内容部</v>
      </c>
      <c r="G181" s="36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>
      <c r="A182" s="104" t="str">
        <v>田恬</v>
      </c>
      <c r="B182" s="24" t="str">
        <v>田恬直播间场景搭建</v>
      </c>
      <c r="C182" s="102" t="str">
        <v>YXHD180</v>
      </c>
      <c r="D182" s="36" t="str">
        <v>品牌运营中心</v>
      </c>
      <c r="E182" s="36" t="str">
        <v>直播运营部</v>
      </c>
      <c r="F182" s="109" t="str">
        <v>直播内容部</v>
      </c>
      <c r="G182" s="36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>
      <c r="A183" s="104" t="str">
        <v>直播间物料制作</v>
      </c>
      <c r="B183" s="24" t="str">
        <v>直播间场景道具</v>
      </c>
      <c r="C183" s="102" t="str">
        <v>YXHD181</v>
      </c>
      <c r="D183" s="36" t="str">
        <v>品牌运营中心</v>
      </c>
      <c r="E183" s="36" t="str">
        <v>直播运营部</v>
      </c>
      <c r="F183" s="109" t="str">
        <v>直播内容部</v>
      </c>
      <c r="G183" s="36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>
      <c r="A184" s="104" t="str">
        <v>直播间奖品</v>
      </c>
      <c r="B184" s="24" t="str">
        <v>直播间奖品-抖音</v>
      </c>
      <c r="C184" s="102" t="str">
        <v>YXHD182</v>
      </c>
      <c r="D184" s="36" t="str">
        <v>品牌运营中心</v>
      </c>
      <c r="E184" s="36" t="str">
        <v>直播运营部</v>
      </c>
      <c r="F184" s="36" t="str">
        <v>直播运营部</v>
      </c>
      <c r="G184" s="36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>
      <c r="A185" s="104" t="str">
        <v>直播间奖品</v>
      </c>
      <c r="B185" s="24" t="str">
        <v>直播间奖品-京东</v>
      </c>
      <c r="C185" s="102" t="str">
        <v>YXHD183</v>
      </c>
      <c r="D185" s="36" t="str">
        <v>品牌运营中心</v>
      </c>
      <c r="E185" s="36" t="str">
        <v>直播运营部</v>
      </c>
      <c r="F185" s="36" t="str">
        <v>直播运营部</v>
      </c>
      <c r="G185" s="36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>
      <c r="A186" s="104" t="str">
        <v>直播间奖品</v>
      </c>
      <c r="B186" s="24" t="str">
        <v>直播间奖品-快手</v>
      </c>
      <c r="C186" s="102" t="str">
        <v>YXHD184</v>
      </c>
      <c r="D186" s="36" t="str">
        <v>品牌运营中心</v>
      </c>
      <c r="E186" s="36" t="str">
        <v>直播运营部</v>
      </c>
      <c r="F186" s="36" t="str">
        <v>直播运营部</v>
      </c>
      <c r="G186" s="36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>
      <c r="A187" s="104" t="str">
        <v>直播间奖品</v>
      </c>
      <c r="B187" s="24" t="str">
        <v>直播间奖品-天猫</v>
      </c>
      <c r="C187" s="102" t="str">
        <v>YXHD185</v>
      </c>
      <c r="D187" s="36" t="str">
        <v>品牌运营中心</v>
      </c>
      <c r="E187" s="36" t="str">
        <v>直播运营部</v>
      </c>
      <c r="F187" s="36" t="str">
        <v>直播运营部</v>
      </c>
      <c r="G187" s="36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>
      <c r="A188" s="104" t="str">
        <v>直播间奖品</v>
      </c>
      <c r="B188" s="24" t="str">
        <v>直播间奖品-唯品</v>
      </c>
      <c r="C188" s="102" t="str">
        <v>YXHD186</v>
      </c>
      <c r="D188" s="36" t="str">
        <v>品牌运营中心</v>
      </c>
      <c r="E188" s="36" t="str">
        <v>直播运营部</v>
      </c>
      <c r="F188" s="36" t="str">
        <v>直播运营部</v>
      </c>
      <c r="G188" s="36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>
      <c r="A189" s="104" t="str">
        <v>直播间物料制作</v>
      </c>
      <c r="B189" s="24" t="str">
        <v>直播间其他用品</v>
      </c>
      <c r="C189" s="102" t="str">
        <v>YXHD187</v>
      </c>
      <c r="D189" s="36" t="str">
        <v>品牌运营中心</v>
      </c>
      <c r="E189" s="36" t="str">
        <v>直播运营部</v>
      </c>
      <c r="F189" s="36" t="str">
        <v>直播运营部</v>
      </c>
      <c r="G189" s="36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>
      <c r="A190" s="104" t="str">
        <v>直播间物料制作</v>
      </c>
      <c r="B190" s="24" t="str">
        <v>主播部妆发造</v>
      </c>
      <c r="C190" s="102" t="str">
        <v>YXHD188</v>
      </c>
      <c r="D190" s="36" t="str">
        <v>品牌运营中心</v>
      </c>
      <c r="E190" s="36" t="str">
        <v>直播运营部</v>
      </c>
      <c r="F190" s="36" t="str">
        <v>主播部</v>
      </c>
      <c r="G190" s="36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</row>
    <row r="191">
      <c r="A191" s="104" t="str">
        <v>直播间物料制作</v>
      </c>
      <c r="B191" s="24" t="str">
        <v>主播团队激励</v>
      </c>
      <c r="C191" s="102" t="str">
        <v>YXHD189</v>
      </c>
      <c r="D191" s="36" t="str">
        <v>品牌运营中心</v>
      </c>
      <c r="E191" s="36" t="str">
        <v>直播运营部</v>
      </c>
      <c r="F191" s="36" t="str">
        <v>主播部</v>
      </c>
      <c r="G191" s="36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26"/>
    <col collapsed="false" customWidth="true" hidden="false" max="3" min="3" style="0" width="17"/>
    <col collapsed="false" customWidth="true" hidden="false" max="4" min="4" style="0" width="20"/>
    <col collapsed="false" customWidth="true" hidden="false" max="5" min="5" style="0" width="15"/>
    <col collapsed="false" customWidth="true" hidden="false" max="6" min="6" style="0" width="24"/>
    <col collapsed="false" customWidth="true" hidden="false" max="9" min="9" style="0" width="39"/>
    <col collapsed="false" customWidth="true" hidden="false" max="10" min="10" style="0" width="19"/>
  </cols>
  <sheetData>
    <row r="1">
      <c r="A1" s="122" t="str">
        <v>店铺</v>
      </c>
      <c r="B1" s="122" t="str">
        <v>抖音号</v>
      </c>
      <c r="C1" s="122" t="str">
        <v>千川账户名称</v>
      </c>
      <c r="D1" s="123" t="str">
        <v>千川账户id</v>
      </c>
      <c r="E1" s="123"/>
    </row>
    <row r="2">
      <c r="A2" s="124" t="str">
        <v>花西子官方旗舰店</v>
      </c>
      <c r="B2" s="124" t="str">
        <v>花西子官方旗舰店</v>
      </c>
      <c r="C2" s="110" t="str">
        <v>群邑-直播-官号1</v>
      </c>
      <c r="D2" s="126" t="str">
        <v>1727535271575630</v>
      </c>
      <c r="E2" s="127"/>
    </row>
    <row r="3">
      <c r="A3" s="124"/>
      <c r="B3" s="124"/>
      <c r="C3" s="125" t="str">
        <v>云锐-直播-官号2</v>
      </c>
      <c r="D3" s="126" t="str">
        <v>1727265617683469</v>
      </c>
      <c r="E3" s="127"/>
    </row>
    <row r="4">
      <c r="A4" s="124"/>
      <c r="B4" s="124"/>
      <c r="C4" s="125" t="str">
        <v>博观-直播-官号1</v>
      </c>
      <c r="D4" s="126" t="str">
        <v>1695557841246222</v>
      </c>
      <c r="E4" s="127"/>
    </row>
    <row r="5">
      <c r="A5" s="124"/>
      <c r="B5" s="124"/>
      <c r="C5" s="125" t="str">
        <v>省广-直播-官号1</v>
      </c>
      <c r="D5" s="126" t="str">
        <v>1727435690629127</v>
      </c>
      <c r="E5" s="127"/>
    </row>
    <row r="6">
      <c r="A6" s="124"/>
      <c r="B6" s="124"/>
      <c r="C6" s="125" t="str">
        <v>博观7-花西子-官号</v>
      </c>
      <c r="D6" s="126" t="str">
        <v>1765947662124040</v>
      </c>
      <c r="E6" s="127"/>
    </row>
    <row r="7">
      <c r="A7" s="124"/>
      <c r="B7" s="124"/>
      <c r="C7" s="124" t="str">
        <v>知定堂-图文1-引流</v>
      </c>
      <c r="D7" s="127" t="str">
        <v>1761146745368653</v>
      </c>
      <c r="E7" s="127"/>
    </row>
    <row r="8">
      <c r="A8" s="124"/>
      <c r="B8" s="124"/>
      <c r="C8" s="124" t="str">
        <v>博观-图文1-引流</v>
      </c>
      <c r="D8" s="127" t="str">
        <v>1760222811427847</v>
      </c>
      <c r="E8" s="127"/>
    </row>
    <row r="9">
      <c r="A9" s="124"/>
      <c r="B9" s="124"/>
      <c r="C9" s="124" t="str">
        <v>花西子-小店随心推</v>
      </c>
      <c r="D9" s="127" t="str">
        <v>1695646517812232</v>
      </c>
      <c r="E9" s="127"/>
    </row>
    <row r="10">
      <c r="A10" s="124"/>
      <c r="B10" s="124" t="str">
        <v>东方有佳人</v>
      </c>
      <c r="C10" s="124" t="str">
        <v>知定堂3户-东方有佳人</v>
      </c>
      <c r="D10" s="127" t="str">
        <v>1766564041175070</v>
      </c>
      <c r="E10" s="127"/>
    </row>
    <row r="11">
      <c r="A11" s="124"/>
      <c r="B11" s="124"/>
      <c r="C11" s="124" t="str">
        <v>博观4户-东方有佳人</v>
      </c>
      <c r="D11" s="127" t="str">
        <v>1760519144208525</v>
      </c>
      <c r="E11" s="127"/>
    </row>
    <row r="12">
      <c r="A12" s="124"/>
      <c r="B12" s="124" t="str">
        <v>花西子礼物精选</v>
      </c>
      <c r="C12" s="124" t="str">
        <v>博观5户-礼物精选</v>
      </c>
      <c r="D12" s="127" t="str">
        <v>1761057229537293</v>
      </c>
      <c r="E12" s="127"/>
    </row>
    <row r="13">
      <c r="A13" s="124"/>
      <c r="B13" s="124" t="str">
        <v>花西子官旗彩妆甄选</v>
      </c>
      <c r="C13" s="124" t="str">
        <v>博观6户-彩妆有术</v>
      </c>
      <c r="D13" s="127" t="str">
        <v>1761057340544014</v>
      </c>
      <c r="E13" s="127"/>
    </row>
    <row r="14">
      <c r="A14" s="124"/>
      <c r="B14" s="124"/>
      <c r="C14" s="124" t="str">
        <v>博观3户-彩妆有术</v>
      </c>
      <c r="D14" s="127" t="str">
        <v>1760519091540999</v>
      </c>
      <c r="E14" s="127"/>
    </row>
    <row r="15">
      <c r="A15" s="124"/>
      <c r="B15" s="124" t="str">
        <v>妆养旗舰店</v>
      </c>
      <c r="C15" s="124" t="str">
        <v>知定堂1户-妆养</v>
      </c>
      <c r="D15" s="127" t="str">
        <v>1761153809509390</v>
      </c>
      <c r="E15" s="127"/>
    </row>
    <row r="16">
      <c r="A16" s="124"/>
      <c r="B16" s="124"/>
      <c r="C16" s="124" t="str">
        <v>省广-矩阵直播-妆养</v>
      </c>
      <c r="D16" s="127" t="str">
        <v>1743277556435982</v>
      </c>
      <c r="E16" s="127"/>
    </row>
    <row r="17">
      <c r="A17" s="124"/>
      <c r="B17" s="124"/>
      <c r="C17" s="124" t="str">
        <v>知定堂2户-妆养</v>
      </c>
      <c r="D17" s="127" t="str">
        <v>1766309736108040</v>
      </c>
      <c r="E17" s="127"/>
    </row>
    <row r="18"/>
    <row r="19"/>
    <row r="20">
      <c r="A20" s="128" t="str">
        <v>投放账户</v>
      </c>
      <c r="B20" s="128" t="str">
        <v>名称</v>
      </c>
      <c r="C20" s="128" t="str">
        <v>业务对接人</v>
      </c>
      <c r="D20" s="128" t="str">
        <v>站内/站外</v>
      </c>
      <c r="E20" s="128" t="str">
        <v>营销活动（可从营销活动sheet页中查看营销活动全集）</v>
      </c>
      <c r="F20" s="129" t="str">
        <v>公司主体</v>
      </c>
      <c r="G20" s="129" t="str">
        <v>平台</v>
      </c>
      <c r="H20" s="129" t="str">
        <v>投放方式（自投/代投）</v>
      </c>
      <c r="I20" s="129" t="str">
        <v>平台对合作应供应商名称</v>
      </c>
      <c r="J20" s="129" t="str">
        <v>是否存在充值赠送金</v>
      </c>
      <c r="K20" s="129" t="str">
        <v>是否存在返利</v>
      </c>
      <c r="L20" s="129" t="str">
        <v>是否通过此账户申请开票</v>
      </c>
      <c r="M20" s="129" t="str">
        <v>使用中心</v>
      </c>
      <c r="N20" s="129" t="str">
        <v>使用二级部门</v>
      </c>
      <c r="O20" s="129" t="str">
        <v>使用三级部门</v>
      </c>
      <c r="P20" s="128" t="str">
        <v>财务对接人（如有）</v>
      </c>
    </row>
    <row r="21">
      <c r="A21" s="38">
        <v>16909143</v>
      </c>
      <c r="B21" s="38" t="str">
        <v>花西子官方旗舰店-群邑2</v>
      </c>
      <c r="C21" s="38" t="str">
        <v>难却</v>
      </c>
      <c r="D21" s="38"/>
      <c r="E21" s="38" t="str">
        <v>磁力金牛</v>
      </c>
      <c r="F21" s="38" t="str">
        <v>杭州宜格化妆品有限公司</v>
      </c>
      <c r="G21" s="38" t="str">
        <v>快手</v>
      </c>
      <c r="H21" s="38" t="str">
        <v>自投</v>
      </c>
      <c r="I21" s="38" t="str">
        <v>群邑（上海）广告有限公司</v>
      </c>
      <c r="J21" s="38" t="str">
        <v>否</v>
      </c>
      <c r="K21" s="38" t="str">
        <v>是</v>
      </c>
      <c r="L21" s="38" t="str">
        <v>否</v>
      </c>
      <c r="M21" s="38" t="str">
        <v>品牌运营中心</v>
      </c>
      <c r="N21" s="38" t="str">
        <v>快手部</v>
      </c>
      <c r="O21" s="38" t="str">
        <v>快手运营推广部</v>
      </c>
      <c r="P21" s="38"/>
    </row>
    <row r="22">
      <c r="A22" s="38">
        <v>16909147</v>
      </c>
      <c r="B22" s="38" t="str">
        <v>花西子官方旗舰店-群邑4</v>
      </c>
      <c r="C22" s="38" t="str">
        <v>难却</v>
      </c>
      <c r="D22" s="38"/>
      <c r="E22" s="38" t="str">
        <v>磁力金牛</v>
      </c>
      <c r="F22" s="38" t="str">
        <v>杭州宜格化妆品有限公司</v>
      </c>
      <c r="G22" s="38" t="str">
        <v>快手</v>
      </c>
      <c r="H22" s="38" t="str">
        <v>自投</v>
      </c>
      <c r="I22" s="38" t="str">
        <v>群邑（上海）广告有限公司</v>
      </c>
      <c r="J22" s="38" t="str">
        <v>否</v>
      </c>
      <c r="K22" s="38" t="str">
        <v>是</v>
      </c>
      <c r="L22" s="38" t="str">
        <v>否</v>
      </c>
      <c r="M22" s="38" t="str">
        <v>品牌运营中心</v>
      </c>
      <c r="N22" s="38" t="str">
        <v>快手部</v>
      </c>
      <c r="O22" s="38" t="str">
        <v>快手运营推广部</v>
      </c>
      <c r="P22" s="38"/>
    </row>
    <row r="23">
      <c r="A23" s="38">
        <v>16909144</v>
      </c>
      <c r="B23" s="38" t="str">
        <v>花西子官方旗舰店-群邑3</v>
      </c>
      <c r="C23" s="38" t="str">
        <v>难却</v>
      </c>
      <c r="D23" s="38"/>
      <c r="E23" s="38" t="str">
        <v>磁力金牛</v>
      </c>
      <c r="F23" s="38" t="str">
        <v>杭州宜格化妆品有限公司</v>
      </c>
      <c r="G23" s="38" t="str">
        <v>快手</v>
      </c>
      <c r="H23" s="38" t="str">
        <v>自投</v>
      </c>
      <c r="I23" s="38" t="str">
        <v>群邑（上海）广告有限公司</v>
      </c>
      <c r="J23" s="38" t="str">
        <v>否</v>
      </c>
      <c r="K23" s="38" t="str">
        <v>是</v>
      </c>
      <c r="L23" s="38" t="str">
        <v>否</v>
      </c>
      <c r="M23" s="38" t="str">
        <v>品牌运营中心</v>
      </c>
      <c r="N23" s="38" t="str">
        <v>快手部</v>
      </c>
      <c r="O23" s="38" t="str">
        <v>快手运营推广部</v>
      </c>
      <c r="P23" s="38"/>
    </row>
    <row r="24">
      <c r="A24" s="38">
        <v>16909146</v>
      </c>
      <c r="B24" s="38" t="str">
        <v>花西子官方旗舰店-全站ROI</v>
      </c>
      <c r="C24" s="38" t="str">
        <v>难却</v>
      </c>
      <c r="D24" s="38"/>
      <c r="E24" s="38" t="str">
        <v>磁力金牛</v>
      </c>
      <c r="F24" s="38" t="str">
        <v>杭州宜格化妆品有限公司</v>
      </c>
      <c r="G24" s="38" t="str">
        <v>快手</v>
      </c>
      <c r="H24" s="38" t="str">
        <v>自投</v>
      </c>
      <c r="I24" s="38" t="str">
        <v>群邑（上海）广告有限公司</v>
      </c>
      <c r="J24" s="38" t="str">
        <v>否</v>
      </c>
      <c r="K24" s="38" t="str">
        <v>是</v>
      </c>
      <c r="L24" s="38" t="str">
        <v>否</v>
      </c>
      <c r="M24" s="38" t="str">
        <v>品牌运营中心</v>
      </c>
      <c r="N24" s="38" t="str">
        <v>快手部</v>
      </c>
      <c r="O24" s="38" t="str">
        <v>快手运营推广部</v>
      </c>
      <c r="P24" s="38"/>
    </row>
    <row r="25">
      <c r="A25" s="38">
        <v>13304453</v>
      </c>
      <c r="B25" s="38" t="str">
        <v>花西子Florasis-云锐测试</v>
      </c>
      <c r="C25" s="38" t="str">
        <v>难却</v>
      </c>
      <c r="D25" s="38"/>
      <c r="E25" s="38" t="str">
        <v>磁力金牛</v>
      </c>
      <c r="F25" s="38" t="str">
        <v>杭州宜格化妆品有限公司</v>
      </c>
      <c r="G25" s="38" t="str">
        <v>快手</v>
      </c>
      <c r="H25" s="38" t="str">
        <v>自投</v>
      </c>
      <c r="I25" s="38" t="str">
        <v>快手平台</v>
      </c>
      <c r="J25" s="38" t="str">
        <v>否</v>
      </c>
      <c r="K25" s="38" t="str">
        <v>否</v>
      </c>
      <c r="L25" s="38" t="str">
        <v>否</v>
      </c>
      <c r="M25" s="38" t="str">
        <v>品牌运营中心</v>
      </c>
      <c r="N25" s="38" t="str">
        <v>快手部</v>
      </c>
      <c r="O25" s="38" t="str">
        <v>快手运营推广部</v>
      </c>
      <c r="P25" s="38"/>
    </row>
    <row r="26">
      <c r="A26" s="38">
        <v>16909148</v>
      </c>
      <c r="B26" s="38" t="str">
        <v>花西子官方旗舰店-返货2户</v>
      </c>
      <c r="C26" s="38" t="str">
        <v>难却</v>
      </c>
      <c r="D26" s="38"/>
      <c r="E26" s="38" t="str">
        <v>磁力金牛</v>
      </c>
      <c r="F26" s="38" t="str">
        <v>杭州宜格化妆品有限公司</v>
      </c>
      <c r="G26" s="38" t="str">
        <v>快手</v>
      </c>
      <c r="H26" s="38" t="str">
        <v>自投</v>
      </c>
      <c r="I26" s="38" t="str">
        <v>快手平台</v>
      </c>
      <c r="J26" s="38" t="str">
        <v>否</v>
      </c>
      <c r="K26" s="38" t="str">
        <v>否</v>
      </c>
      <c r="L26" s="38" t="str">
        <v>否</v>
      </c>
      <c r="M26" s="38" t="str">
        <v>品牌运营中心</v>
      </c>
      <c r="N26" s="38" t="str">
        <v>快手部</v>
      </c>
      <c r="O26" s="38" t="str">
        <v>快手运营推广部</v>
      </c>
      <c r="P26" s="38"/>
    </row>
    <row r="27">
      <c r="A27" s="38">
        <v>16481647</v>
      </c>
      <c r="B27" s="38" t="str">
        <v>花西子官方旗舰店（浅度账户）</v>
      </c>
      <c r="C27" s="38" t="str">
        <v>难却</v>
      </c>
      <c r="D27" s="38"/>
      <c r="E27" s="38" t="str">
        <v>磁力金牛</v>
      </c>
      <c r="F27" s="38" t="str">
        <v>杭州宜格化妆品有限公司</v>
      </c>
      <c r="G27" s="38" t="str">
        <v>快手</v>
      </c>
      <c r="H27" s="38" t="str">
        <v>自投</v>
      </c>
      <c r="I27" s="38" t="str">
        <v>快手平台</v>
      </c>
      <c r="J27" s="38" t="str">
        <v>否</v>
      </c>
      <c r="K27" s="38" t="str">
        <v>否</v>
      </c>
      <c r="L27" s="38" t="str">
        <v>否</v>
      </c>
      <c r="M27" s="38" t="str">
        <v>品牌运营中心</v>
      </c>
      <c r="N27" s="38" t="str">
        <v>快手部</v>
      </c>
      <c r="O27" s="38" t="str">
        <v>快手运营推广部</v>
      </c>
      <c r="P27" s="38"/>
    </row>
    <row r="28">
      <c r="A28" s="38">
        <v>17553440</v>
      </c>
      <c r="B28" s="38" t="str">
        <v>花西子官方旗舰店-直播托管对投-李楠楠</v>
      </c>
      <c r="C28" s="38" t="str">
        <v>难却</v>
      </c>
      <c r="D28" s="38"/>
      <c r="E28" s="38" t="str">
        <v>磁力金牛</v>
      </c>
      <c r="F28" s="38" t="str">
        <v>杭州宜格化妆品有限公司</v>
      </c>
      <c r="G28" s="38" t="str">
        <v>快手</v>
      </c>
      <c r="H28" s="38" t="str">
        <v>自投</v>
      </c>
      <c r="I28" s="38" t="str">
        <v>快手平台</v>
      </c>
      <c r="J28" s="38" t="str">
        <v>否</v>
      </c>
      <c r="K28" s="38" t="str">
        <v>否</v>
      </c>
      <c r="L28" s="38" t="str">
        <v>否</v>
      </c>
      <c r="M28" s="38" t="str">
        <v>品牌运营中心</v>
      </c>
      <c r="N28" s="38" t="str">
        <v>快手部</v>
      </c>
      <c r="O28" s="38" t="str">
        <v>快手运营推广部</v>
      </c>
      <c r="P28" s="38"/>
    </row>
    <row r="29">
      <c r="A29" s="38">
        <v>16909145</v>
      </c>
      <c r="B29" s="38" t="str">
        <v>花西子官方旗舰店-群邑-RSH代投</v>
      </c>
      <c r="C29" s="38" t="str">
        <v>难却</v>
      </c>
      <c r="D29" s="38"/>
      <c r="E29" s="38" t="str">
        <v>磁力金牛</v>
      </c>
      <c r="F29" s="38" t="str">
        <v>杭州宜格化妆品有限公司</v>
      </c>
      <c r="G29" s="38" t="str">
        <v>快手</v>
      </c>
      <c r="H29" s="38" t="str">
        <v>自投</v>
      </c>
      <c r="I29" s="38" t="str">
        <v>群邑（上海）广告有限公司</v>
      </c>
      <c r="J29" s="38" t="str">
        <v>否</v>
      </c>
      <c r="K29" s="38" t="str">
        <v>是</v>
      </c>
      <c r="L29" s="38" t="str">
        <v>否</v>
      </c>
      <c r="M29" s="38" t="str">
        <v>品牌运营中心</v>
      </c>
      <c r="N29" s="38" t="str">
        <v>快手部</v>
      </c>
      <c r="O29" s="38" t="str">
        <v>快手运营推广部</v>
      </c>
      <c r="P29" s="38"/>
    </row>
    <row r="30"/>
    <row r="31"/>
    <row r="32"/>
    <row r="33">
      <c r="A33" s="128" t="str">
        <v>投放账户</v>
      </c>
      <c r="B33" s="128" t="str">
        <v>名称</v>
      </c>
      <c r="C33" s="128" t="str">
        <v>业务对接人</v>
      </c>
      <c r="D33" s="128" t="str">
        <v>站内/站外</v>
      </c>
      <c r="E33" s="128" t="str">
        <v>营销活动（可从营销活动sheet页中查看营销活动全集）</v>
      </c>
      <c r="F33" s="129" t="str">
        <v>公司主体</v>
      </c>
      <c r="G33" s="129" t="str">
        <v>平台</v>
      </c>
      <c r="H33" s="129" t="str">
        <v>投放方式（自投/代投）</v>
      </c>
      <c r="I33" s="129" t="str">
        <v>平台对合作应供应商名称</v>
      </c>
      <c r="J33" s="129" t="str">
        <v>是否存在充值赠送金</v>
      </c>
      <c r="K33" s="129" t="str">
        <v>是否存在返利</v>
      </c>
      <c r="L33" s="129" t="str">
        <v>是否通过此账户申请开票</v>
      </c>
      <c r="M33" s="129" t="str">
        <v>使用中心</v>
      </c>
      <c r="N33" s="129" t="str">
        <v>使用二级部门</v>
      </c>
      <c r="O33" s="129" t="str">
        <v>使用三级部门</v>
      </c>
      <c r="P33" s="128" t="str">
        <v>财务对接人（如有）</v>
      </c>
    </row>
    <row r="34">
      <c r="A34" s="130" t="s">
        <v>76</v>
      </c>
      <c r="B34" s="130" t="s">
        <v>76</v>
      </c>
      <c r="C34" s="38" t="str">
        <v>一样</v>
      </c>
      <c r="D34" s="38" t="str">
        <v>站外</v>
      </c>
      <c r="E34" s="38" t="str">
        <v>B站起飞加热</v>
      </c>
      <c r="F34" s="38" t="str">
        <v>杭州宜格化妆品有限公司</v>
      </c>
      <c r="G34" s="38" t="str">
        <v>B站</v>
      </c>
      <c r="H34" s="38" t="str">
        <v>代投</v>
      </c>
      <c r="I34" s="74" t="str">
        <v>上海小花猫文化传播有限公司</v>
      </c>
      <c r="J34" s="38" t="str">
        <v>是</v>
      </c>
      <c r="K34" s="38" t="str">
        <v>否</v>
      </c>
      <c r="L34" s="38" t="str">
        <v>是</v>
      </c>
      <c r="M34" s="38" t="str">
        <v>品牌运营中心</v>
      </c>
      <c r="N34" s="38" t="str">
        <v>市场推广部</v>
      </c>
      <c r="O34" s="38" t="str">
        <v>内容加热</v>
      </c>
      <c r="P34" s="38" t="str">
        <v>洛一</v>
      </c>
    </row>
    <row r="35">
      <c r="A35" s="130" t="s">
        <v>78</v>
      </c>
      <c r="B35" s="130" t="s">
        <v>78</v>
      </c>
      <c r="C35" s="38" t="str">
        <v>一样</v>
      </c>
      <c r="D35" s="38" t="str">
        <v>站外</v>
      </c>
      <c r="E35" s="38" t="str">
        <v>B站起飞加热</v>
      </c>
      <c r="F35" s="38" t="str">
        <v>杭州宜格化妆品有限公司</v>
      </c>
      <c r="G35" s="38" t="str">
        <v>B站</v>
      </c>
      <c r="H35" s="38" t="str">
        <v>代投</v>
      </c>
      <c r="I35" s="93" t="str">
        <v>上海无堂网络科技有限公司</v>
      </c>
      <c r="J35" s="38" t="str">
        <v>是</v>
      </c>
      <c r="K35" s="38" t="str">
        <v>否</v>
      </c>
      <c r="L35" s="38" t="str">
        <v>是</v>
      </c>
      <c r="M35" s="38" t="str">
        <v>品牌运营中心</v>
      </c>
      <c r="N35" s="38" t="str">
        <v>市场推广部</v>
      </c>
      <c r="O35" s="38" t="str">
        <v>内容加热</v>
      </c>
      <c r="P35" s="38" t="str">
        <v>洛一</v>
      </c>
    </row>
    <row r="36">
      <c r="A36" s="130" t="s">
        <v>75</v>
      </c>
      <c r="B36" s="130" t="s">
        <v>75</v>
      </c>
      <c r="C36" s="38" t="str">
        <v>一样</v>
      </c>
      <c r="D36" s="38" t="str">
        <v>站外</v>
      </c>
      <c r="E36" s="38" t="str">
        <v>B站起飞加热</v>
      </c>
      <c r="F36" s="38" t="str">
        <v>杭州宜格化妆品有限公司</v>
      </c>
      <c r="G36" s="38" t="str">
        <v>B站</v>
      </c>
      <c r="H36" s="38" t="str">
        <v>代投</v>
      </c>
      <c r="I36" s="93" t="str">
        <v>上海无堂网络科技有限公司</v>
      </c>
      <c r="J36" s="38" t="str">
        <v>是</v>
      </c>
      <c r="K36" s="38" t="str">
        <v>否</v>
      </c>
      <c r="L36" s="38" t="str">
        <v>是</v>
      </c>
      <c r="M36" s="38" t="str">
        <v>品牌运营中心</v>
      </c>
      <c r="N36" s="38" t="str">
        <v>市场推广部</v>
      </c>
      <c r="O36" s="38" t="str">
        <v>内容加热</v>
      </c>
      <c r="P36" s="38" t="str">
        <v>洛一</v>
      </c>
    </row>
    <row r="37">
      <c r="A37" s="130" t="s">
        <v>77</v>
      </c>
      <c r="B37" s="130" t="s">
        <v>77</v>
      </c>
      <c r="C37" s="38" t="str">
        <v>一样</v>
      </c>
      <c r="D37" s="38" t="str">
        <v>无账户</v>
      </c>
      <c r="E37" s="38" t="str">
        <v>B站起飞加热</v>
      </c>
      <c r="F37" s="38"/>
      <c r="G37" s="38" t="str">
        <v>B站</v>
      </c>
      <c r="H37" s="38"/>
      <c r="I37" s="38"/>
      <c r="J37" s="38"/>
      <c r="K37" s="38"/>
      <c r="L37" s="38"/>
      <c r="M37" s="38"/>
      <c r="N37" s="38"/>
      <c r="O37" s="38"/>
      <c r="P37" s="38"/>
    </row>
    <row r="38">
      <c r="A38" s="10">
        <v>263697</v>
      </c>
      <c r="B38" s="66" t="str">
        <v>博观-花西子</v>
      </c>
      <c r="C38" s="38" t="str">
        <v>一样</v>
      </c>
      <c r="D38" s="38" t="str">
        <v>站外</v>
      </c>
      <c r="E38" s="38" t="str">
        <v>小红书加热</v>
      </c>
      <c r="F38" s="38"/>
      <c r="G38" s="38" t="str">
        <v>小红书</v>
      </c>
      <c r="H38" s="38" t="str">
        <v>代投</v>
      </c>
      <c r="I38" s="38" t="str">
        <v>上海博观瑞思传媒科技有限公司</v>
      </c>
      <c r="J38" s="38" t="str">
        <v>无</v>
      </c>
      <c r="K38" s="38" t="str">
        <v>是</v>
      </c>
      <c r="L38" s="38" t="str">
        <v>是</v>
      </c>
      <c r="M38" s="38" t="str">
        <v>品牌运营中心</v>
      </c>
      <c r="N38" s="38" t="str">
        <v>市场推广部</v>
      </c>
      <c r="O38" s="38" t="str">
        <v>内容加热</v>
      </c>
      <c r="P38" s="38" t="str">
        <v>洛一</v>
      </c>
    </row>
    <row r="39">
      <c r="A39" s="10">
        <v>283885</v>
      </c>
      <c r="B39" s="66" t="str">
        <v>剧星小红书投放账户</v>
      </c>
      <c r="C39" s="38" t="str">
        <v>一样</v>
      </c>
      <c r="D39" s="38" t="str">
        <v>站外</v>
      </c>
      <c r="E39" s="38" t="str">
        <v>小红书加热</v>
      </c>
      <c r="F39" s="38"/>
      <c r="G39" s="38" t="str">
        <v>小红书</v>
      </c>
      <c r="H39" s="38" t="str">
        <v>代投</v>
      </c>
      <c r="I39" s="38" t="str">
        <v>剧星</v>
      </c>
      <c r="J39" s="38" t="str">
        <v>无</v>
      </c>
      <c r="K39" s="38" t="str">
        <v>是</v>
      </c>
      <c r="L39" s="38" t="str">
        <v>是</v>
      </c>
      <c r="M39" s="38" t="str">
        <v>品牌运营中心</v>
      </c>
      <c r="N39" s="38" t="str">
        <v>市场推广部</v>
      </c>
      <c r="O39" s="38" t="str">
        <v>内容加热</v>
      </c>
      <c r="P39" s="38" t="str">
        <v>洛一</v>
      </c>
    </row>
    <row r="40">
      <c r="A40" s="10">
        <v>294814</v>
      </c>
      <c r="B40" s="66" t="str">
        <v>博观-花西子-2</v>
      </c>
      <c r="C40" s="38" t="str">
        <v>一样</v>
      </c>
      <c r="D40" s="38" t="str">
        <v>站外</v>
      </c>
      <c r="E40" s="38" t="str">
        <v>小红书加热</v>
      </c>
      <c r="F40" s="38"/>
      <c r="G40" s="38" t="str">
        <v>小红书</v>
      </c>
      <c r="H40" s="38" t="str">
        <v>代投</v>
      </c>
      <c r="I40" s="38" t="str">
        <v>上海博观瑞思传媒科技有限公司</v>
      </c>
      <c r="J40" s="38" t="str">
        <v>无</v>
      </c>
      <c r="K40" s="38" t="str">
        <v>是</v>
      </c>
      <c r="L40" s="38" t="str">
        <v>是</v>
      </c>
      <c r="M40" s="38" t="str">
        <v>品牌运营中心</v>
      </c>
      <c r="N40" s="38" t="str">
        <v>市场推广部</v>
      </c>
      <c r="O40" s="38" t="str">
        <v>内容加热</v>
      </c>
      <c r="P40" s="38" t="str">
        <v>洛一</v>
      </c>
    </row>
  </sheetData>
  <mergeCells>
    <mergeCell ref="A2:A17"/>
    <mergeCell ref="B2:B9"/>
    <mergeCell ref="B10:B11"/>
    <mergeCell ref="B13:B14"/>
    <mergeCell ref="B15:B17"/>
  </mergeCells>
  <hyperlinks>
    <hyperlink ref="A34" display="huaxizicai1@eastgarden.com" r:id="rId1"/>
    <hyperlink ref="B34" display="huaxizicai1@eastgarden.com" r:id="rId2"/>
    <hyperlink ref="A37" display="yige18072932996@163.com" r:id="rId3"/>
    <hyperlink ref="B37" display="yige18072932996@163.com" r:id="rId4"/>
    <hyperlink ref="B35" display="huaxizicai2@eastgarden.com" r:id="rId5"/>
    <hyperlink ref="A35" display="huaxizicai2@eastgarden.com" r:id="rId6"/>
    <hyperlink ref="B36" display="hxzcaizhuang10@eastgarden.com" r:id="rId7"/>
    <hyperlink ref="A36" display="hxzcaizhuang10@eastgarden.com" r:id="rId8"/>
  </hyperlinks>
  <picture r:id="rId9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1"/>
    <col collapsed="false" customWidth="true" hidden="true" max="1" min="1" style="0" width="41"/>
    <col collapsed="false" customWidth="true" hidden="false" max="2" min="2" style="0" width="21"/>
    <col collapsed="false" customWidth="true" hidden="true" max="2" min="2" style="0" width="21"/>
    <col collapsed="false" customWidth="true" hidden="false" max="3" min="3" style="0" width="21"/>
    <col collapsed="false" customWidth="true" hidden="true" max="3" min="3" style="0" width="21"/>
    <col collapsed="false" customWidth="true" hidden="false" max="4" min="4" style="0" width="26"/>
    <col collapsed="false" customWidth="true" hidden="true" max="4" min="4" style="0" width="26"/>
    <col collapsed="false" customWidth="true" hidden="false" max="5" min="5" style="0" width="26"/>
    <col collapsed="false" customWidth="true" hidden="true" max="5" min="5" style="0" width="26"/>
    <col collapsed="false" customWidth="true" hidden="false" max="6" min="6" style="0" width="21"/>
    <col collapsed="false" customWidth="true" hidden="true" max="6" min="6" style="0" width="21"/>
    <col collapsed="false" customWidth="true" hidden="false" max="7" min="7" style="0" width="15"/>
    <col collapsed="false" customWidth="true" hidden="true" max="7" min="7" style="0" width="15"/>
    <col collapsed="false" customWidth="true" hidden="false" max="8" min="8" style="0" width="36"/>
    <col collapsed="false" customWidth="true" hidden="true" max="8" min="8" style="0" width="36"/>
    <col collapsed="false" customWidth="true" hidden="false" max="9" min="9" style="0" width="21"/>
    <col collapsed="false" customWidth="true" hidden="true" max="9" min="9" style="0" width="21"/>
    <col collapsed="false" customWidth="true" hidden="false" max="10" min="10" style="0" width="42"/>
    <col collapsed="false" customWidth="true" hidden="true" max="10" min="10" style="0" width="42"/>
    <col collapsed="false" customWidth="true" hidden="false" max="11" min="11" style="0" width="21"/>
    <col collapsed="false" customWidth="true" hidden="true" max="11" min="11" style="0" width="21"/>
    <col collapsed="false" customWidth="true" hidden="false" max="12" min="12" style="0" width="42"/>
    <col collapsed="false" customWidth="true" hidden="true" max="12" min="12" style="0" width="42"/>
    <col collapsed="false" customWidth="true" hidden="false" max="13" min="13" style="0" width="21"/>
    <col collapsed="false" customWidth="true" hidden="true" max="13" min="13" style="0" width="21"/>
    <col collapsed="false" customWidth="true" hidden="false" max="14" min="14" style="0" width="42"/>
    <col collapsed="false" customWidth="true" hidden="true" max="14" min="14" style="0" width="42"/>
    <col collapsed="false" customWidth="true" hidden="false" max="15" min="15" style="0" width="21"/>
    <col collapsed="false" customWidth="true" hidden="true" max="15" min="15" style="0" width="21"/>
    <col collapsed="false" customWidth="true" hidden="false" max="16" min="16" style="0" width="42"/>
    <col collapsed="false" customWidth="true" hidden="true" max="16" min="16" style="0" width="42"/>
    <col collapsed="false" customWidth="true" hidden="false" max="17" min="17" style="0" width="21"/>
    <col collapsed="false" customWidth="true" hidden="true" max="17" min="17" style="0" width="21"/>
    <col collapsed="false" customWidth="true" hidden="false" max="18" min="18" style="0" width="42"/>
    <col collapsed="false" customWidth="true" hidden="true" max="18" min="18" style="0" width="42"/>
    <col collapsed="false" customWidth="true" hidden="false" max="19" min="19" style="0" width="21"/>
    <col collapsed="false" customWidth="true" hidden="true" max="19" min="19" style="0" width="21"/>
    <col collapsed="false" customWidth="true" hidden="false" max="20" min="20" style="0" width="31"/>
    <col collapsed="false" customWidth="true" hidden="true" max="20" min="20" style="0" width="31"/>
    <col collapsed="false" customWidth="true" hidden="false" max="21" min="21" style="0" width="29"/>
    <col collapsed="false" customWidth="true" hidden="true" max="21" min="21" style="0" width="29"/>
    <col collapsed="false" customWidth="true" hidden="false" max="22" min="22" style="0" width="31"/>
    <col collapsed="false" customWidth="true" hidden="false" max="23" min="23" style="0" width="29"/>
    <col collapsed="false" customWidth="true" hidden="false" max="24" min="24" style="0" width="23"/>
    <col collapsed="false" customWidth="true" hidden="false" max="25" min="25" style="0" width="29"/>
    <col collapsed="false" customWidth="true" hidden="false" max="26" min="26" style="0" width="29"/>
    <col collapsed="false" customWidth="true" hidden="false" max="27" min="27" style="0" width="40"/>
    <col collapsed="false" customWidth="true" hidden="false" max="28" min="28" style="0" width="34"/>
    <col collapsed="false" customWidth="true" hidden="false" max="29" min="29" style="0" width="37"/>
    <col collapsed="false" customWidth="true" hidden="false" max="30" min="30" style="0" width="49"/>
    <col collapsed="false" customWidth="true" hidden="false" max="31" min="31" style="0" width="37"/>
    <col collapsed="false" customWidth="true" hidden="false" max="32" min="32" style="0" width="37"/>
    <col collapsed="false" customWidth="true" hidden="false" max="33" min="33" style="0" width="34"/>
    <col collapsed="false" customWidth="true" hidden="false" max="34" min="34" style="0" width="31"/>
    <col collapsed="false" customWidth="true" hidden="false" max="35" min="35" style="0" width="31"/>
    <col collapsed="false" customWidth="true" hidden="false" max="36" min="36" style="0" width="29"/>
    <col collapsed="false" customWidth="true" hidden="false" max="37" min="37" style="0" width="40"/>
    <col collapsed="false" customWidth="true" hidden="false" max="38" min="38" style="0" width="34"/>
    <col collapsed="false" customWidth="true" hidden="false" max="39" min="39" style="0" width="34"/>
    <col collapsed="false" customWidth="true" hidden="false" max="40" min="40" style="0" width="29"/>
    <col collapsed="false" customWidth="true" hidden="false" max="41" min="41" style="0" width="32"/>
    <col collapsed="false" customWidth="true" hidden="false" max="42" min="42" style="0" width="29"/>
    <col collapsed="false" customWidth="true" hidden="false" max="43" min="43" style="0" width="27"/>
    <col collapsed="false" customWidth="true" hidden="false" max="44" min="44" style="0" width="40"/>
    <col collapsed="false" customWidth="true" hidden="false" max="45" min="45" style="0" width="27"/>
    <col collapsed="false" customWidth="true" hidden="false" max="46" min="46" style="0" width="23"/>
  </cols>
  <sheetData>
    <row r="1">
      <c r="A1" s="136" t="str">
        <v>主键</v>
      </c>
      <c r="B1" s="134" t="str">
        <v>单据编号</v>
      </c>
      <c r="C1" s="134" t="str">
        <v>单据名称</v>
      </c>
      <c r="D1" s="134" t="str">
        <v>创建人[名称]</v>
      </c>
      <c r="E1" s="134" t="str">
        <v>使用人[名称]</v>
      </c>
      <c r="F1" s="134" t="str">
        <v>业务日期</v>
      </c>
      <c r="G1" s="134" t="str">
        <v>总额</v>
      </c>
      <c r="H1" s="135" t="str">
        <v>总额币种[名称(编码)]</v>
      </c>
      <c r="I1" s="134" t="str">
        <v>占用金额</v>
      </c>
      <c r="J1" s="135" t="str">
        <v>占用金额币种[名称(编码)]</v>
      </c>
      <c r="K1" s="134" t="str">
        <v>已用金额</v>
      </c>
      <c r="L1" s="135" t="str">
        <v>已用金额币种[名称(编码)]</v>
      </c>
      <c r="M1" s="134" t="str">
        <v>还回金额</v>
      </c>
      <c r="N1" s="135" t="str">
        <v>还回金额币种[名称(编码)]</v>
      </c>
      <c r="O1" s="134" t="str">
        <v>可用金额</v>
      </c>
      <c r="P1" s="135" t="str">
        <v>可用金额币种[名称(编码)]</v>
      </c>
      <c r="Q1" s="134" t="str">
        <v>期初金额</v>
      </c>
      <c r="R1" s="135" t="str">
        <v>期初金额币种[名称(编码)]</v>
      </c>
      <c r="S1" s="134" t="str">
        <v>完结状态</v>
      </c>
      <c r="T1" s="134" t="str">
        <v>公司手机号[名称]</v>
      </c>
      <c r="U1" s="133" t="str">
        <v>公司邮箱[名称]</v>
      </c>
      <c r="V1" s="133" t="str">
        <v>供应商名称[名称]</v>
      </c>
      <c r="W1" s="133" t="str">
        <v>投放平台[名称]</v>
      </c>
      <c r="X1" s="133" t="str">
        <v>投放账户ID</v>
      </c>
      <c r="Y1" s="133" t="str">
        <v>营销活动[名称]</v>
      </c>
      <c r="Z1" s="133" t="str">
        <v>充值方式[名称]</v>
      </c>
      <c r="AA1" s="133" t="str">
        <v>是否存在充值赠送[名称]</v>
      </c>
      <c r="AB1" s="133" t="str">
        <v>是否存在返利[名称]</v>
      </c>
      <c r="AC1" s="133" t="str">
        <v>是否做余额管理[名称]</v>
      </c>
      <c r="AD1" s="133" t="str">
        <v>是否通过此账户申请开票[名称]</v>
      </c>
      <c r="AE1" s="133" t="str">
        <v>数据已全部回收[名称]</v>
      </c>
      <c r="AF1" s="133" t="str">
        <v>投放账户已清帐[名称]</v>
      </c>
      <c r="AG1" s="133" t="str">
        <v>投放账户状态[名称]</v>
      </c>
      <c r="AH1" s="133" t="str">
        <v>业务对接人[名称]</v>
      </c>
      <c r="AI1" s="133" t="str">
        <v>财务对接人[名称]</v>
      </c>
      <c r="AJ1" s="133" t="str">
        <v>核算主体[名称]</v>
      </c>
      <c r="AK1" s="133" t="str">
        <v>数据是否需要回收[名称]</v>
      </c>
      <c r="AL1" s="133" t="str">
        <v>是否做过变更[名称]</v>
      </c>
      <c r="AM1" s="133" t="str">
        <v>是否存在折扣[名称]</v>
      </c>
      <c r="AN1" s="133" t="str">
        <v>投放方式[名称]</v>
      </c>
      <c r="AO1" s="133" t="str">
        <v>投放方式生效时间</v>
      </c>
      <c r="AP1" s="133" t="str">
        <v>站内/站外[名称]</v>
      </c>
      <c r="AQ1" s="133" t="str">
        <v>充值投放账户</v>
      </c>
      <c r="AR1" s="133" t="str">
        <v>营销活动计划分类[名称]</v>
      </c>
      <c r="AS1" s="133" t="str">
        <v>投放账户名称</v>
      </c>
      <c r="AT1" s="133" t="str">
        <v>品牌[名称]</v>
      </c>
    </row>
    <row r="2">
      <c r="A2" s="132" t="str">
        <v>0317ac13e37b7b5620cd9637bc410001</v>
      </c>
      <c r="B2" s="132"/>
      <c r="C2" s="132"/>
      <c r="D2" s="132" t="str">
        <v>ycss02;</v>
      </c>
      <c r="E2" s="132"/>
      <c r="F2" s="82"/>
      <c r="G2" s="132" t="str">
        <v>0.00</v>
      </c>
      <c r="H2" s="132"/>
      <c r="I2" s="132" t="str">
        <v>0.00</v>
      </c>
      <c r="J2" s="132"/>
      <c r="K2" s="132" t="str">
        <v>0.00</v>
      </c>
      <c r="L2" s="132"/>
      <c r="M2" s="132" t="str">
        <v>0.00</v>
      </c>
      <c r="N2" s="132"/>
      <c r="O2" s="132" t="str">
        <v>0.00</v>
      </c>
      <c r="P2" s="132"/>
      <c r="Q2" s="132" t="str">
        <v>0.00</v>
      </c>
      <c r="R2" s="132"/>
      <c r="S2" s="132" t="str">
        <v>未完结</v>
      </c>
      <c r="T2" s="132"/>
      <c r="U2" s="74"/>
      <c r="V2" s="74" t="str">
        <v>上海小花猫文化传播有限公司</v>
      </c>
      <c r="W2" s="74" t="str">
        <v>小红书</v>
      </c>
      <c r="X2" s="74">
        <v>436489</v>
      </c>
      <c r="Y2" s="74" t="str">
        <v>小红书加热</v>
      </c>
      <c r="Z2" s="74"/>
      <c r="AA2" s="74" t="str">
        <v>是</v>
      </c>
      <c r="AB2" s="74" t="str">
        <v>是</v>
      </c>
      <c r="AC2" s="74" t="str">
        <v>否</v>
      </c>
      <c r="AD2" s="74" t="str">
        <v>否</v>
      </c>
      <c r="AE2" s="74"/>
      <c r="AF2" s="74"/>
      <c r="AG2" s="74"/>
      <c r="AH2" s="74" t="str">
        <v>一样（谢炀）</v>
      </c>
      <c r="AI2" s="74"/>
      <c r="AJ2" s="74" t="str">
        <v>杭州宜格化妆品有限公司</v>
      </c>
      <c r="AK2" s="74"/>
      <c r="AL2" s="74"/>
      <c r="AM2" s="74"/>
      <c r="AN2" s="74" t="str">
        <v>自投</v>
      </c>
      <c r="AO2" s="131">
        <v>36526</v>
      </c>
      <c r="AP2" s="74" t="str">
        <v>站内</v>
      </c>
      <c r="AQ2" s="74">
        <v>436489</v>
      </c>
      <c r="AR2" s="74"/>
      <c r="AS2" s="74" t="str">
        <v>小花猫（花西子Florasis）5</v>
      </c>
      <c r="AT2" s="74" t="str">
        <v>花西子</v>
      </c>
    </row>
    <row r="3">
      <c r="A3" s="132" t="str">
        <v>0317abf06e8b7b5620cd9637bc410002</v>
      </c>
      <c r="B3" s="132"/>
      <c r="C3" s="132"/>
      <c r="D3" s="132" t="str">
        <v>ycss02;</v>
      </c>
      <c r="E3" s="132"/>
      <c r="F3" s="82"/>
      <c r="G3" s="132" t="str">
        <v>0.00</v>
      </c>
      <c r="H3" s="132"/>
      <c r="I3" s="132" t="str">
        <v>0.00</v>
      </c>
      <c r="J3" s="132"/>
      <c r="K3" s="132" t="str">
        <v>0.00</v>
      </c>
      <c r="L3" s="132"/>
      <c r="M3" s="132" t="str">
        <v>0.00</v>
      </c>
      <c r="N3" s="132"/>
      <c r="O3" s="132" t="str">
        <v>0.00</v>
      </c>
      <c r="P3" s="132"/>
      <c r="Q3" s="132" t="str">
        <v>0.00</v>
      </c>
      <c r="R3" s="132"/>
      <c r="S3" s="132" t="str">
        <v>未完结</v>
      </c>
      <c r="T3" s="132"/>
      <c r="U3" s="74"/>
      <c r="V3" s="74" t="str">
        <v>上海小花猫文化传播有限公司</v>
      </c>
      <c r="W3" s="74" t="str">
        <v>小红书</v>
      </c>
      <c r="X3" s="74">
        <v>436491</v>
      </c>
      <c r="Y3" s="74" t="str">
        <v>小红书加热</v>
      </c>
      <c r="Z3" s="74"/>
      <c r="AA3" s="74" t="str">
        <v>是</v>
      </c>
      <c r="AB3" s="74" t="str">
        <v>是</v>
      </c>
      <c r="AC3" s="74" t="str">
        <v>否</v>
      </c>
      <c r="AD3" s="74" t="str">
        <v>否</v>
      </c>
      <c r="AE3" s="74"/>
      <c r="AF3" s="74"/>
      <c r="AG3" s="74"/>
      <c r="AH3" s="74" t="str">
        <v>一样（谢炀）</v>
      </c>
      <c r="AI3" s="74"/>
      <c r="AJ3" s="74" t="str">
        <v>杭州宜格化妆品有限公司</v>
      </c>
      <c r="AK3" s="74"/>
      <c r="AL3" s="74"/>
      <c r="AM3" s="74"/>
      <c r="AN3" s="74" t="str">
        <v>自投</v>
      </c>
      <c r="AO3" s="131">
        <v>36526</v>
      </c>
      <c r="AP3" s="74" t="str">
        <v>站内</v>
      </c>
      <c r="AQ3" s="74">
        <v>436491</v>
      </c>
      <c r="AR3" s="74"/>
      <c r="AS3" s="74" t="str">
        <v>小花猫（花西子Florasis）4</v>
      </c>
      <c r="AT3" s="74" t="str">
        <v>花西子</v>
      </c>
    </row>
    <row r="4">
      <c r="A4" s="132" t="str">
        <v>0317a77380fb7b5620cd9637bc410001</v>
      </c>
      <c r="B4" s="132"/>
      <c r="C4" s="132"/>
      <c r="D4" s="132" t="str">
        <v>ycss02;</v>
      </c>
      <c r="E4" s="132"/>
      <c r="F4" s="82"/>
      <c r="G4" s="132" t="str">
        <v>0.00</v>
      </c>
      <c r="H4" s="132"/>
      <c r="I4" s="132" t="str">
        <v>0.00</v>
      </c>
      <c r="J4" s="132"/>
      <c r="K4" s="132" t="str">
        <v>0.00</v>
      </c>
      <c r="L4" s="132"/>
      <c r="M4" s="132" t="str">
        <v>0.00</v>
      </c>
      <c r="N4" s="132"/>
      <c r="O4" s="132" t="str">
        <v>0.00</v>
      </c>
      <c r="P4" s="132"/>
      <c r="Q4" s="132" t="str">
        <v>0.00</v>
      </c>
      <c r="R4" s="132"/>
      <c r="S4" s="132" t="str">
        <v>未完结</v>
      </c>
      <c r="T4" s="132"/>
      <c r="U4" s="74"/>
      <c r="V4" s="74" t="str">
        <v>湖北巨量引擎科技有限公司</v>
      </c>
      <c r="W4" s="74" t="str">
        <v>抖音</v>
      </c>
      <c r="X4" s="74" t="str">
        <v>1601161499296772</v>
      </c>
      <c r="Y4" s="74" t="str">
        <v>DOU+</v>
      </c>
      <c r="Z4" s="74"/>
      <c r="AA4" s="74"/>
      <c r="AB4" s="74"/>
      <c r="AC4" s="74" t="str">
        <v>是</v>
      </c>
      <c r="AD4" s="74"/>
      <c r="AE4" s="74"/>
      <c r="AF4" s="74"/>
      <c r="AG4" s="74"/>
      <c r="AH4" s="74"/>
      <c r="AI4" s="74"/>
      <c r="AJ4" s="74" t="str">
        <v>杭州宜格化妆品有限公司</v>
      </c>
      <c r="AK4" s="74"/>
      <c r="AL4" s="74"/>
      <c r="AM4" s="74"/>
      <c r="AN4" s="74" t="str">
        <v>自投</v>
      </c>
      <c r="AO4" s="131">
        <v>36526</v>
      </c>
      <c r="AP4" s="74" t="str">
        <v>站内</v>
      </c>
      <c r="AQ4" s="74" t="str">
        <v>1601161499296772</v>
      </c>
      <c r="AR4" s="74"/>
      <c r="AS4" s="74" t="str">
        <v>花西子官方旗舰店</v>
      </c>
      <c r="AT4" s="74" t="str">
        <v>花西子</v>
      </c>
    </row>
    <row r="5">
      <c r="A5" s="132" t="str">
        <v>03156c6a65c21d98ea897767e9600001</v>
      </c>
      <c r="B5" s="132"/>
      <c r="C5" s="132"/>
      <c r="D5" s="132" t="str">
        <v>ycss02;</v>
      </c>
      <c r="E5" s="132"/>
      <c r="F5" s="82"/>
      <c r="G5" s="132" t="str">
        <v>0.00</v>
      </c>
      <c r="H5" s="132"/>
      <c r="I5" s="132" t="str">
        <v>0.00</v>
      </c>
      <c r="J5" s="132"/>
      <c r="K5" s="132" t="str">
        <v>0.00</v>
      </c>
      <c r="L5" s="132"/>
      <c r="M5" s="132" t="str">
        <v>0.00</v>
      </c>
      <c r="N5" s="132"/>
      <c r="O5" s="132" t="str">
        <v>0.00</v>
      </c>
      <c r="P5" s="132"/>
      <c r="Q5" s="132" t="str">
        <v>0.00</v>
      </c>
      <c r="R5" s="132"/>
      <c r="S5" s="132" t="str">
        <v>未完结</v>
      </c>
      <c r="T5" s="132"/>
      <c r="U5" s="74"/>
      <c r="V5" s="74" t="str">
        <v>江苏拾光宝盒信息技术有限公司</v>
      </c>
      <c r="W5" s="74" t="str">
        <v>小红书</v>
      </c>
      <c r="X5" s="74">
        <v>117315</v>
      </c>
      <c r="Y5" s="74" t="str">
        <v>小红书加热</v>
      </c>
      <c r="Z5" s="74"/>
      <c r="AA5" s="74" t="str">
        <v>是</v>
      </c>
      <c r="AB5" s="74" t="str">
        <v>是</v>
      </c>
      <c r="AC5" s="74" t="str">
        <v>否</v>
      </c>
      <c r="AD5" s="74" t="str">
        <v>否</v>
      </c>
      <c r="AE5" s="74"/>
      <c r="AF5" s="74"/>
      <c r="AG5" s="74"/>
      <c r="AH5" s="74" t="str">
        <v>一样（谢炀）</v>
      </c>
      <c r="AI5" s="74"/>
      <c r="AJ5" s="74" t="str">
        <v>杭州宜格化妆品有限公司</v>
      </c>
      <c r="AK5" s="74"/>
      <c r="AL5" s="74"/>
      <c r="AM5" s="74"/>
      <c r="AN5" s="74" t="str">
        <v>自投</v>
      </c>
      <c r="AO5" s="131">
        <v>36526</v>
      </c>
      <c r="AP5" s="74" t="str">
        <v>站内</v>
      </c>
      <c r="AQ5" s="74">
        <v>117315</v>
      </c>
      <c r="AR5" s="74"/>
      <c r="AS5" s="74" t="str">
        <v>拾光宝盒（花西子美妆）</v>
      </c>
      <c r="AT5" s="74" t="str">
        <v>花西子</v>
      </c>
    </row>
    <row r="6">
      <c r="A6" s="132" t="str">
        <v>03156c6a68821d98ea897767e9600001</v>
      </c>
      <c r="B6" s="132"/>
      <c r="C6" s="132"/>
      <c r="D6" s="132" t="str">
        <v>ycss02;</v>
      </c>
      <c r="E6" s="132"/>
      <c r="F6" s="82"/>
      <c r="G6" s="132" t="str">
        <v>0.00</v>
      </c>
      <c r="H6" s="132"/>
      <c r="I6" s="132" t="str">
        <v>0.00</v>
      </c>
      <c r="J6" s="132"/>
      <c r="K6" s="132" t="str">
        <v>0.00</v>
      </c>
      <c r="L6" s="132"/>
      <c r="M6" s="132" t="str">
        <v>0.00</v>
      </c>
      <c r="N6" s="132"/>
      <c r="O6" s="132" t="str">
        <v>0.00</v>
      </c>
      <c r="P6" s="132"/>
      <c r="Q6" s="132" t="str">
        <v>0.00</v>
      </c>
      <c r="R6" s="132"/>
      <c r="S6" s="132" t="str">
        <v>未完结</v>
      </c>
      <c r="T6" s="132"/>
      <c r="U6" s="74"/>
      <c r="V6" s="74" t="str">
        <v>江苏拾光宝盒信息技术有限公司</v>
      </c>
      <c r="W6" s="74" t="str">
        <v>小红书</v>
      </c>
      <c r="X6" s="74">
        <v>168640</v>
      </c>
      <c r="Y6" s="74" t="str">
        <v>小红书加热</v>
      </c>
      <c r="Z6" s="74"/>
      <c r="AA6" s="74" t="str">
        <v>是</v>
      </c>
      <c r="AB6" s="74" t="str">
        <v>是</v>
      </c>
      <c r="AC6" s="74" t="str">
        <v>否</v>
      </c>
      <c r="AD6" s="74" t="str">
        <v>否</v>
      </c>
      <c r="AE6" s="74"/>
      <c r="AF6" s="74"/>
      <c r="AG6" s="74"/>
      <c r="AH6" s="74" t="str">
        <v>一样（谢炀）</v>
      </c>
      <c r="AI6" s="74"/>
      <c r="AJ6" s="74" t="str">
        <v>杭州宜格化妆品有限公司</v>
      </c>
      <c r="AK6" s="74"/>
      <c r="AL6" s="74"/>
      <c r="AM6" s="74"/>
      <c r="AN6" s="74" t="str">
        <v>自投</v>
      </c>
      <c r="AO6" s="131">
        <v>36526</v>
      </c>
      <c r="AP6" s="74" t="str">
        <v>站内</v>
      </c>
      <c r="AQ6" s="74">
        <v>168640</v>
      </c>
      <c r="AR6" s="74"/>
      <c r="AS6" s="74" t="str">
        <v>拾光宝盒（花西子Florasis4）</v>
      </c>
      <c r="AT6" s="74" t="str">
        <v>花西子</v>
      </c>
    </row>
    <row r="7">
      <c r="A7" s="132" t="str">
        <v>03156c6a68e21d98ea897767e9600001</v>
      </c>
      <c r="B7" s="132"/>
      <c r="C7" s="132"/>
      <c r="D7" s="132" t="str">
        <v>ycss02;</v>
      </c>
      <c r="E7" s="132"/>
      <c r="F7" s="82"/>
      <c r="G7" s="132" t="str">
        <v>0.00</v>
      </c>
      <c r="H7" s="132"/>
      <c r="I7" s="132" t="str">
        <v>0.00</v>
      </c>
      <c r="J7" s="132"/>
      <c r="K7" s="132" t="str">
        <v>0.00</v>
      </c>
      <c r="L7" s="132"/>
      <c r="M7" s="132" t="str">
        <v>0.00</v>
      </c>
      <c r="N7" s="132"/>
      <c r="O7" s="132" t="str">
        <v>0.00</v>
      </c>
      <c r="P7" s="132"/>
      <c r="Q7" s="132" t="str">
        <v>0.00</v>
      </c>
      <c r="R7" s="132"/>
      <c r="S7" s="132" t="str">
        <v>未完结</v>
      </c>
      <c r="T7" s="132"/>
      <c r="U7" s="74"/>
      <c r="V7" s="74" t="str">
        <v>广东省广告集团股份有限公司</v>
      </c>
      <c r="W7" s="74" t="str">
        <v>小红书</v>
      </c>
      <c r="X7" s="74">
        <v>113409</v>
      </c>
      <c r="Y7" s="74" t="str">
        <v>小红书加热</v>
      </c>
      <c r="Z7" s="74"/>
      <c r="AA7" s="74" t="str">
        <v>是</v>
      </c>
      <c r="AB7" s="74" t="str">
        <v>是</v>
      </c>
      <c r="AC7" s="74" t="str">
        <v>否</v>
      </c>
      <c r="AD7" s="74" t="str">
        <v>否</v>
      </c>
      <c r="AE7" s="74"/>
      <c r="AF7" s="74"/>
      <c r="AG7" s="74"/>
      <c r="AH7" s="74" t="str">
        <v>一样（谢炀）</v>
      </c>
      <c r="AI7" s="74"/>
      <c r="AJ7" s="74" t="str">
        <v>杭州宜格化妆品有限公司</v>
      </c>
      <c r="AK7" s="74"/>
      <c r="AL7" s="74"/>
      <c r="AM7" s="74"/>
      <c r="AN7" s="74" t="str">
        <v>自投</v>
      </c>
      <c r="AO7" s="131">
        <v>36526</v>
      </c>
      <c r="AP7" s="74" t="str">
        <v>站内</v>
      </c>
      <c r="AQ7" s="74">
        <v>113409</v>
      </c>
      <c r="AR7" s="74"/>
      <c r="AS7" s="74" t="str">
        <v>省广集团（花西子Florasis）</v>
      </c>
      <c r="AT7" s="74" t="str">
        <v>花西子</v>
      </c>
    </row>
    <row r="8">
      <c r="A8" s="132" t="str">
        <v>03156c6a69421d98ea897767e9600001</v>
      </c>
      <c r="B8" s="132"/>
      <c r="C8" s="132"/>
      <c r="D8" s="132" t="str">
        <v>ycss02;</v>
      </c>
      <c r="E8" s="132"/>
      <c r="F8" s="82"/>
      <c r="G8" s="132" t="str">
        <v>0.00</v>
      </c>
      <c r="H8" s="132"/>
      <c r="I8" s="132" t="str">
        <v>0.00</v>
      </c>
      <c r="J8" s="132"/>
      <c r="K8" s="132" t="str">
        <v>0.00</v>
      </c>
      <c r="L8" s="132"/>
      <c r="M8" s="132" t="str">
        <v>0.00</v>
      </c>
      <c r="N8" s="132"/>
      <c r="O8" s="132" t="str">
        <v>0.00</v>
      </c>
      <c r="P8" s="132"/>
      <c r="Q8" s="132" t="str">
        <v>0.00</v>
      </c>
      <c r="R8" s="132"/>
      <c r="S8" s="132" t="str">
        <v>未完结</v>
      </c>
      <c r="T8" s="132"/>
      <c r="U8" s="74"/>
      <c r="V8" s="74" t="str">
        <v>广东省广告集团股份有限公司</v>
      </c>
      <c r="W8" s="74" t="str">
        <v>小红书</v>
      </c>
      <c r="X8" s="74" t="s">
        <v>19</v>
      </c>
      <c r="Y8" s="74" t="str">
        <v>小红书加热</v>
      </c>
      <c r="Z8" s="74"/>
      <c r="AA8" s="74" t="str">
        <v>是</v>
      </c>
      <c r="AB8" s="74" t="str">
        <v>是</v>
      </c>
      <c r="AC8" s="74" t="str">
        <v>否</v>
      </c>
      <c r="AD8" s="74" t="str">
        <v>否</v>
      </c>
      <c r="AE8" s="74"/>
      <c r="AF8" s="74"/>
      <c r="AG8" s="74"/>
      <c r="AH8" s="74" t="str">
        <v>一样（谢炀）</v>
      </c>
      <c r="AI8" s="74"/>
      <c r="AJ8" s="74" t="str">
        <v>杭州宜格化妆品有限公司</v>
      </c>
      <c r="AK8" s="74"/>
      <c r="AL8" s="74"/>
      <c r="AM8" s="74"/>
      <c r="AN8" s="74" t="str">
        <v>自投</v>
      </c>
      <c r="AO8" s="131">
        <v>36526</v>
      </c>
      <c r="AP8" s="74" t="str">
        <v>站内</v>
      </c>
      <c r="AQ8" s="74" t="s">
        <v>19</v>
      </c>
      <c r="AR8" s="74"/>
      <c r="AS8" s="74" t="str">
        <v>省广-美妆</v>
      </c>
      <c r="AT8" s="74" t="str">
        <v>花西子</v>
      </c>
    </row>
    <row r="9">
      <c r="A9" s="132" t="str">
        <v>03156c6a6b021d98ea897767e9600001</v>
      </c>
      <c r="B9" s="132"/>
      <c r="C9" s="132"/>
      <c r="D9" s="132" t="str">
        <v>ycss02;</v>
      </c>
      <c r="E9" s="132"/>
      <c r="F9" s="82"/>
      <c r="G9" s="132" t="str">
        <v>0.00</v>
      </c>
      <c r="H9" s="132"/>
      <c r="I9" s="132" t="str">
        <v>0.00</v>
      </c>
      <c r="J9" s="132"/>
      <c r="K9" s="132" t="str">
        <v>0.00</v>
      </c>
      <c r="L9" s="132"/>
      <c r="M9" s="132" t="str">
        <v>0.00</v>
      </c>
      <c r="N9" s="132"/>
      <c r="O9" s="132" t="str">
        <v>0.00</v>
      </c>
      <c r="P9" s="132"/>
      <c r="Q9" s="132" t="str">
        <v>0.00</v>
      </c>
      <c r="R9" s="132"/>
      <c r="S9" s="132" t="str">
        <v>未完结</v>
      </c>
      <c r="T9" s="132"/>
      <c r="U9" s="74"/>
      <c r="V9" s="74" t="str">
        <v>广东省广告集团股份有限公司</v>
      </c>
      <c r="W9" s="74" t="str">
        <v>小红书</v>
      </c>
      <c r="X9" s="74">
        <v>117993</v>
      </c>
      <c r="Y9" s="74" t="str">
        <v>小红书加热</v>
      </c>
      <c r="Z9" s="74"/>
      <c r="AA9" s="74" t="str">
        <v>是</v>
      </c>
      <c r="AB9" s="74" t="str">
        <v>是</v>
      </c>
      <c r="AC9" s="74" t="str">
        <v>否</v>
      </c>
      <c r="AD9" s="74" t="str">
        <v>否</v>
      </c>
      <c r="AE9" s="74"/>
      <c r="AF9" s="74"/>
      <c r="AG9" s="74"/>
      <c r="AH9" s="74" t="str">
        <v>一样（谢炀）</v>
      </c>
      <c r="AI9" s="74"/>
      <c r="AJ9" s="74" t="str">
        <v>杭州宜格化妆品有限公司</v>
      </c>
      <c r="AK9" s="74"/>
      <c r="AL9" s="74"/>
      <c r="AM9" s="74"/>
      <c r="AN9" s="74" t="str">
        <v>自投</v>
      </c>
      <c r="AO9" s="131">
        <v>36526</v>
      </c>
      <c r="AP9" s="74" t="str">
        <v>站内</v>
      </c>
      <c r="AQ9" s="74">
        <v>117993</v>
      </c>
      <c r="AR9" s="74"/>
      <c r="AS9" s="74" t="str">
        <v>省广集团（花西子Florasis）02</v>
      </c>
      <c r="AT9" s="74" t="str">
        <v>花西子</v>
      </c>
    </row>
    <row r="10">
      <c r="A10" s="132" t="str">
        <v>03156c6a6b521d98ea897767e9600001</v>
      </c>
      <c r="B10" s="132"/>
      <c r="C10" s="132"/>
      <c r="D10" s="132" t="str">
        <v>ycss02;</v>
      </c>
      <c r="E10" s="132"/>
      <c r="F10" s="82"/>
      <c r="G10" s="132" t="str">
        <v>0.00</v>
      </c>
      <c r="H10" s="132"/>
      <c r="I10" s="132" t="str">
        <v>0.00</v>
      </c>
      <c r="J10" s="132"/>
      <c r="K10" s="132" t="str">
        <v>0.00</v>
      </c>
      <c r="L10" s="132"/>
      <c r="M10" s="132" t="str">
        <v>0.00</v>
      </c>
      <c r="N10" s="132"/>
      <c r="O10" s="132" t="str">
        <v>0.00</v>
      </c>
      <c r="P10" s="132"/>
      <c r="Q10" s="132" t="str">
        <v>0.00</v>
      </c>
      <c r="R10" s="132"/>
      <c r="S10" s="132" t="str">
        <v>未完结</v>
      </c>
      <c r="T10" s="132"/>
      <c r="U10" s="74"/>
      <c r="V10" s="74" t="str">
        <v>广东省广告集团股份有限公司</v>
      </c>
      <c r="W10" s="74" t="str">
        <v>小红书</v>
      </c>
      <c r="X10" s="74">
        <v>117992</v>
      </c>
      <c r="Y10" s="74" t="str">
        <v>小红书加热</v>
      </c>
      <c r="Z10" s="74"/>
      <c r="AA10" s="74" t="str">
        <v>是</v>
      </c>
      <c r="AB10" s="74" t="str">
        <v>是</v>
      </c>
      <c r="AC10" s="74" t="str">
        <v>否</v>
      </c>
      <c r="AD10" s="74" t="str">
        <v>否</v>
      </c>
      <c r="AE10" s="74"/>
      <c r="AF10" s="74"/>
      <c r="AG10" s="74"/>
      <c r="AH10" s="74" t="str">
        <v>一样（谢炀）</v>
      </c>
      <c r="AI10" s="74"/>
      <c r="AJ10" s="74" t="str">
        <v>杭州宜格化妆品有限公司</v>
      </c>
      <c r="AK10" s="74"/>
      <c r="AL10" s="74"/>
      <c r="AM10" s="74"/>
      <c r="AN10" s="74" t="str">
        <v>自投</v>
      </c>
      <c r="AO10" s="131">
        <v>36526</v>
      </c>
      <c r="AP10" s="74" t="str">
        <v>站内</v>
      </c>
      <c r="AQ10" s="74">
        <v>117992</v>
      </c>
      <c r="AR10" s="74"/>
      <c r="AS10" s="74" t="str">
        <v>省广集团（花西子Florasis）03</v>
      </c>
      <c r="AT10" s="74" t="str">
        <v>花西子</v>
      </c>
    </row>
    <row r="11">
      <c r="A11" s="132" t="str">
        <v>03156c6a6b921d98ea897767e9600001</v>
      </c>
      <c r="B11" s="132"/>
      <c r="C11" s="132"/>
      <c r="D11" s="132" t="str">
        <v>ycss02;</v>
      </c>
      <c r="E11" s="132"/>
      <c r="F11" s="82"/>
      <c r="G11" s="132" t="str">
        <v>0.00</v>
      </c>
      <c r="H11" s="132"/>
      <c r="I11" s="132" t="str">
        <v>0.00</v>
      </c>
      <c r="J11" s="132"/>
      <c r="K11" s="132" t="str">
        <v>0.00</v>
      </c>
      <c r="L11" s="132"/>
      <c r="M11" s="132" t="str">
        <v>0.00</v>
      </c>
      <c r="N11" s="132"/>
      <c r="O11" s="132" t="str">
        <v>0.00</v>
      </c>
      <c r="P11" s="132"/>
      <c r="Q11" s="132" t="str">
        <v>0.00</v>
      </c>
      <c r="R11" s="132"/>
      <c r="S11" s="132" t="str">
        <v>未完结</v>
      </c>
      <c r="T11" s="132"/>
      <c r="U11" s="74"/>
      <c r="V11" s="74" t="str">
        <v>江苏拾光宝盒信息技术有限公司</v>
      </c>
      <c r="W11" s="74" t="str">
        <v>小红书</v>
      </c>
      <c r="X11" s="74">
        <v>119989</v>
      </c>
      <c r="Y11" s="74" t="str">
        <v>小红书加热</v>
      </c>
      <c r="Z11" s="74"/>
      <c r="AA11" s="74"/>
      <c r="AB11" s="74"/>
      <c r="AC11" s="74" t="str">
        <v>否</v>
      </c>
      <c r="AD11" s="74" t="str">
        <v>否</v>
      </c>
      <c r="AE11" s="74"/>
      <c r="AF11" s="74"/>
      <c r="AG11" s="74"/>
      <c r="AH11" s="74" t="str">
        <v>一样（谢炀）</v>
      </c>
      <c r="AI11" s="74"/>
      <c r="AJ11" s="74" t="str">
        <v>杭州宜格化妆品有限公司</v>
      </c>
      <c r="AK11" s="74"/>
      <c r="AL11" s="74"/>
      <c r="AM11" s="74"/>
      <c r="AN11" s="74" t="str">
        <v>自投</v>
      </c>
      <c r="AO11" s="131">
        <v>36526</v>
      </c>
      <c r="AP11" s="74" t="str">
        <v>站外</v>
      </c>
      <c r="AQ11" s="74">
        <v>119989</v>
      </c>
      <c r="AR11" s="74"/>
      <c r="AS11" s="74" t="str">
        <v>拾光宝盒（花西子Florasis3）</v>
      </c>
      <c r="AT11" s="74" t="str">
        <v>花西子</v>
      </c>
    </row>
    <row r="12">
      <c r="A12" s="132" t="str">
        <v>03156c6a6c321d98ea897767e9600001</v>
      </c>
      <c r="B12" s="132"/>
      <c r="C12" s="132"/>
      <c r="D12" s="132" t="str">
        <v>ycss02;</v>
      </c>
      <c r="E12" s="132"/>
      <c r="F12" s="82"/>
      <c r="G12" s="132" t="str">
        <v>0.00</v>
      </c>
      <c r="H12" s="132"/>
      <c r="I12" s="132" t="str">
        <v>0.00</v>
      </c>
      <c r="J12" s="132"/>
      <c r="K12" s="132" t="str">
        <v>0.00</v>
      </c>
      <c r="L12" s="132"/>
      <c r="M12" s="132" t="str">
        <v>0.00</v>
      </c>
      <c r="N12" s="132"/>
      <c r="O12" s="132" t="str">
        <v>0.00</v>
      </c>
      <c r="P12" s="132"/>
      <c r="Q12" s="132" t="str">
        <v>0.00</v>
      </c>
      <c r="R12" s="132"/>
      <c r="S12" s="132" t="str">
        <v>未完结</v>
      </c>
      <c r="T12" s="132"/>
      <c r="U12" s="74"/>
      <c r="V12" s="74" t="str">
        <v>江苏拾光宝盒信息技术有限公司</v>
      </c>
      <c r="W12" s="74" t="str">
        <v>小红书</v>
      </c>
      <c r="X12" s="74">
        <v>65933</v>
      </c>
      <c r="Y12" s="74" t="str">
        <v>小红书加热</v>
      </c>
      <c r="Z12" s="74"/>
      <c r="AA12" s="74"/>
      <c r="AB12" s="74"/>
      <c r="AC12" s="74" t="str">
        <v>否</v>
      </c>
      <c r="AD12" s="74" t="str">
        <v>否</v>
      </c>
      <c r="AE12" s="74"/>
      <c r="AF12" s="74"/>
      <c r="AG12" s="74"/>
      <c r="AH12" s="74" t="str">
        <v>一样（谢炀）</v>
      </c>
      <c r="AI12" s="74"/>
      <c r="AJ12" s="74" t="str">
        <v>杭州宜格化妆品有限公司</v>
      </c>
      <c r="AK12" s="74"/>
      <c r="AL12" s="74"/>
      <c r="AM12" s="74"/>
      <c r="AN12" s="74" t="str">
        <v>自投</v>
      </c>
      <c r="AO12" s="131">
        <v>36526</v>
      </c>
      <c r="AP12" s="74" t="str">
        <v>站外</v>
      </c>
      <c r="AQ12" s="74">
        <v>65933</v>
      </c>
      <c r="AR12" s="74"/>
      <c r="AS12" s="74" t="str">
        <v>拾光宝盒（花西子Florasis）</v>
      </c>
      <c r="AT12" s="74" t="str">
        <v>花西子</v>
      </c>
    </row>
    <row r="13">
      <c r="A13" s="132" t="str">
        <v>03156c6a6c721d98ea897767e9600001</v>
      </c>
      <c r="B13" s="132"/>
      <c r="C13" s="132"/>
      <c r="D13" s="132" t="str">
        <v>ycss02;</v>
      </c>
      <c r="E13" s="132"/>
      <c r="F13" s="82"/>
      <c r="G13" s="132" t="str">
        <v>0.00</v>
      </c>
      <c r="H13" s="132"/>
      <c r="I13" s="132" t="str">
        <v>0.00</v>
      </c>
      <c r="J13" s="132"/>
      <c r="K13" s="132" t="str">
        <v>0.00</v>
      </c>
      <c r="L13" s="132"/>
      <c r="M13" s="132" t="str">
        <v>0.00</v>
      </c>
      <c r="N13" s="132"/>
      <c r="O13" s="132" t="str">
        <v>0.00</v>
      </c>
      <c r="P13" s="132"/>
      <c r="Q13" s="132" t="str">
        <v>0.00</v>
      </c>
      <c r="R13" s="132"/>
      <c r="S13" s="132" t="str">
        <v>未完结</v>
      </c>
      <c r="T13" s="132"/>
      <c r="U13" s="74"/>
      <c r="V13" s="74" t="str">
        <v>江苏拾光宝盒信息技术有限公司</v>
      </c>
      <c r="W13" s="74" t="str">
        <v>小红书</v>
      </c>
      <c r="X13" s="74">
        <v>119990</v>
      </c>
      <c r="Y13" s="74" t="str">
        <v>小红书加热</v>
      </c>
      <c r="Z13" s="74"/>
      <c r="AA13" s="74"/>
      <c r="AB13" s="74"/>
      <c r="AC13" s="74" t="str">
        <v>否</v>
      </c>
      <c r="AD13" s="74" t="str">
        <v>否</v>
      </c>
      <c r="AE13" s="74"/>
      <c r="AF13" s="74"/>
      <c r="AG13" s="74"/>
      <c r="AH13" s="74" t="str">
        <v>一样（谢炀）</v>
      </c>
      <c r="AI13" s="74"/>
      <c r="AJ13" s="74" t="str">
        <v>杭州宜格化妆品有限公司</v>
      </c>
      <c r="AK13" s="74"/>
      <c r="AL13" s="74"/>
      <c r="AM13" s="74"/>
      <c r="AN13" s="74" t="str">
        <v>自投</v>
      </c>
      <c r="AO13" s="131">
        <v>36526</v>
      </c>
      <c r="AP13" s="74" t="str">
        <v>站外</v>
      </c>
      <c r="AQ13" s="74">
        <v>119990</v>
      </c>
      <c r="AR13" s="74"/>
      <c r="AS13" s="74" t="str">
        <v>拾光宝盒（花西子Florasis2）</v>
      </c>
      <c r="AT13" s="74" t="str">
        <v>花西子</v>
      </c>
    </row>
    <row r="14">
      <c r="A14" s="132" t="str">
        <v>03156c6a6cc21d98ea897767e9600001</v>
      </c>
      <c r="B14" s="132"/>
      <c r="C14" s="132"/>
      <c r="D14" s="132" t="str">
        <v>ycss02;</v>
      </c>
      <c r="E14" s="132"/>
      <c r="F14" s="82"/>
      <c r="G14" s="132" t="str">
        <v>0.00</v>
      </c>
      <c r="H14" s="132"/>
      <c r="I14" s="132" t="str">
        <v>0.00</v>
      </c>
      <c r="J14" s="132"/>
      <c r="K14" s="132" t="str">
        <v>0.00</v>
      </c>
      <c r="L14" s="132"/>
      <c r="M14" s="132" t="str">
        <v>0.00</v>
      </c>
      <c r="N14" s="132"/>
      <c r="O14" s="132" t="str">
        <v>0.00</v>
      </c>
      <c r="P14" s="132"/>
      <c r="Q14" s="132" t="str">
        <v>0.00</v>
      </c>
      <c r="R14" s="132"/>
      <c r="S14" s="132" t="str">
        <v>未完结</v>
      </c>
      <c r="T14" s="132"/>
      <c r="U14" s="74"/>
      <c r="V14" s="74" t="str">
        <v>上海博观瑞思传媒科技有限公司</v>
      </c>
      <c r="W14" s="74" t="str">
        <v>小红书</v>
      </c>
      <c r="X14" s="74">
        <v>307497</v>
      </c>
      <c r="Y14" s="74" t="str">
        <v>小红书加热</v>
      </c>
      <c r="Z14" s="74"/>
      <c r="AA14" s="74"/>
      <c r="AB14" s="74"/>
      <c r="AC14" s="74" t="str">
        <v>否</v>
      </c>
      <c r="AD14" s="74" t="str">
        <v>否</v>
      </c>
      <c r="AE14" s="74"/>
      <c r="AF14" s="74"/>
      <c r="AG14" s="74"/>
      <c r="AH14" s="74" t="str">
        <v>一样（谢炀）</v>
      </c>
      <c r="AI14" s="74"/>
      <c r="AJ14" s="74" t="str">
        <v>杭州宜格化妆品有限公司</v>
      </c>
      <c r="AK14" s="74"/>
      <c r="AL14" s="74"/>
      <c r="AM14" s="74"/>
      <c r="AN14" s="74" t="str">
        <v>自投</v>
      </c>
      <c r="AO14" s="131">
        <v>36526</v>
      </c>
      <c r="AP14" s="74" t="str">
        <v>站外</v>
      </c>
      <c r="AQ14" s="74">
        <v>307497</v>
      </c>
      <c r="AR14" s="74"/>
      <c r="AS14" s="74" t="str">
        <v>博观-花西子-3</v>
      </c>
      <c r="AT14" s="74" t="str">
        <v>花西子</v>
      </c>
    </row>
    <row r="15">
      <c r="A15" s="132" t="str">
        <v>03156c6a6d021d98ea897767e9600001</v>
      </c>
      <c r="B15" s="132"/>
      <c r="C15" s="132"/>
      <c r="D15" s="132" t="str">
        <v>ycss02;</v>
      </c>
      <c r="E15" s="132"/>
      <c r="F15" s="82"/>
      <c r="G15" s="132" t="str">
        <v>0.00</v>
      </c>
      <c r="H15" s="132"/>
      <c r="I15" s="132" t="str">
        <v>0.00</v>
      </c>
      <c r="J15" s="132"/>
      <c r="K15" s="132" t="str">
        <v>0.00</v>
      </c>
      <c r="L15" s="132"/>
      <c r="M15" s="132" t="str">
        <v>0.00</v>
      </c>
      <c r="N15" s="132"/>
      <c r="O15" s="132" t="str">
        <v>0.00</v>
      </c>
      <c r="P15" s="132"/>
      <c r="Q15" s="132" t="str">
        <v>0.00</v>
      </c>
      <c r="R15" s="132"/>
      <c r="S15" s="132" t="str">
        <v>未完结</v>
      </c>
      <c r="T15" s="132"/>
      <c r="U15" s="74"/>
      <c r="V15" s="74" t="str">
        <v>上海剧星传媒股份有限公司</v>
      </c>
      <c r="W15" s="74" t="str">
        <v>小红书</v>
      </c>
      <c r="X15" s="74" t="s">
        <v>17</v>
      </c>
      <c r="Y15" s="74" t="str">
        <v>小红书加热</v>
      </c>
      <c r="Z15" s="74"/>
      <c r="AA15" s="74"/>
      <c r="AB15" s="74"/>
      <c r="AC15" s="74" t="str">
        <v>否</v>
      </c>
      <c r="AD15" s="74" t="str">
        <v>否</v>
      </c>
      <c r="AE15" s="74"/>
      <c r="AF15" s="74"/>
      <c r="AG15" s="74"/>
      <c r="AH15" s="74" t="str">
        <v>一样（谢炀）</v>
      </c>
      <c r="AI15" s="74"/>
      <c r="AJ15" s="74" t="str">
        <v>杭州宜格化妆品有限公司</v>
      </c>
      <c r="AK15" s="74"/>
      <c r="AL15" s="74"/>
      <c r="AM15" s="74"/>
      <c r="AN15" s="74" t="str">
        <v>自投</v>
      </c>
      <c r="AO15" s="131">
        <v>36526</v>
      </c>
      <c r="AP15" s="74" t="str">
        <v>站外</v>
      </c>
      <c r="AQ15" s="74" t="s">
        <v>17</v>
      </c>
      <c r="AR15" s="74"/>
      <c r="AS15" s="74" t="str">
        <v>剧星小红书投放账户</v>
      </c>
      <c r="AT15" s="74" t="str">
        <v>花西子</v>
      </c>
    </row>
    <row r="16">
      <c r="A16" s="132" t="str">
        <v>03156c6a6d421d98ea897767e9600001</v>
      </c>
      <c r="B16" s="132"/>
      <c r="C16" s="132"/>
      <c r="D16" s="132" t="str">
        <v>ycss02;</v>
      </c>
      <c r="E16" s="132"/>
      <c r="F16" s="82"/>
      <c r="G16" s="132" t="str">
        <v>0.00</v>
      </c>
      <c r="H16" s="132"/>
      <c r="I16" s="132" t="str">
        <v>0.00</v>
      </c>
      <c r="J16" s="132"/>
      <c r="K16" s="132" t="str">
        <v>0.00</v>
      </c>
      <c r="L16" s="132"/>
      <c r="M16" s="132" t="str">
        <v>0.00</v>
      </c>
      <c r="N16" s="132"/>
      <c r="O16" s="132" t="str">
        <v>0.00</v>
      </c>
      <c r="P16" s="132"/>
      <c r="Q16" s="132" t="str">
        <v>0.00</v>
      </c>
      <c r="R16" s="132"/>
      <c r="S16" s="132" t="str">
        <v>未完结</v>
      </c>
      <c r="T16" s="132"/>
      <c r="U16" s="74"/>
      <c r="V16" s="74" t="str">
        <v>上海博观瑞思传媒科技有限公司</v>
      </c>
      <c r="W16" s="74" t="str">
        <v>小红书</v>
      </c>
      <c r="X16" s="74">
        <v>263697</v>
      </c>
      <c r="Y16" s="74" t="str">
        <v>小红书加热</v>
      </c>
      <c r="Z16" s="74"/>
      <c r="AA16" s="74"/>
      <c r="AB16" s="74"/>
      <c r="AC16" s="74" t="str">
        <v>否</v>
      </c>
      <c r="AD16" s="74" t="str">
        <v>否</v>
      </c>
      <c r="AE16" s="74"/>
      <c r="AF16" s="74"/>
      <c r="AG16" s="74"/>
      <c r="AH16" s="74" t="str">
        <v>一样（谢炀）</v>
      </c>
      <c r="AI16" s="74"/>
      <c r="AJ16" s="74" t="str">
        <v>杭州宜格化妆品有限公司</v>
      </c>
      <c r="AK16" s="74"/>
      <c r="AL16" s="74"/>
      <c r="AM16" s="74"/>
      <c r="AN16" s="74" t="str">
        <v>代投</v>
      </c>
      <c r="AO16" s="131">
        <v>36526</v>
      </c>
      <c r="AP16" s="74" t="str">
        <v>站外</v>
      </c>
      <c r="AQ16" s="74">
        <v>263697</v>
      </c>
      <c r="AR16" s="74"/>
      <c r="AS16" s="74" t="str">
        <v>博观-花西子</v>
      </c>
      <c r="AT16" s="74" t="str">
        <v>花西子</v>
      </c>
    </row>
    <row r="17">
      <c r="A17" s="132" t="str">
        <v>03156c6a6d921d98ea897767e9600001</v>
      </c>
      <c r="B17" s="132"/>
      <c r="C17" s="132"/>
      <c r="D17" s="132" t="str">
        <v>ycss02;</v>
      </c>
      <c r="E17" s="132"/>
      <c r="F17" s="82"/>
      <c r="G17" s="132" t="str">
        <v>0.00</v>
      </c>
      <c r="H17" s="132"/>
      <c r="I17" s="132" t="str">
        <v>0.00</v>
      </c>
      <c r="J17" s="132"/>
      <c r="K17" s="132" t="str">
        <v>0.00</v>
      </c>
      <c r="L17" s="132"/>
      <c r="M17" s="132" t="str">
        <v>0.00</v>
      </c>
      <c r="N17" s="132"/>
      <c r="O17" s="132" t="str">
        <v>0.00</v>
      </c>
      <c r="P17" s="132"/>
      <c r="Q17" s="132" t="str">
        <v>0.00</v>
      </c>
      <c r="R17" s="132"/>
      <c r="S17" s="132" t="str">
        <v>未完结</v>
      </c>
      <c r="T17" s="132"/>
      <c r="U17" s="74"/>
      <c r="V17" s="74" t="str">
        <v>上海剧星传媒股份有限公司</v>
      </c>
      <c r="W17" s="74" t="str">
        <v>小红书</v>
      </c>
      <c r="X17" s="74">
        <v>283885</v>
      </c>
      <c r="Y17" s="74" t="str">
        <v>小红书加热</v>
      </c>
      <c r="Z17" s="74"/>
      <c r="AA17" s="74" t="str">
        <v>否</v>
      </c>
      <c r="AB17" s="74" t="str">
        <v>是</v>
      </c>
      <c r="AC17" s="74" t="str">
        <v>否</v>
      </c>
      <c r="AD17" s="74" t="str">
        <v>否</v>
      </c>
      <c r="AE17" s="74"/>
      <c r="AF17" s="74"/>
      <c r="AG17" s="74"/>
      <c r="AH17" s="74" t="str">
        <v>一样（谢炀）</v>
      </c>
      <c r="AI17" s="74"/>
      <c r="AJ17" s="74" t="str">
        <v>杭州宜格化妆品有限公司</v>
      </c>
      <c r="AK17" s="74"/>
      <c r="AL17" s="74"/>
      <c r="AM17" s="74"/>
      <c r="AN17" s="74" t="str">
        <v>代投</v>
      </c>
      <c r="AO17" s="131">
        <v>36526</v>
      </c>
      <c r="AP17" s="74" t="str">
        <v>站外</v>
      </c>
      <c r="AQ17" s="74">
        <v>283885</v>
      </c>
      <c r="AR17" s="74"/>
      <c r="AS17" s="74" t="str">
        <v>剧星小红书投放账户</v>
      </c>
      <c r="AT17" s="74" t="str">
        <v>花西子</v>
      </c>
    </row>
    <row r="18">
      <c r="A18" s="132" t="str">
        <v>03156c6a6dd21d98ea897767e9600002</v>
      </c>
      <c r="B18" s="132"/>
      <c r="C18" s="132"/>
      <c r="D18" s="132" t="str">
        <v>ycss02;</v>
      </c>
      <c r="E18" s="132"/>
      <c r="F18" s="82"/>
      <c r="G18" s="132" t="str">
        <v>0.00</v>
      </c>
      <c r="H18" s="132"/>
      <c r="I18" s="132" t="str">
        <v>0.00</v>
      </c>
      <c r="J18" s="132"/>
      <c r="K18" s="132" t="str">
        <v>0.00</v>
      </c>
      <c r="L18" s="132"/>
      <c r="M18" s="132" t="str">
        <v>0.00</v>
      </c>
      <c r="N18" s="132"/>
      <c r="O18" s="132" t="str">
        <v>0.00</v>
      </c>
      <c r="P18" s="132"/>
      <c r="Q18" s="132" t="str">
        <v>0.00</v>
      </c>
      <c r="R18" s="132"/>
      <c r="S18" s="132" t="str">
        <v>未完结</v>
      </c>
      <c r="T18" s="132"/>
      <c r="U18" s="74"/>
      <c r="V18" s="74" t="str">
        <v>上海博观瑞思传媒科技有限公司</v>
      </c>
      <c r="W18" s="74" t="str">
        <v>小红书</v>
      </c>
      <c r="X18" s="74">
        <v>294814</v>
      </c>
      <c r="Y18" s="74" t="str">
        <v>小红书加热</v>
      </c>
      <c r="Z18" s="74"/>
      <c r="AA18" s="74" t="str">
        <v>否</v>
      </c>
      <c r="AB18" s="74" t="str">
        <v>是</v>
      </c>
      <c r="AC18" s="74" t="str">
        <v>否</v>
      </c>
      <c r="AD18" s="74" t="str">
        <v>否</v>
      </c>
      <c r="AE18" s="74"/>
      <c r="AF18" s="74"/>
      <c r="AG18" s="74"/>
      <c r="AH18" s="74" t="str">
        <v>一样（谢炀）</v>
      </c>
      <c r="AI18" s="74"/>
      <c r="AJ18" s="74" t="str">
        <v>杭州宜格化妆品有限公司</v>
      </c>
      <c r="AK18" s="74"/>
      <c r="AL18" s="74"/>
      <c r="AM18" s="74"/>
      <c r="AN18" s="74" t="str">
        <v>代投</v>
      </c>
      <c r="AO18" s="131">
        <v>36526</v>
      </c>
      <c r="AP18" s="74" t="str">
        <v>站外</v>
      </c>
      <c r="AQ18" s="74">
        <v>294814</v>
      </c>
      <c r="AR18" s="74"/>
      <c r="AS18" s="74" t="str">
        <v>博观-花西子-2</v>
      </c>
      <c r="AT18" s="74" t="str">
        <v>花西子</v>
      </c>
    </row>
    <row r="19">
      <c r="A19" s="132" t="str">
        <v>03156c6a6e121d98ea897767e9600002</v>
      </c>
      <c r="B19" s="132"/>
      <c r="C19" s="132"/>
      <c r="D19" s="132" t="str">
        <v>ycss02;</v>
      </c>
      <c r="E19" s="132"/>
      <c r="F19" s="82"/>
      <c r="G19" s="132" t="str">
        <v>0.00</v>
      </c>
      <c r="H19" s="132"/>
      <c r="I19" s="132" t="str">
        <v>0.00</v>
      </c>
      <c r="J19" s="132"/>
      <c r="K19" s="132" t="str">
        <v>0.00</v>
      </c>
      <c r="L19" s="132"/>
      <c r="M19" s="132" t="str">
        <v>0.00</v>
      </c>
      <c r="N19" s="132"/>
      <c r="O19" s="132" t="str">
        <v>0.00</v>
      </c>
      <c r="P19" s="132"/>
      <c r="Q19" s="132" t="str">
        <v>0.00</v>
      </c>
      <c r="R19" s="132"/>
      <c r="S19" s="132" t="str">
        <v>未完结</v>
      </c>
      <c r="T19" s="132"/>
      <c r="U19" s="74"/>
      <c r="V19" s="74" t="str">
        <v>江苏拾光宝盒信息技术有限公司</v>
      </c>
      <c r="W19" s="74" t="str">
        <v>小红书</v>
      </c>
      <c r="X19" s="74">
        <v>395388</v>
      </c>
      <c r="Y19" s="74" t="str">
        <v>小红书加热</v>
      </c>
      <c r="Z19" s="74"/>
      <c r="AA19" s="74" t="str">
        <v>是</v>
      </c>
      <c r="AB19" s="74" t="str">
        <v>是</v>
      </c>
      <c r="AC19" s="74" t="str">
        <v>否</v>
      </c>
      <c r="AD19" s="74" t="str">
        <v>否</v>
      </c>
      <c r="AE19" s="74"/>
      <c r="AF19" s="74"/>
      <c r="AG19" s="74"/>
      <c r="AH19" s="74" t="str">
        <v>一样（谢炀）</v>
      </c>
      <c r="AI19" s="74"/>
      <c r="AJ19" s="74" t="str">
        <v>杭州宜格化妆品有限公司</v>
      </c>
      <c r="AK19" s="74"/>
      <c r="AL19" s="74"/>
      <c r="AM19" s="74"/>
      <c r="AN19" s="74" t="str">
        <v>自投</v>
      </c>
      <c r="AO19" s="131">
        <v>36526</v>
      </c>
      <c r="AP19" s="74" t="str">
        <v>站内</v>
      </c>
      <c r="AQ19" s="74">
        <v>395388</v>
      </c>
      <c r="AR19" s="74"/>
      <c r="AS19" s="74" t="str">
        <v>拾光宝盒（花西子Florasis5）</v>
      </c>
      <c r="AT19" s="74" t="str">
        <v>花西子</v>
      </c>
    </row>
    <row r="20">
      <c r="A20" s="132" t="str">
        <v>03156c6a6e621d98ea897767e9600002</v>
      </c>
      <c r="B20" s="132"/>
      <c r="C20" s="132"/>
      <c r="D20" s="132" t="str">
        <v>ycss02;</v>
      </c>
      <c r="E20" s="132"/>
      <c r="F20" s="82"/>
      <c r="G20" s="132" t="str">
        <v>0.00</v>
      </c>
      <c r="H20" s="132"/>
      <c r="I20" s="132" t="str">
        <v>0.00</v>
      </c>
      <c r="J20" s="132"/>
      <c r="K20" s="132" t="str">
        <v>0.00</v>
      </c>
      <c r="L20" s="132"/>
      <c r="M20" s="132" t="str">
        <v>0.00</v>
      </c>
      <c r="N20" s="132"/>
      <c r="O20" s="132" t="str">
        <v>0.00</v>
      </c>
      <c r="P20" s="132"/>
      <c r="Q20" s="132" t="str">
        <v>0.00</v>
      </c>
      <c r="R20" s="132"/>
      <c r="S20" s="132" t="str">
        <v>未完结</v>
      </c>
      <c r="T20" s="132"/>
      <c r="U20" s="74"/>
      <c r="V20" s="74" t="str">
        <v>江苏拾光宝盒信息技术有限公司</v>
      </c>
      <c r="W20" s="74" t="str">
        <v>小红书</v>
      </c>
      <c r="X20" s="74">
        <v>395353</v>
      </c>
      <c r="Y20" s="74" t="str">
        <v>小红书加热</v>
      </c>
      <c r="Z20" s="74"/>
      <c r="AA20" s="74" t="str">
        <v>是</v>
      </c>
      <c r="AB20" s="74" t="str">
        <v>是</v>
      </c>
      <c r="AC20" s="74" t="str">
        <v>否</v>
      </c>
      <c r="AD20" s="74" t="str">
        <v>否</v>
      </c>
      <c r="AE20" s="74"/>
      <c r="AF20" s="74"/>
      <c r="AG20" s="74"/>
      <c r="AH20" s="74"/>
      <c r="AI20" s="74"/>
      <c r="AJ20" s="74" t="str">
        <v>杭州宜格化妆品有限公司</v>
      </c>
      <c r="AK20" s="74"/>
      <c r="AL20" s="74"/>
      <c r="AM20" s="74"/>
      <c r="AN20" s="74" t="str">
        <v>自投</v>
      </c>
      <c r="AO20" s="131">
        <v>36526</v>
      </c>
      <c r="AP20" s="74" t="str">
        <v>站内</v>
      </c>
      <c r="AQ20" s="74">
        <v>395353</v>
      </c>
      <c r="AR20" s="74"/>
      <c r="AS20" s="74" t="str">
        <v>拾光宝盒（花西子Florasis6）</v>
      </c>
      <c r="AT20" s="74" t="str">
        <v>花西子</v>
      </c>
    </row>
    <row r="21">
      <c r="A21" s="132" t="str">
        <v>03156c6a6ef21d98ea897767e9600002</v>
      </c>
      <c r="B21" s="132"/>
      <c r="C21" s="132"/>
      <c r="D21" s="132" t="str">
        <v>ycss02;</v>
      </c>
      <c r="E21" s="132"/>
      <c r="F21" s="82"/>
      <c r="G21" s="132" t="str">
        <v>0.00</v>
      </c>
      <c r="H21" s="132"/>
      <c r="I21" s="132" t="str">
        <v>0.00</v>
      </c>
      <c r="J21" s="132"/>
      <c r="K21" s="132" t="str">
        <v>0.00</v>
      </c>
      <c r="L21" s="132"/>
      <c r="M21" s="132" t="str">
        <v>0.00</v>
      </c>
      <c r="N21" s="132"/>
      <c r="O21" s="132" t="str">
        <v>0.00</v>
      </c>
      <c r="P21" s="132"/>
      <c r="Q21" s="132" t="str">
        <v>0.00</v>
      </c>
      <c r="R21" s="132"/>
      <c r="S21" s="132" t="str">
        <v>未完结</v>
      </c>
      <c r="T21" s="132"/>
      <c r="U21" s="74"/>
      <c r="V21" s="74" t="str">
        <v>江苏拾光宝盒信息技术有限公司</v>
      </c>
      <c r="W21" s="74" t="str">
        <v>小红书</v>
      </c>
      <c r="X21" s="74">
        <v>395350</v>
      </c>
      <c r="Y21" s="74" t="str">
        <v>小红书加热</v>
      </c>
      <c r="Z21" s="74"/>
      <c r="AA21" s="74" t="str">
        <v>是</v>
      </c>
      <c r="AB21" s="74" t="str">
        <v>是</v>
      </c>
      <c r="AC21" s="74" t="str">
        <v>否</v>
      </c>
      <c r="AD21" s="74" t="str">
        <v>否</v>
      </c>
      <c r="AE21" s="74"/>
      <c r="AF21" s="74"/>
      <c r="AG21" s="74"/>
      <c r="AH21" s="74" t="str">
        <v>一样（谢炀）</v>
      </c>
      <c r="AI21" s="74"/>
      <c r="AJ21" s="74" t="str">
        <v>杭州宜格化妆品有限公司</v>
      </c>
      <c r="AK21" s="74"/>
      <c r="AL21" s="74"/>
      <c r="AM21" s="74"/>
      <c r="AN21" s="74" t="str">
        <v>自投</v>
      </c>
      <c r="AO21" s="131">
        <v>36526</v>
      </c>
      <c r="AP21" s="74" t="str">
        <v>站内</v>
      </c>
      <c r="AQ21" s="74">
        <v>395350</v>
      </c>
      <c r="AR21" s="74"/>
      <c r="AS21" s="74" t="str">
        <v>拾光宝盒（花西子Florasis7）</v>
      </c>
      <c r="AT21" s="74" t="str">
        <v>花西子</v>
      </c>
    </row>
    <row r="22">
      <c r="A22" s="132" t="str">
        <v>03156c6a6f421d98ea897767e9600002</v>
      </c>
      <c r="B22" s="132"/>
      <c r="C22" s="132"/>
      <c r="D22" s="132" t="str">
        <v>ycss02;</v>
      </c>
      <c r="E22" s="132"/>
      <c r="F22" s="82"/>
      <c r="G22" s="132" t="str">
        <v>0.00</v>
      </c>
      <c r="H22" s="132"/>
      <c r="I22" s="132" t="str">
        <v>0.00</v>
      </c>
      <c r="J22" s="132"/>
      <c r="K22" s="132" t="str">
        <v>0.00</v>
      </c>
      <c r="L22" s="132"/>
      <c r="M22" s="132" t="str">
        <v>0.00</v>
      </c>
      <c r="N22" s="132"/>
      <c r="O22" s="132" t="str">
        <v>0.00</v>
      </c>
      <c r="P22" s="132"/>
      <c r="Q22" s="132" t="str">
        <v>0.00</v>
      </c>
      <c r="R22" s="132"/>
      <c r="S22" s="132" t="str">
        <v>未完结</v>
      </c>
      <c r="T22" s="132"/>
      <c r="U22" s="74"/>
      <c r="V22" s="74" t="str">
        <v>江苏拾光宝盒信息技术有限公司</v>
      </c>
      <c r="W22" s="74" t="str">
        <v>小红书</v>
      </c>
      <c r="X22" s="74">
        <v>409695</v>
      </c>
      <c r="Y22" s="74" t="str">
        <v>小红书加热</v>
      </c>
      <c r="Z22" s="74"/>
      <c r="AA22" s="74" t="str">
        <v>是</v>
      </c>
      <c r="AB22" s="74" t="str">
        <v>是</v>
      </c>
      <c r="AC22" s="74" t="str">
        <v>否</v>
      </c>
      <c r="AD22" s="74" t="str">
        <v>否</v>
      </c>
      <c r="AE22" s="74"/>
      <c r="AF22" s="74"/>
      <c r="AG22" s="74"/>
      <c r="AH22" s="74" t="str">
        <v>一样（谢炀）</v>
      </c>
      <c r="AI22" s="74"/>
      <c r="AJ22" s="74" t="str">
        <v>杭州宜格化妆品有限公司</v>
      </c>
      <c r="AK22" s="74"/>
      <c r="AL22" s="74"/>
      <c r="AM22" s="74"/>
      <c r="AN22" s="74" t="str">
        <v>自投</v>
      </c>
      <c r="AO22" s="131">
        <v>36526</v>
      </c>
      <c r="AP22" s="74" t="str">
        <v>站内</v>
      </c>
      <c r="AQ22" s="74">
        <v>409695</v>
      </c>
      <c r="AR22" s="74"/>
      <c r="AS22" s="74" t="str">
        <v>拾光宝盒（花西子Florasis8）</v>
      </c>
      <c r="AT22" s="74" t="str">
        <v>花西子</v>
      </c>
    </row>
    <row r="23">
      <c r="A23" s="132" t="str">
        <v>03156c6a6f821d98ea897767e9600002</v>
      </c>
      <c r="B23" s="132"/>
      <c r="C23" s="132"/>
      <c r="D23" s="132" t="str">
        <v>ycss02;</v>
      </c>
      <c r="E23" s="132"/>
      <c r="F23" s="82"/>
      <c r="G23" s="132" t="str">
        <v>0.00</v>
      </c>
      <c r="H23" s="132"/>
      <c r="I23" s="132" t="str">
        <v>0.00</v>
      </c>
      <c r="J23" s="132"/>
      <c r="K23" s="132" t="str">
        <v>0.00</v>
      </c>
      <c r="L23" s="132"/>
      <c r="M23" s="132" t="str">
        <v>0.00</v>
      </c>
      <c r="N23" s="132"/>
      <c r="O23" s="132" t="str">
        <v>0.00</v>
      </c>
      <c r="P23" s="132"/>
      <c r="Q23" s="132" t="str">
        <v>0.00</v>
      </c>
      <c r="R23" s="132"/>
      <c r="S23" s="132" t="str">
        <v>未完结</v>
      </c>
      <c r="T23" s="132"/>
      <c r="U23" s="74"/>
      <c r="V23" s="74" t="str">
        <v>江苏拾光宝盒信息技术有限公司</v>
      </c>
      <c r="W23" s="74" t="str">
        <v>小红书</v>
      </c>
      <c r="X23" s="74">
        <v>409688</v>
      </c>
      <c r="Y23" s="74" t="str">
        <v>小红书加热</v>
      </c>
      <c r="Z23" s="74"/>
      <c r="AA23" s="74" t="str">
        <v>是</v>
      </c>
      <c r="AB23" s="74" t="str">
        <v>是</v>
      </c>
      <c r="AC23" s="74" t="str">
        <v>否</v>
      </c>
      <c r="AD23" s="74" t="str">
        <v>否</v>
      </c>
      <c r="AE23" s="74"/>
      <c r="AF23" s="74"/>
      <c r="AG23" s="74"/>
      <c r="AH23" s="74" t="str">
        <v>一样（谢炀）</v>
      </c>
      <c r="AI23" s="74"/>
      <c r="AJ23" s="74" t="str">
        <v>杭州宜格化妆品有限公司</v>
      </c>
      <c r="AK23" s="74"/>
      <c r="AL23" s="74"/>
      <c r="AM23" s="74"/>
      <c r="AN23" s="74" t="str">
        <v>自投</v>
      </c>
      <c r="AO23" s="131">
        <v>36526</v>
      </c>
      <c r="AP23" s="74" t="str">
        <v>站内</v>
      </c>
      <c r="AQ23" s="74">
        <v>409688</v>
      </c>
      <c r="AR23" s="74"/>
      <c r="AS23" s="74" t="str">
        <v>拾光宝盒（花西子Florasis9）</v>
      </c>
      <c r="AT23" s="74" t="str">
        <v>花西子</v>
      </c>
    </row>
    <row r="24">
      <c r="A24" s="132" t="str">
        <v>03156c6a6fc21d98ea897767e9600002</v>
      </c>
      <c r="B24" s="132"/>
      <c r="C24" s="132"/>
      <c r="D24" s="132" t="str">
        <v>ycss02;</v>
      </c>
      <c r="E24" s="132"/>
      <c r="F24" s="82"/>
      <c r="G24" s="132" t="str">
        <v>0.00</v>
      </c>
      <c r="H24" s="132"/>
      <c r="I24" s="132" t="str">
        <v>0.00</v>
      </c>
      <c r="J24" s="132"/>
      <c r="K24" s="132" t="str">
        <v>0.00</v>
      </c>
      <c r="L24" s="132"/>
      <c r="M24" s="132" t="str">
        <v>0.00</v>
      </c>
      <c r="N24" s="132"/>
      <c r="O24" s="132" t="str">
        <v>0.00</v>
      </c>
      <c r="P24" s="132"/>
      <c r="Q24" s="132" t="str">
        <v>0.00</v>
      </c>
      <c r="R24" s="132"/>
      <c r="S24" s="132" t="str">
        <v>未完结</v>
      </c>
      <c r="T24" s="132"/>
      <c r="U24" s="74"/>
      <c r="V24" s="74" t="str">
        <v>江苏拾光宝盒信息技术有限公司</v>
      </c>
      <c r="W24" s="74" t="str">
        <v>小红书</v>
      </c>
      <c r="X24" s="74">
        <v>409687</v>
      </c>
      <c r="Y24" s="74" t="str">
        <v>小红书加热</v>
      </c>
      <c r="Z24" s="74"/>
      <c r="AA24" s="74" t="str">
        <v>是</v>
      </c>
      <c r="AB24" s="74" t="str">
        <v>是</v>
      </c>
      <c r="AC24" s="74" t="str">
        <v>否</v>
      </c>
      <c r="AD24" s="74" t="str">
        <v>否</v>
      </c>
      <c r="AE24" s="74"/>
      <c r="AF24" s="74"/>
      <c r="AG24" s="74"/>
      <c r="AH24" s="74" t="str">
        <v>一样（谢炀）</v>
      </c>
      <c r="AI24" s="74"/>
      <c r="AJ24" s="74" t="str">
        <v>杭州宜格化妆品有限公司</v>
      </c>
      <c r="AK24" s="74"/>
      <c r="AL24" s="74"/>
      <c r="AM24" s="74"/>
      <c r="AN24" s="74" t="str">
        <v>自投</v>
      </c>
      <c r="AO24" s="131">
        <v>36526</v>
      </c>
      <c r="AP24" s="74" t="str">
        <v>站内</v>
      </c>
      <c r="AQ24" s="74">
        <v>409687</v>
      </c>
      <c r="AR24" s="74"/>
      <c r="AS24" s="74" t="str">
        <v>拾光宝盒（花西子Florasis10）</v>
      </c>
      <c r="AT24" s="74" t="str">
        <v>花西子</v>
      </c>
    </row>
    <row r="25">
      <c r="A25" s="132" t="str">
        <v>03156c6a70021d98ea897767e9600002</v>
      </c>
      <c r="B25" s="132"/>
      <c r="C25" s="132"/>
      <c r="D25" s="132" t="str">
        <v>ycss02;</v>
      </c>
      <c r="E25" s="132"/>
      <c r="F25" s="82"/>
      <c r="G25" s="132" t="str">
        <v>0.00</v>
      </c>
      <c r="H25" s="132"/>
      <c r="I25" s="132" t="str">
        <v>0.00</v>
      </c>
      <c r="J25" s="132"/>
      <c r="K25" s="132" t="str">
        <v>0.00</v>
      </c>
      <c r="L25" s="132"/>
      <c r="M25" s="132" t="str">
        <v>0.00</v>
      </c>
      <c r="N25" s="132"/>
      <c r="O25" s="132" t="str">
        <v>0.00</v>
      </c>
      <c r="P25" s="132"/>
      <c r="Q25" s="132" t="str">
        <v>0.00</v>
      </c>
      <c r="R25" s="132"/>
      <c r="S25" s="132" t="str">
        <v>未完结</v>
      </c>
      <c r="T25" s="132"/>
      <c r="U25" s="74"/>
      <c r="V25" s="74" t="str">
        <v>广东省广告集团股份有限公司</v>
      </c>
      <c r="W25" s="74" t="str">
        <v>小红书</v>
      </c>
      <c r="X25" s="74">
        <v>118100</v>
      </c>
      <c r="Y25" s="74" t="str">
        <v>小红书加热</v>
      </c>
      <c r="Z25" s="74"/>
      <c r="AA25" s="74" t="str">
        <v>是</v>
      </c>
      <c r="AB25" s="74" t="str">
        <v>是</v>
      </c>
      <c r="AC25" s="74" t="str">
        <v>否</v>
      </c>
      <c r="AD25" s="74" t="str">
        <v>否</v>
      </c>
      <c r="AE25" s="74"/>
      <c r="AF25" s="74"/>
      <c r="AG25" s="74"/>
      <c r="AH25" s="74" t="str">
        <v>一样（谢炀）</v>
      </c>
      <c r="AI25" s="74"/>
      <c r="AJ25" s="74" t="str">
        <v>杭州宜格化妆品有限公司</v>
      </c>
      <c r="AK25" s="74"/>
      <c r="AL25" s="74"/>
      <c r="AM25" s="74"/>
      <c r="AN25" s="74" t="str">
        <v>自投</v>
      </c>
      <c r="AO25" s="131">
        <v>36526</v>
      </c>
      <c r="AP25" s="74" t="str">
        <v>站内</v>
      </c>
      <c r="AQ25" s="74">
        <v>118100</v>
      </c>
      <c r="AR25" s="74"/>
      <c r="AS25" s="74" t="str">
        <v>省广集团（花西子美妆）03</v>
      </c>
      <c r="AT25" s="74" t="str">
        <v>花西子</v>
      </c>
    </row>
    <row r="26">
      <c r="A26" s="132" t="str">
        <v>03156c6a70521d98ea897767e9600000</v>
      </c>
      <c r="B26" s="132"/>
      <c r="C26" s="132"/>
      <c r="D26" s="132" t="str">
        <v>ycss02;</v>
      </c>
      <c r="E26" s="132"/>
      <c r="F26" s="82"/>
      <c r="G26" s="132" t="str">
        <v>0.00</v>
      </c>
      <c r="H26" s="132"/>
      <c r="I26" s="132" t="str">
        <v>0.00</v>
      </c>
      <c r="J26" s="132"/>
      <c r="K26" s="132" t="str">
        <v>0.00</v>
      </c>
      <c r="L26" s="132"/>
      <c r="M26" s="132" t="str">
        <v>0.00</v>
      </c>
      <c r="N26" s="132"/>
      <c r="O26" s="132" t="str">
        <v>0.00</v>
      </c>
      <c r="P26" s="132"/>
      <c r="Q26" s="132" t="str">
        <v>0.00</v>
      </c>
      <c r="R26" s="132"/>
      <c r="S26" s="132" t="str">
        <v>未完结</v>
      </c>
      <c r="T26" s="132"/>
      <c r="U26" s="74"/>
      <c r="V26" s="74" t="str">
        <v>上海小花猫文化传播有限公司</v>
      </c>
      <c r="W26" s="74" t="str">
        <v>小红书</v>
      </c>
      <c r="X26" s="74">
        <v>435968</v>
      </c>
      <c r="Y26" s="74" t="str">
        <v>小红书加热</v>
      </c>
      <c r="Z26" s="74"/>
      <c r="AA26" s="74" t="str">
        <v>是</v>
      </c>
      <c r="AB26" s="74" t="str">
        <v>是</v>
      </c>
      <c r="AC26" s="74" t="str">
        <v>否</v>
      </c>
      <c r="AD26" s="74" t="str">
        <v>否</v>
      </c>
      <c r="AE26" s="74"/>
      <c r="AF26" s="74"/>
      <c r="AG26" s="74"/>
      <c r="AH26" s="74" t="str">
        <v>一样（谢炀）</v>
      </c>
      <c r="AI26" s="74"/>
      <c r="AJ26" s="74" t="str">
        <v>杭州宜格化妆品有限公司</v>
      </c>
      <c r="AK26" s="74"/>
      <c r="AL26" s="74"/>
      <c r="AM26" s="74"/>
      <c r="AN26" s="74" t="str">
        <v>自投</v>
      </c>
      <c r="AO26" s="131">
        <v>36526</v>
      </c>
      <c r="AP26" s="74" t="str">
        <v>站内</v>
      </c>
      <c r="AQ26" s="74">
        <v>435968</v>
      </c>
      <c r="AR26" s="74"/>
      <c r="AS26" s="74" t="str">
        <v>小花猫（花西子Florasis）6</v>
      </c>
      <c r="AT26" s="74" t="str">
        <v>花西子</v>
      </c>
    </row>
    <row r="27">
      <c r="A27" s="132" t="str">
        <v>03156c6a70921d98ea897767e9600001</v>
      </c>
      <c r="B27" s="132"/>
      <c r="C27" s="132"/>
      <c r="D27" s="132" t="str">
        <v>ycss02;</v>
      </c>
      <c r="E27" s="132"/>
      <c r="F27" s="82"/>
      <c r="G27" s="132" t="str">
        <v>0.00</v>
      </c>
      <c r="H27" s="132"/>
      <c r="I27" s="132" t="str">
        <v>0.00</v>
      </c>
      <c r="J27" s="132"/>
      <c r="K27" s="132" t="str">
        <v>0.00</v>
      </c>
      <c r="L27" s="132"/>
      <c r="M27" s="132" t="str">
        <v>0.00</v>
      </c>
      <c r="N27" s="132"/>
      <c r="O27" s="132" t="str">
        <v>0.00</v>
      </c>
      <c r="P27" s="132"/>
      <c r="Q27" s="132" t="str">
        <v>0.00</v>
      </c>
      <c r="R27" s="132"/>
      <c r="S27" s="132" t="str">
        <v>未完结</v>
      </c>
      <c r="T27" s="132"/>
      <c r="U27" s="74"/>
      <c r="V27" s="74" t="str">
        <v>上海小花猫文化传播有限公司</v>
      </c>
      <c r="W27" s="74" t="str">
        <v>小红书</v>
      </c>
      <c r="X27" s="74">
        <v>424140</v>
      </c>
      <c r="Y27" s="74" t="str">
        <v>小红书加热</v>
      </c>
      <c r="Z27" s="74"/>
      <c r="AA27" s="74" t="str">
        <v>是</v>
      </c>
      <c r="AB27" s="74" t="str">
        <v>是</v>
      </c>
      <c r="AC27" s="74" t="str">
        <v>否</v>
      </c>
      <c r="AD27" s="74" t="str">
        <v>否</v>
      </c>
      <c r="AE27" s="74"/>
      <c r="AF27" s="74"/>
      <c r="AG27" s="74"/>
      <c r="AH27" s="74" t="str">
        <v>一样（谢炀）</v>
      </c>
      <c r="AI27" s="74"/>
      <c r="AJ27" s="74" t="str">
        <v>杭州宜格化妆品有限公司</v>
      </c>
      <c r="AK27" s="74"/>
      <c r="AL27" s="74"/>
      <c r="AM27" s="74"/>
      <c r="AN27" s="74" t="str">
        <v>自投</v>
      </c>
      <c r="AO27" s="131">
        <v>36526</v>
      </c>
      <c r="AP27" s="74" t="str">
        <v>站内</v>
      </c>
      <c r="AQ27" s="74">
        <v>424140</v>
      </c>
      <c r="AR27" s="74"/>
      <c r="AS27" s="74" t="str">
        <v>小花猫（花西子Florasis）3</v>
      </c>
      <c r="AT27" s="74" t="str">
        <v>花西子</v>
      </c>
    </row>
    <row r="28">
      <c r="A28" s="132" t="str">
        <v>03156c6a70d21d98ea897767e9600001</v>
      </c>
      <c r="B28" s="132"/>
      <c r="C28" s="132"/>
      <c r="D28" s="132" t="str">
        <v>ycss02;</v>
      </c>
      <c r="E28" s="132"/>
      <c r="F28" s="82"/>
      <c r="G28" s="132" t="str">
        <v>0.00</v>
      </c>
      <c r="H28" s="132"/>
      <c r="I28" s="132" t="str">
        <v>0.00</v>
      </c>
      <c r="J28" s="132"/>
      <c r="K28" s="132" t="str">
        <v>0.00</v>
      </c>
      <c r="L28" s="132"/>
      <c r="M28" s="132" t="str">
        <v>0.00</v>
      </c>
      <c r="N28" s="132"/>
      <c r="O28" s="132" t="str">
        <v>0.00</v>
      </c>
      <c r="P28" s="132"/>
      <c r="Q28" s="132" t="str">
        <v>0.00</v>
      </c>
      <c r="R28" s="132"/>
      <c r="S28" s="132" t="str">
        <v>未完结</v>
      </c>
      <c r="T28" s="132"/>
      <c r="U28" s="74"/>
      <c r="V28" s="74" t="str">
        <v>上海小花猫文化传播有限公司</v>
      </c>
      <c r="W28" s="74" t="str">
        <v>小红书</v>
      </c>
      <c r="X28" s="74">
        <v>424127</v>
      </c>
      <c r="Y28" s="74" t="str">
        <v>小红书加热</v>
      </c>
      <c r="Z28" s="74"/>
      <c r="AA28" s="74" t="str">
        <v>是</v>
      </c>
      <c r="AB28" s="74" t="str">
        <v>是</v>
      </c>
      <c r="AC28" s="74" t="str">
        <v>否</v>
      </c>
      <c r="AD28" s="74" t="str">
        <v>否</v>
      </c>
      <c r="AE28" s="74"/>
      <c r="AF28" s="74"/>
      <c r="AG28" s="74"/>
      <c r="AH28" s="74" t="str">
        <v>一样（谢炀）</v>
      </c>
      <c r="AI28" s="74"/>
      <c r="AJ28" s="74" t="str">
        <v>杭州宜格化妆品有限公司</v>
      </c>
      <c r="AK28" s="74"/>
      <c r="AL28" s="74"/>
      <c r="AM28" s="74"/>
      <c r="AN28" s="74" t="str">
        <v>自投</v>
      </c>
      <c r="AO28" s="131">
        <v>36526</v>
      </c>
      <c r="AP28" s="74" t="str">
        <v>站内</v>
      </c>
      <c r="AQ28" s="74">
        <v>424127</v>
      </c>
      <c r="AR28" s="74"/>
      <c r="AS28" s="74" t="s">
        <v>27</v>
      </c>
      <c r="AT28" s="74" t="str">
        <v>花西子</v>
      </c>
    </row>
    <row r="29">
      <c r="A29" s="132" t="str">
        <v>03156c6a71121d98ea897767e9600001</v>
      </c>
      <c r="B29" s="132"/>
      <c r="C29" s="132"/>
      <c r="D29" s="132" t="str">
        <v>ycss02;</v>
      </c>
      <c r="E29" s="132"/>
      <c r="F29" s="82"/>
      <c r="G29" s="132" t="str">
        <v>0.00</v>
      </c>
      <c r="H29" s="132"/>
      <c r="I29" s="132" t="str">
        <v>0.00</v>
      </c>
      <c r="J29" s="132"/>
      <c r="K29" s="132" t="str">
        <v>0.00</v>
      </c>
      <c r="L29" s="132"/>
      <c r="M29" s="132" t="str">
        <v>0.00</v>
      </c>
      <c r="N29" s="132"/>
      <c r="O29" s="132" t="str">
        <v>0.00</v>
      </c>
      <c r="P29" s="132"/>
      <c r="Q29" s="132" t="str">
        <v>0.00</v>
      </c>
      <c r="R29" s="132"/>
      <c r="S29" s="132" t="str">
        <v>未完结</v>
      </c>
      <c r="T29" s="132"/>
      <c r="U29" s="74"/>
      <c r="V29" s="74" t="str">
        <v>上海小花猫文化传播有限公司</v>
      </c>
      <c r="W29" s="74" t="str">
        <v>小红书</v>
      </c>
      <c r="X29" s="74">
        <v>424132</v>
      </c>
      <c r="Y29" s="74" t="str">
        <v>小红书加热</v>
      </c>
      <c r="Z29" s="74"/>
      <c r="AA29" s="74" t="str">
        <v>是</v>
      </c>
      <c r="AB29" s="74" t="str">
        <v>是</v>
      </c>
      <c r="AC29" s="74" t="str">
        <v>否</v>
      </c>
      <c r="AD29" s="74" t="str">
        <v>否</v>
      </c>
      <c r="AE29" s="74"/>
      <c r="AF29" s="74"/>
      <c r="AG29" s="74"/>
      <c r="AH29" s="74" t="str">
        <v>一样（谢炀）</v>
      </c>
      <c r="AI29" s="74"/>
      <c r="AJ29" s="74" t="str">
        <v>杭州宜格化妆品有限公司</v>
      </c>
      <c r="AK29" s="74"/>
      <c r="AL29" s="74"/>
      <c r="AM29" s="74"/>
      <c r="AN29" s="74" t="str">
        <v>自投</v>
      </c>
      <c r="AO29" s="131">
        <v>36526</v>
      </c>
      <c r="AP29" s="74" t="str">
        <v>站内</v>
      </c>
      <c r="AQ29" s="74">
        <v>424132</v>
      </c>
      <c r="AR29" s="74"/>
      <c r="AS29" s="74" t="str">
        <v>小花猫（花西子Florasis）1</v>
      </c>
      <c r="AT29" s="74" t="str">
        <v>花西子</v>
      </c>
    </row>
    <row r="30">
      <c r="A30" s="132" t="str">
        <v>03156c6a71621d98ea897767e9600001</v>
      </c>
      <c r="B30" s="132"/>
      <c r="C30" s="132"/>
      <c r="D30" s="132" t="str">
        <v>ycss02;</v>
      </c>
      <c r="E30" s="132"/>
      <c r="F30" s="82"/>
      <c r="G30" s="132" t="str">
        <v>0.00</v>
      </c>
      <c r="H30" s="132"/>
      <c r="I30" s="132" t="str">
        <v>0.00</v>
      </c>
      <c r="J30" s="132"/>
      <c r="K30" s="132" t="str">
        <v>0.00</v>
      </c>
      <c r="L30" s="132"/>
      <c r="M30" s="132" t="str">
        <v>0.00</v>
      </c>
      <c r="N30" s="132"/>
      <c r="O30" s="132" t="str">
        <v>0.00</v>
      </c>
      <c r="P30" s="132"/>
      <c r="Q30" s="132" t="str">
        <v>0.00</v>
      </c>
      <c r="R30" s="132"/>
      <c r="S30" s="132" t="str">
        <v>未完结</v>
      </c>
      <c r="T30" s="132"/>
      <c r="U30" s="74"/>
      <c r="V30" s="74" t="str">
        <v>杭州凡淳品牌管理有限公司</v>
      </c>
      <c r="W30" s="74" t="str">
        <v>小红书</v>
      </c>
      <c r="X30" s="74">
        <v>433696</v>
      </c>
      <c r="Y30" s="74" t="str">
        <v>小红书加热</v>
      </c>
      <c r="Z30" s="74"/>
      <c r="AA30" s="74"/>
      <c r="AB30" s="74"/>
      <c r="AC30" s="74" t="str">
        <v>否</v>
      </c>
      <c r="AD30" s="74" t="str">
        <v>否</v>
      </c>
      <c r="AE30" s="74"/>
      <c r="AF30" s="74"/>
      <c r="AG30" s="74"/>
      <c r="AH30" s="74" t="str">
        <v>一样（谢炀）</v>
      </c>
      <c r="AI30" s="74"/>
      <c r="AJ30" s="74" t="str">
        <v>杭州宜格化妆品有限公司</v>
      </c>
      <c r="AK30" s="74"/>
      <c r="AL30" s="74"/>
      <c r="AM30" s="74"/>
      <c r="AN30" s="74" t="str">
        <v>自投</v>
      </c>
      <c r="AO30" s="131">
        <v>36526</v>
      </c>
      <c r="AP30" s="74" t="str">
        <v>站内</v>
      </c>
      <c r="AQ30" s="74">
        <v>433696</v>
      </c>
      <c r="AR30" s="74"/>
      <c r="AS30" s="74" t="str">
        <v>（FC）花西子小黛伞</v>
      </c>
      <c r="AT30" s="74" t="str">
        <v>花西子</v>
      </c>
    </row>
    <row r="31">
      <c r="A31" s="132" t="str">
        <v>03156c6a71a21d98ea897767e9600001</v>
      </c>
      <c r="B31" s="132"/>
      <c r="C31" s="132"/>
      <c r="D31" s="132" t="str">
        <v>ycss02;</v>
      </c>
      <c r="E31" s="132"/>
      <c r="F31" s="82"/>
      <c r="G31" s="132" t="str">
        <v>0.00</v>
      </c>
      <c r="H31" s="132"/>
      <c r="I31" s="132" t="str">
        <v>0.00</v>
      </c>
      <c r="J31" s="132"/>
      <c r="K31" s="132" t="str">
        <v>0.00</v>
      </c>
      <c r="L31" s="132"/>
      <c r="M31" s="132" t="str">
        <v>0.00</v>
      </c>
      <c r="N31" s="132"/>
      <c r="O31" s="132" t="str">
        <v>0.00</v>
      </c>
      <c r="P31" s="132"/>
      <c r="Q31" s="132" t="str">
        <v>0.00</v>
      </c>
      <c r="R31" s="132"/>
      <c r="S31" s="132" t="str">
        <v>未完结</v>
      </c>
      <c r="T31" s="132"/>
      <c r="U31" s="74"/>
      <c r="V31" s="74" t="str">
        <v>杭州凡淳品牌管理有限公司</v>
      </c>
      <c r="W31" s="74" t="str">
        <v>小红书</v>
      </c>
      <c r="X31" s="74">
        <v>436678</v>
      </c>
      <c r="Y31" s="74" t="str">
        <v>小红书加热</v>
      </c>
      <c r="Z31" s="74"/>
      <c r="AA31" s="74"/>
      <c r="AB31" s="74"/>
      <c r="AC31" s="74" t="str">
        <v>否</v>
      </c>
      <c r="AD31" s="74" t="str">
        <v>否</v>
      </c>
      <c r="AE31" s="74"/>
      <c r="AF31" s="74"/>
      <c r="AG31" s="74"/>
      <c r="AH31" s="74" t="str">
        <v>一样（谢炀）</v>
      </c>
      <c r="AI31" s="74"/>
      <c r="AJ31" s="74" t="str">
        <v>杭州宜格化妆品有限公司</v>
      </c>
      <c r="AK31" s="74"/>
      <c r="AL31" s="74"/>
      <c r="AM31" s="74"/>
      <c r="AN31" s="74" t="str">
        <v>自投</v>
      </c>
      <c r="AO31" s="131">
        <v>36526</v>
      </c>
      <c r="AP31" s="74" t="str">
        <v>站内</v>
      </c>
      <c r="AQ31" s="74">
        <v>436678</v>
      </c>
      <c r="AR31" s="74"/>
      <c r="AS31" s="74" t="str">
        <v>（FC）花西子三花喷雾</v>
      </c>
      <c r="AT31" s="74" t="str">
        <v>花西子</v>
      </c>
    </row>
    <row r="32">
      <c r="A32" s="132" t="str">
        <v>03156c6a72121d98ea897767e9600001</v>
      </c>
      <c r="B32" s="132"/>
      <c r="C32" s="132"/>
      <c r="D32" s="132" t="str">
        <v>ycss02;</v>
      </c>
      <c r="E32" s="132"/>
      <c r="F32" s="82"/>
      <c r="G32" s="132" t="str">
        <v>0.00</v>
      </c>
      <c r="H32" s="132"/>
      <c r="I32" s="132" t="str">
        <v>0.00</v>
      </c>
      <c r="J32" s="132"/>
      <c r="K32" s="132" t="str">
        <v>0.00</v>
      </c>
      <c r="L32" s="132"/>
      <c r="M32" s="132" t="str">
        <v>0.00</v>
      </c>
      <c r="N32" s="132"/>
      <c r="O32" s="132" t="str">
        <v>0.00</v>
      </c>
      <c r="P32" s="132"/>
      <c r="Q32" s="132" t="str">
        <v>0.00</v>
      </c>
      <c r="R32" s="132"/>
      <c r="S32" s="132" t="str">
        <v>未完结</v>
      </c>
      <c r="T32" s="132"/>
      <c r="U32" s="74"/>
      <c r="V32" s="74" t="str">
        <v>杭州凡淳品牌管理有限公司</v>
      </c>
      <c r="W32" s="74" t="str">
        <v>小红书</v>
      </c>
      <c r="X32" s="74">
        <v>423721</v>
      </c>
      <c r="Y32" s="74" t="str">
        <v>小红书加热</v>
      </c>
      <c r="Z32" s="74"/>
      <c r="AA32" s="74"/>
      <c r="AB32" s="74"/>
      <c r="AC32" s="74" t="str">
        <v>否</v>
      </c>
      <c r="AD32" s="74" t="str">
        <v>否</v>
      </c>
      <c r="AE32" s="74"/>
      <c r="AF32" s="74"/>
      <c r="AG32" s="74"/>
      <c r="AH32" s="74" t="str">
        <v>一样（谢炀）</v>
      </c>
      <c r="AI32" s="74"/>
      <c r="AJ32" s="74" t="str">
        <v>杭州宜格化妆品有限公司</v>
      </c>
      <c r="AK32" s="74"/>
      <c r="AL32" s="74"/>
      <c r="AM32" s="74"/>
      <c r="AN32" s="74" t="str">
        <v>自投</v>
      </c>
      <c r="AO32" s="131">
        <v>36526</v>
      </c>
      <c r="AP32" s="74" t="str">
        <v>站内</v>
      </c>
      <c r="AQ32" s="74">
        <v>423721</v>
      </c>
      <c r="AR32" s="74"/>
      <c r="AS32" s="74" t="str">
        <v>（FC）花西子</v>
      </c>
      <c r="AT32" s="74" t="str">
        <v>花西子</v>
      </c>
    </row>
    <row r="33">
      <c r="A33" s="132" t="str">
        <v>03147392a8f8ffcff3f0d6cfb2be0002</v>
      </c>
      <c r="B33" s="132"/>
      <c r="C33" s="132"/>
      <c r="D33" s="132" t="str">
        <v>ycss02;</v>
      </c>
      <c r="E33" s="132"/>
      <c r="F33" s="82"/>
      <c r="G33" s="132" t="str">
        <v>0.00</v>
      </c>
      <c r="H33" s="132"/>
      <c r="I33" s="132" t="str">
        <v>0.00</v>
      </c>
      <c r="J33" s="132"/>
      <c r="K33" s="132" t="str">
        <v>0.00</v>
      </c>
      <c r="L33" s="132"/>
      <c r="M33" s="132" t="str">
        <v>0.00</v>
      </c>
      <c r="N33" s="132"/>
      <c r="O33" s="132" t="str">
        <v>0.00</v>
      </c>
      <c r="P33" s="132"/>
      <c r="Q33" s="132" t="str">
        <v>0.00</v>
      </c>
      <c r="R33" s="132"/>
      <c r="S33" s="132" t="str">
        <v>未完结</v>
      </c>
      <c r="T33" s="132"/>
      <c r="U33" s="74"/>
      <c r="V33" s="74" t="str">
        <v>杭州阿里妈妈软件服务有限公司</v>
      </c>
      <c r="W33" s="74" t="str">
        <v>天猫</v>
      </c>
      <c r="X33" s="74" t="str">
        <v>DP015-034</v>
      </c>
      <c r="Y33" s="74" t="str">
        <v>天猫-万相台-常规投放</v>
      </c>
      <c r="Z33" s="74"/>
      <c r="AA33" s="74"/>
      <c r="AB33" s="74"/>
      <c r="AC33" s="74"/>
      <c r="AD33" s="74"/>
      <c r="AE33" s="74"/>
      <c r="AF33" s="74"/>
      <c r="AG33" s="74"/>
      <c r="AH33" s="74" t="str">
        <v>洛竹（程铭）</v>
      </c>
      <c r="AI33" s="74"/>
      <c r="AJ33" s="74" t="str">
        <v>杭州宜格化妆品有限公司</v>
      </c>
      <c r="AK33" s="74"/>
      <c r="AL33" s="74"/>
      <c r="AM33" s="74"/>
      <c r="AN33" s="74" t="str">
        <v>自投</v>
      </c>
      <c r="AO33" s="131">
        <v>36526</v>
      </c>
      <c r="AP33" s="74" t="str">
        <v>站内</v>
      </c>
      <c r="AQ33" s="74" t="str">
        <v>天猫花西子旗舰店-万相台</v>
      </c>
      <c r="AR33" s="74"/>
      <c r="AS33" s="74" t="str">
        <v>天猫花西子旗舰店-万相台-会员快</v>
      </c>
      <c r="AT33" s="74" t="str">
        <v>花西子</v>
      </c>
    </row>
    <row r="34">
      <c r="A34" s="132" t="str">
        <v>03147392aa78ffcff3f0d6cfb2be0002</v>
      </c>
      <c r="B34" s="132"/>
      <c r="C34" s="132"/>
      <c r="D34" s="132" t="str">
        <v>ycss02;</v>
      </c>
      <c r="E34" s="132"/>
      <c r="F34" s="82"/>
      <c r="G34" s="132" t="str">
        <v>0.00</v>
      </c>
      <c r="H34" s="132"/>
      <c r="I34" s="132" t="str">
        <v>0.00</v>
      </c>
      <c r="J34" s="132"/>
      <c r="K34" s="132" t="str">
        <v>0.00</v>
      </c>
      <c r="L34" s="132"/>
      <c r="M34" s="132" t="str">
        <v>0.00</v>
      </c>
      <c r="N34" s="132"/>
      <c r="O34" s="132" t="str">
        <v>0.00</v>
      </c>
      <c r="P34" s="132"/>
      <c r="Q34" s="132" t="str">
        <v>0.00</v>
      </c>
      <c r="R34" s="132"/>
      <c r="S34" s="132" t="str">
        <v>未完结</v>
      </c>
      <c r="T34" s="132"/>
      <c r="U34" s="74"/>
      <c r="V34" s="74" t="str">
        <v>浙江阿里巴巴通信技术有限公司</v>
      </c>
      <c r="W34" s="74" t="str">
        <v>天猫</v>
      </c>
      <c r="X34" s="74" t="str">
        <v>DP001-034</v>
      </c>
      <c r="Y34" s="74" t="str">
        <v>天猫-万相台-常规投放</v>
      </c>
      <c r="Z34" s="74"/>
      <c r="AA34" s="74"/>
      <c r="AB34" s="74"/>
      <c r="AC34" s="74"/>
      <c r="AD34" s="74"/>
      <c r="AE34" s="74"/>
      <c r="AF34" s="74"/>
      <c r="AG34" s="74"/>
      <c r="AH34" s="74" t="str">
        <v>盐首（刘如敏）</v>
      </c>
      <c r="AI34" s="74"/>
      <c r="AJ34" s="74" t="str">
        <v>杭州匠泽电子商务有限公司</v>
      </c>
      <c r="AK34" s="74"/>
      <c r="AL34" s="74"/>
      <c r="AM34" s="74"/>
      <c r="AN34" s="74" t="str">
        <v>自投</v>
      </c>
      <c r="AO34" s="131">
        <v>36526</v>
      </c>
      <c r="AP34" s="74" t="str">
        <v>站内</v>
      </c>
      <c r="AQ34" s="74" t="str">
        <v>天猫花西子旗舰店-万相台</v>
      </c>
      <c r="AR34" s="74"/>
      <c r="AS34" s="74" t="str">
        <v>天猫花西子匠泽店-万相台-会员快</v>
      </c>
      <c r="AT34" s="74" t="str">
        <v>花西子</v>
      </c>
    </row>
    <row r="35">
      <c r="A35" s="132" t="str">
        <v>0314402379c8ffcff3f0d6cfb2be0002</v>
      </c>
      <c r="B35" s="132"/>
      <c r="C35" s="132"/>
      <c r="D35" s="132" t="str">
        <v>ycss02;</v>
      </c>
      <c r="E35" s="132"/>
      <c r="F35" s="82"/>
      <c r="G35" s="132" t="str">
        <v>0.00</v>
      </c>
      <c r="H35" s="132"/>
      <c r="I35" s="132" t="str">
        <v>0.00</v>
      </c>
      <c r="J35" s="132"/>
      <c r="K35" s="132" t="str">
        <v>0.00</v>
      </c>
      <c r="L35" s="132"/>
      <c r="M35" s="132" t="str">
        <v>0.00</v>
      </c>
      <c r="N35" s="132"/>
      <c r="O35" s="132" t="str">
        <v>0.00</v>
      </c>
      <c r="P35" s="132"/>
      <c r="Q35" s="132" t="str">
        <v>0.00</v>
      </c>
      <c r="R35" s="132"/>
      <c r="S35" s="132" t="str">
        <v>未完结</v>
      </c>
      <c r="T35" s="132"/>
      <c r="U35" s="74"/>
      <c r="V35" s="74" t="str">
        <v>广东省广告集团股份有限公司</v>
      </c>
      <c r="W35" s="74" t="str">
        <v>抖音-巨量纵横</v>
      </c>
      <c r="X35" s="74" t="s">
        <v>88</v>
      </c>
      <c r="Y35" s="74" t="str">
        <v>AD信息流</v>
      </c>
      <c r="Z35" s="74"/>
      <c r="AA35" s="74" t="str">
        <v>是</v>
      </c>
      <c r="AB35" s="74" t="str">
        <v>是</v>
      </c>
      <c r="AC35" s="74" t="str">
        <v>否</v>
      </c>
      <c r="AD35" s="74" t="str">
        <v>是</v>
      </c>
      <c r="AE35" s="74"/>
      <c r="AF35" s="74"/>
      <c r="AG35" s="74"/>
      <c r="AH35" s="74" t="str">
        <v>白纸（张浩霖）</v>
      </c>
      <c r="AI35" s="74"/>
      <c r="AJ35" s="74" t="str">
        <v>杭州宜格化妆品有限公司</v>
      </c>
      <c r="AK35" s="74"/>
      <c r="AL35" s="74"/>
      <c r="AM35" s="74"/>
      <c r="AN35" s="74" t="str">
        <v>自投</v>
      </c>
      <c r="AO35" s="131">
        <v>36526</v>
      </c>
      <c r="AP35" s="74" t="str">
        <v>站外</v>
      </c>
      <c r="AQ35" s="74" t="s">
        <v>88</v>
      </c>
      <c r="AR35" s="74"/>
      <c r="AS35" s="74" t="s">
        <v>88</v>
      </c>
      <c r="AT35" s="74" t="str">
        <v>花西子</v>
      </c>
    </row>
    <row r="36">
      <c r="A36" s="132" t="str">
        <v>031440237ac8ffcff3f0d6cfb2be0002</v>
      </c>
      <c r="B36" s="132"/>
      <c r="C36" s="132"/>
      <c r="D36" s="132" t="str">
        <v>ycss02;</v>
      </c>
      <c r="E36" s="132"/>
      <c r="F36" s="82"/>
      <c r="G36" s="132" t="str">
        <v>0.00</v>
      </c>
      <c r="H36" s="132"/>
      <c r="I36" s="132" t="str">
        <v>0.00</v>
      </c>
      <c r="J36" s="132"/>
      <c r="K36" s="132" t="str">
        <v>0.00</v>
      </c>
      <c r="L36" s="132"/>
      <c r="M36" s="132" t="str">
        <v>0.00</v>
      </c>
      <c r="N36" s="132"/>
      <c r="O36" s="132" t="str">
        <v>0.00</v>
      </c>
      <c r="P36" s="132"/>
      <c r="Q36" s="132" t="str">
        <v>0.00</v>
      </c>
      <c r="R36" s="132"/>
      <c r="S36" s="132" t="str">
        <v>未完结</v>
      </c>
      <c r="T36" s="132"/>
      <c r="U36" s="74"/>
      <c r="V36" s="74" t="str">
        <v>广东省广告集团股份有限公司</v>
      </c>
      <c r="W36" s="74" t="str">
        <v>抖音-巨量纵横</v>
      </c>
      <c r="X36" s="74" t="s">
        <v>79</v>
      </c>
      <c r="Y36" s="74" t="str">
        <v>AD信息流</v>
      </c>
      <c r="Z36" s="74"/>
      <c r="AA36" s="74" t="str">
        <v>是</v>
      </c>
      <c r="AB36" s="74" t="str">
        <v>是</v>
      </c>
      <c r="AC36" s="74" t="str">
        <v>否</v>
      </c>
      <c r="AD36" s="74" t="str">
        <v>是</v>
      </c>
      <c r="AE36" s="74"/>
      <c r="AF36" s="74"/>
      <c r="AG36" s="74"/>
      <c r="AH36" s="74" t="str">
        <v>白纸（张浩霖）</v>
      </c>
      <c r="AI36" s="74"/>
      <c r="AJ36" s="74" t="str">
        <v>杭州宜格化妆品有限公司</v>
      </c>
      <c r="AK36" s="74"/>
      <c r="AL36" s="74"/>
      <c r="AM36" s="74"/>
      <c r="AN36" s="74" t="str">
        <v>自投</v>
      </c>
      <c r="AO36" s="131">
        <v>36526</v>
      </c>
      <c r="AP36" s="74" t="str">
        <v>站外</v>
      </c>
      <c r="AQ36" s="74" t="s">
        <v>79</v>
      </c>
      <c r="AR36" s="74"/>
      <c r="AS36" s="74" t="s">
        <v>79</v>
      </c>
      <c r="AT36" s="74" t="str">
        <v>花西子</v>
      </c>
    </row>
    <row r="37">
      <c r="A37" s="132" t="str">
        <v>031440237bb8ffcff3f0d6cfb2be0002</v>
      </c>
      <c r="B37" s="132"/>
      <c r="C37" s="132"/>
      <c r="D37" s="132" t="str">
        <v>ycss02;</v>
      </c>
      <c r="E37" s="132"/>
      <c r="F37" s="82"/>
      <c r="G37" s="132" t="str">
        <v>0.00</v>
      </c>
      <c r="H37" s="132"/>
      <c r="I37" s="132" t="str">
        <v>0.00</v>
      </c>
      <c r="J37" s="132"/>
      <c r="K37" s="132" t="str">
        <v>0.00</v>
      </c>
      <c r="L37" s="132"/>
      <c r="M37" s="132" t="str">
        <v>0.00</v>
      </c>
      <c r="N37" s="132"/>
      <c r="O37" s="132" t="str">
        <v>0.00</v>
      </c>
      <c r="P37" s="132"/>
      <c r="Q37" s="132" t="str">
        <v>0.00</v>
      </c>
      <c r="R37" s="132"/>
      <c r="S37" s="132" t="str">
        <v>未完结</v>
      </c>
      <c r="T37" s="132"/>
      <c r="U37" s="74"/>
      <c r="V37" s="74" t="str">
        <v>广东省广告集团股份有限公司</v>
      </c>
      <c r="W37" s="74" t="str">
        <v>抖音-巨量纵横</v>
      </c>
      <c r="X37" s="74" t="s">
        <v>80</v>
      </c>
      <c r="Y37" s="74" t="str">
        <v>AD信息流</v>
      </c>
      <c r="Z37" s="74"/>
      <c r="AA37" s="74" t="str">
        <v>是</v>
      </c>
      <c r="AB37" s="74" t="str">
        <v>是</v>
      </c>
      <c r="AC37" s="74" t="str">
        <v>否</v>
      </c>
      <c r="AD37" s="74" t="str">
        <v>是</v>
      </c>
      <c r="AE37" s="74"/>
      <c r="AF37" s="74"/>
      <c r="AG37" s="74"/>
      <c r="AH37" s="74" t="str">
        <v>白纸（张浩霖）</v>
      </c>
      <c r="AI37" s="74"/>
      <c r="AJ37" s="74" t="str">
        <v>杭州宜格化妆品有限公司</v>
      </c>
      <c r="AK37" s="74"/>
      <c r="AL37" s="74"/>
      <c r="AM37" s="74"/>
      <c r="AN37" s="74" t="str">
        <v>自投</v>
      </c>
      <c r="AO37" s="131">
        <v>36526</v>
      </c>
      <c r="AP37" s="74" t="str">
        <v>站外</v>
      </c>
      <c r="AQ37" s="74" t="s">
        <v>80</v>
      </c>
      <c r="AR37" s="74"/>
      <c r="AS37" s="74" t="s">
        <v>80</v>
      </c>
      <c r="AT37" s="74" t="str">
        <v>花西子</v>
      </c>
    </row>
    <row r="38">
      <c r="A38" s="132" t="str">
        <v>031440237cb8ffcff3f0d6cfb2be0002</v>
      </c>
      <c r="B38" s="132"/>
      <c r="C38" s="132"/>
      <c r="D38" s="132" t="str">
        <v>ycss02;</v>
      </c>
      <c r="E38" s="132"/>
      <c r="F38" s="82"/>
      <c r="G38" s="132" t="str">
        <v>0.00</v>
      </c>
      <c r="H38" s="132"/>
      <c r="I38" s="132" t="str">
        <v>0.00</v>
      </c>
      <c r="J38" s="132"/>
      <c r="K38" s="132" t="str">
        <v>0.00</v>
      </c>
      <c r="L38" s="132"/>
      <c r="M38" s="132" t="str">
        <v>0.00</v>
      </c>
      <c r="N38" s="132"/>
      <c r="O38" s="132" t="str">
        <v>0.00</v>
      </c>
      <c r="P38" s="132"/>
      <c r="Q38" s="132" t="str">
        <v>0.00</v>
      </c>
      <c r="R38" s="132"/>
      <c r="S38" s="132" t="str">
        <v>未完结</v>
      </c>
      <c r="T38" s="132"/>
      <c r="U38" s="74"/>
      <c r="V38" s="74" t="str">
        <v>广东省广告集团股份有限公司</v>
      </c>
      <c r="W38" s="74" t="str">
        <v>抖音-巨量纵横</v>
      </c>
      <c r="X38" s="74" t="s">
        <v>81</v>
      </c>
      <c r="Y38" s="74" t="str">
        <v>AD信息流</v>
      </c>
      <c r="Z38" s="74"/>
      <c r="AA38" s="74" t="str">
        <v>是</v>
      </c>
      <c r="AB38" s="74" t="str">
        <v>是</v>
      </c>
      <c r="AC38" s="74" t="str">
        <v>否</v>
      </c>
      <c r="AD38" s="74" t="str">
        <v>是</v>
      </c>
      <c r="AE38" s="74"/>
      <c r="AF38" s="74"/>
      <c r="AG38" s="74"/>
      <c r="AH38" s="74" t="str">
        <v>白纸（张浩霖）</v>
      </c>
      <c r="AI38" s="74"/>
      <c r="AJ38" s="74" t="str">
        <v>杭州宜格化妆品有限公司</v>
      </c>
      <c r="AK38" s="74"/>
      <c r="AL38" s="74"/>
      <c r="AM38" s="74"/>
      <c r="AN38" s="74" t="str">
        <v>自投</v>
      </c>
      <c r="AO38" s="131">
        <v>36526</v>
      </c>
      <c r="AP38" s="74" t="str">
        <v>站外</v>
      </c>
      <c r="AQ38" s="74" t="s">
        <v>81</v>
      </c>
      <c r="AR38" s="74"/>
      <c r="AS38" s="74" t="s">
        <v>81</v>
      </c>
      <c r="AT38" s="74" t="str">
        <v>花西子</v>
      </c>
    </row>
    <row r="39">
      <c r="A39" s="132" t="str">
        <v>031440237db8ffcff3f0d6cfb2be0002</v>
      </c>
      <c r="B39" s="132"/>
      <c r="C39" s="132"/>
      <c r="D39" s="132" t="str">
        <v>ycss02;</v>
      </c>
      <c r="E39" s="132"/>
      <c r="F39" s="82"/>
      <c r="G39" s="132" t="str">
        <v>0.00</v>
      </c>
      <c r="H39" s="132"/>
      <c r="I39" s="132" t="str">
        <v>0.00</v>
      </c>
      <c r="J39" s="132"/>
      <c r="K39" s="132" t="str">
        <v>0.00</v>
      </c>
      <c r="L39" s="132"/>
      <c r="M39" s="132" t="str">
        <v>0.00</v>
      </c>
      <c r="N39" s="132"/>
      <c r="O39" s="132" t="str">
        <v>0.00</v>
      </c>
      <c r="P39" s="132"/>
      <c r="Q39" s="132" t="str">
        <v>0.00</v>
      </c>
      <c r="R39" s="132"/>
      <c r="S39" s="132" t="str">
        <v>未完结</v>
      </c>
      <c r="T39" s="132"/>
      <c r="U39" s="74"/>
      <c r="V39" s="74" t="str">
        <v>群邑（上海）广告有限公司</v>
      </c>
      <c r="W39" s="74" t="str">
        <v>抖音-巨量纵横</v>
      </c>
      <c r="X39" s="74" t="s">
        <v>94</v>
      </c>
      <c r="Y39" s="74" t="str">
        <v>AD信息流</v>
      </c>
      <c r="Z39" s="74"/>
      <c r="AA39" s="74" t="str">
        <v>是</v>
      </c>
      <c r="AB39" s="74" t="str">
        <v>是</v>
      </c>
      <c r="AC39" s="74" t="str">
        <v>否</v>
      </c>
      <c r="AD39" s="74" t="str">
        <v>是</v>
      </c>
      <c r="AE39" s="74"/>
      <c r="AF39" s="74"/>
      <c r="AG39" s="74"/>
      <c r="AH39" s="74" t="str">
        <v>白纸（张浩霖）</v>
      </c>
      <c r="AI39" s="74"/>
      <c r="AJ39" s="74" t="str">
        <v>杭州宜格化妆品有限公司</v>
      </c>
      <c r="AK39" s="74"/>
      <c r="AL39" s="74"/>
      <c r="AM39" s="74"/>
      <c r="AN39" s="74" t="str">
        <v>自投</v>
      </c>
      <c r="AO39" s="131">
        <v>36526</v>
      </c>
      <c r="AP39" s="74" t="str">
        <v>站外</v>
      </c>
      <c r="AQ39" s="74" t="s">
        <v>94</v>
      </c>
      <c r="AR39" s="74"/>
      <c r="AS39" s="74" t="s">
        <v>94</v>
      </c>
      <c r="AT39" s="74" t="str">
        <v>花西子</v>
      </c>
    </row>
    <row r="40">
      <c r="A40" s="132" t="str">
        <v>031440237eb8ffcff3f0d6cfb2be0002</v>
      </c>
      <c r="B40" s="132"/>
      <c r="C40" s="132"/>
      <c r="D40" s="132" t="str">
        <v>ycss02;</v>
      </c>
      <c r="E40" s="132"/>
      <c r="F40" s="82"/>
      <c r="G40" s="132" t="str">
        <v>0.00</v>
      </c>
      <c r="H40" s="132"/>
      <c r="I40" s="132" t="str">
        <v>0.00</v>
      </c>
      <c r="J40" s="132"/>
      <c r="K40" s="132" t="str">
        <v>0.00</v>
      </c>
      <c r="L40" s="132"/>
      <c r="M40" s="132" t="str">
        <v>0.00</v>
      </c>
      <c r="N40" s="132"/>
      <c r="O40" s="132" t="str">
        <v>0.00</v>
      </c>
      <c r="P40" s="132"/>
      <c r="Q40" s="132" t="str">
        <v>0.00</v>
      </c>
      <c r="R40" s="132"/>
      <c r="S40" s="132" t="str">
        <v>未完结</v>
      </c>
      <c r="T40" s="132"/>
      <c r="U40" s="74"/>
      <c r="V40" s="74" t="str">
        <v>群邑（上海）广告有限公司</v>
      </c>
      <c r="W40" s="74" t="str">
        <v>抖音-巨量纵横</v>
      </c>
      <c r="X40" s="74" t="s">
        <v>82</v>
      </c>
      <c r="Y40" s="74" t="str">
        <v>AD信息流</v>
      </c>
      <c r="Z40" s="74"/>
      <c r="AA40" s="74" t="str">
        <v>是</v>
      </c>
      <c r="AB40" s="74" t="str">
        <v>是</v>
      </c>
      <c r="AC40" s="74" t="str">
        <v>否</v>
      </c>
      <c r="AD40" s="74" t="str">
        <v>是</v>
      </c>
      <c r="AE40" s="74"/>
      <c r="AF40" s="74"/>
      <c r="AG40" s="74"/>
      <c r="AH40" s="74" t="str">
        <v>白纸（张浩霖）</v>
      </c>
      <c r="AI40" s="74"/>
      <c r="AJ40" s="74" t="str">
        <v>杭州宜格化妆品有限公司</v>
      </c>
      <c r="AK40" s="74"/>
      <c r="AL40" s="74"/>
      <c r="AM40" s="74"/>
      <c r="AN40" s="74" t="str">
        <v>自投</v>
      </c>
      <c r="AO40" s="131">
        <v>36526</v>
      </c>
      <c r="AP40" s="74" t="str">
        <v>站外</v>
      </c>
      <c r="AQ40" s="74" t="s">
        <v>82</v>
      </c>
      <c r="AR40" s="74"/>
      <c r="AS40" s="74" t="s">
        <v>82</v>
      </c>
      <c r="AT40" s="74" t="str">
        <v>花西子</v>
      </c>
    </row>
    <row r="41">
      <c r="A41" s="132" t="str">
        <v>031440237fa8ffcff3f0d6cfb2be0002</v>
      </c>
      <c r="B41" s="132"/>
      <c r="C41" s="132"/>
      <c r="D41" s="132" t="str">
        <v>ycss02;</v>
      </c>
      <c r="E41" s="132"/>
      <c r="F41" s="82"/>
      <c r="G41" s="132" t="str">
        <v>0.00</v>
      </c>
      <c r="H41" s="132"/>
      <c r="I41" s="132" t="str">
        <v>0.00</v>
      </c>
      <c r="J41" s="132"/>
      <c r="K41" s="132" t="str">
        <v>0.00</v>
      </c>
      <c r="L41" s="132"/>
      <c r="M41" s="132" t="str">
        <v>0.00</v>
      </c>
      <c r="N41" s="132"/>
      <c r="O41" s="132" t="str">
        <v>0.00</v>
      </c>
      <c r="P41" s="132"/>
      <c r="Q41" s="132" t="str">
        <v>0.00</v>
      </c>
      <c r="R41" s="132"/>
      <c r="S41" s="132" t="str">
        <v>未完结</v>
      </c>
      <c r="T41" s="132"/>
      <c r="U41" s="74"/>
      <c r="V41" s="74" t="str">
        <v>北京九合互动文化传播有限公司</v>
      </c>
      <c r="W41" s="74" t="str">
        <v>Uni Desk</v>
      </c>
      <c r="X41" s="74" t="str">
        <v>tb963892057577</v>
      </c>
      <c r="Y41" s="74" t="str">
        <v>UD信息流</v>
      </c>
      <c r="Z41" s="74"/>
      <c r="AA41" s="74" t="str">
        <v>是</v>
      </c>
      <c r="AB41" s="74" t="str">
        <v>是</v>
      </c>
      <c r="AC41" s="74" t="str">
        <v>否</v>
      </c>
      <c r="AD41" s="74" t="str">
        <v>是</v>
      </c>
      <c r="AE41" s="74"/>
      <c r="AF41" s="74"/>
      <c r="AG41" s="74"/>
      <c r="AH41" s="74" t="str">
        <v>白纸（张浩霖）</v>
      </c>
      <c r="AI41" s="74"/>
      <c r="AJ41" s="74" t="str">
        <v>杭州宜格化妆品有限公司</v>
      </c>
      <c r="AK41" s="74"/>
      <c r="AL41" s="74"/>
      <c r="AM41" s="74"/>
      <c r="AN41" s="74" t="str">
        <v>自投</v>
      </c>
      <c r="AO41" s="131">
        <v>36526</v>
      </c>
      <c r="AP41" s="74" t="str">
        <v>站外</v>
      </c>
      <c r="AQ41" s="74" t="str">
        <v>tb963892057577</v>
      </c>
      <c r="AR41" s="74"/>
      <c r="AS41" s="74" t="str">
        <v>tb963892057577</v>
      </c>
      <c r="AT41" s="74" t="str">
        <v>花西子</v>
      </c>
    </row>
    <row r="42">
      <c r="A42" s="132" t="str">
        <v>0314402380a8ffcff3f0d6cfb2be0002</v>
      </c>
      <c r="B42" s="132"/>
      <c r="C42" s="132"/>
      <c r="D42" s="132" t="str">
        <v>ycss02;</v>
      </c>
      <c r="E42" s="132"/>
      <c r="F42" s="82"/>
      <c r="G42" s="132" t="str">
        <v>0.00</v>
      </c>
      <c r="H42" s="132"/>
      <c r="I42" s="132" t="str">
        <v>0.00</v>
      </c>
      <c r="J42" s="132"/>
      <c r="K42" s="132" t="str">
        <v>0.00</v>
      </c>
      <c r="L42" s="132"/>
      <c r="M42" s="132" t="str">
        <v>0.00</v>
      </c>
      <c r="N42" s="132"/>
      <c r="O42" s="132" t="str">
        <v>0.00</v>
      </c>
      <c r="P42" s="132"/>
      <c r="Q42" s="132" t="str">
        <v>0.00</v>
      </c>
      <c r="R42" s="132"/>
      <c r="S42" s="132" t="str">
        <v>未完结</v>
      </c>
      <c r="T42" s="132"/>
      <c r="U42" s="74"/>
      <c r="V42" s="74" t="str">
        <v>上海宇枫电子商务有限公司</v>
      </c>
      <c r="W42" s="74" t="str">
        <v>超级粉丝通</v>
      </c>
      <c r="X42" s="74" t="s">
        <v>84</v>
      </c>
      <c r="Y42" s="74"/>
      <c r="Z42" s="74"/>
      <c r="AA42" s="74" t="str">
        <v>是</v>
      </c>
      <c r="AB42" s="74" t="str">
        <v>是</v>
      </c>
      <c r="AC42" s="74" t="str">
        <v>否</v>
      </c>
      <c r="AD42" s="74" t="str">
        <v>是</v>
      </c>
      <c r="AE42" s="74"/>
      <c r="AF42" s="74"/>
      <c r="AG42" s="74"/>
      <c r="AH42" s="74" t="str">
        <v>白纸（张浩霖）</v>
      </c>
      <c r="AI42" s="74"/>
      <c r="AJ42" s="74" t="str">
        <v>杭州宜格化妆品有限公司</v>
      </c>
      <c r="AK42" s="74"/>
      <c r="AL42" s="74"/>
      <c r="AM42" s="74"/>
      <c r="AN42" s="74" t="str">
        <v>自投</v>
      </c>
      <c r="AO42" s="131">
        <v>36526</v>
      </c>
      <c r="AP42" s="74" t="str">
        <v>站外</v>
      </c>
      <c r="AQ42" s="74" t="s">
        <v>84</v>
      </c>
      <c r="AR42" s="74"/>
      <c r="AS42" s="74" t="s">
        <v>84</v>
      </c>
      <c r="AT42" s="74" t="str">
        <v>花西子</v>
      </c>
    </row>
    <row r="43">
      <c r="A43" s="132" t="str">
        <v>0314402381a8ffcff3f0d6cfb2be0002</v>
      </c>
      <c r="B43" s="132"/>
      <c r="C43" s="132"/>
      <c r="D43" s="132" t="str">
        <v>ycss02;</v>
      </c>
      <c r="E43" s="132"/>
      <c r="F43" s="82"/>
      <c r="G43" s="132" t="str">
        <v>0.00</v>
      </c>
      <c r="H43" s="132"/>
      <c r="I43" s="132" t="str">
        <v>0.00</v>
      </c>
      <c r="J43" s="132"/>
      <c r="K43" s="132" t="str">
        <v>0.00</v>
      </c>
      <c r="L43" s="132"/>
      <c r="M43" s="132" t="str">
        <v>0.00</v>
      </c>
      <c r="N43" s="132"/>
      <c r="O43" s="132" t="str">
        <v>0.00</v>
      </c>
      <c r="P43" s="132"/>
      <c r="Q43" s="132" t="str">
        <v>0.00</v>
      </c>
      <c r="R43" s="132"/>
      <c r="S43" s="132" t="str">
        <v>未完结</v>
      </c>
      <c r="T43" s="132"/>
      <c r="U43" s="74"/>
      <c r="V43" s="74" t="str">
        <v>北京云锐国际文化传媒有限公司</v>
      </c>
      <c r="W43" s="74" t="str">
        <v>百度营销</v>
      </c>
      <c r="X43" s="74" t="str">
        <v>杭州宜格化妆品有限公司1（shvipyr花西子3）</v>
      </c>
      <c r="Y43" s="74"/>
      <c r="Z43" s="74"/>
      <c r="AA43" s="74" t="str">
        <v>是</v>
      </c>
      <c r="AB43" s="74" t="str">
        <v>是</v>
      </c>
      <c r="AC43" s="74" t="str">
        <v>否</v>
      </c>
      <c r="AD43" s="74" t="str">
        <v>是</v>
      </c>
      <c r="AE43" s="74"/>
      <c r="AF43" s="74"/>
      <c r="AG43" s="74"/>
      <c r="AH43" s="74" t="str">
        <v>白纸（张浩霖）</v>
      </c>
      <c r="AI43" s="74"/>
      <c r="AJ43" s="74" t="str">
        <v>杭州宜格化妆品有限公司</v>
      </c>
      <c r="AK43" s="74"/>
      <c r="AL43" s="74"/>
      <c r="AM43" s="74"/>
      <c r="AN43" s="74" t="str">
        <v>自投</v>
      </c>
      <c r="AO43" s="131">
        <v>36526</v>
      </c>
      <c r="AP43" s="74" t="str">
        <v>站外</v>
      </c>
      <c r="AQ43" s="74" t="str">
        <v>杭州宜格化妆品有限公司1（shvipyr花西子3）</v>
      </c>
      <c r="AR43" s="74"/>
      <c r="AS43" s="74" t="str">
        <v>杭州宜格化妆品有限公司1（shvipyr花西子3）</v>
      </c>
      <c r="AT43" s="74" t="str">
        <v>花西子</v>
      </c>
    </row>
    <row r="44">
      <c r="A44" s="132" t="str">
        <v>031440238298ffcff3f0d6cfb2be0002</v>
      </c>
      <c r="B44" s="132"/>
      <c r="C44" s="132"/>
      <c r="D44" s="132" t="str">
        <v>ycss02;</v>
      </c>
      <c r="E44" s="132"/>
      <c r="F44" s="82"/>
      <c r="G44" s="132" t="str">
        <v>0.00</v>
      </c>
      <c r="H44" s="132"/>
      <c r="I44" s="132" t="str">
        <v>0.00</v>
      </c>
      <c r="J44" s="132"/>
      <c r="K44" s="132" t="str">
        <v>0.00</v>
      </c>
      <c r="L44" s="132"/>
      <c r="M44" s="132" t="str">
        <v>0.00</v>
      </c>
      <c r="N44" s="132"/>
      <c r="O44" s="132" t="str">
        <v>0.00</v>
      </c>
      <c r="P44" s="132"/>
      <c r="Q44" s="132" t="str">
        <v>0.00</v>
      </c>
      <c r="R44" s="132"/>
      <c r="S44" s="132" t="str">
        <v>未完结</v>
      </c>
      <c r="T44" s="132"/>
      <c r="U44" s="74"/>
      <c r="V44" s="74" t="str">
        <v>北京起量文化传媒有限公司</v>
      </c>
      <c r="W44" s="74" t="str">
        <v>磁力引擎</v>
      </c>
      <c r="X44" s="74">
        <v>13362198950</v>
      </c>
      <c r="Y44" s="74" t="str">
        <v>磁力引擎</v>
      </c>
      <c r="Z44" s="74"/>
      <c r="AA44" s="74" t="str">
        <v>是</v>
      </c>
      <c r="AB44" s="74" t="str">
        <v>是</v>
      </c>
      <c r="AC44" s="74" t="str">
        <v>否</v>
      </c>
      <c r="AD44" s="74" t="str">
        <v>是</v>
      </c>
      <c r="AE44" s="74"/>
      <c r="AF44" s="74"/>
      <c r="AG44" s="74"/>
      <c r="AH44" s="74" t="str">
        <v>白纸（张浩霖）</v>
      </c>
      <c r="AI44" s="74"/>
      <c r="AJ44" s="74" t="str">
        <v>杭州宜格化妆品有限公司</v>
      </c>
      <c r="AK44" s="74"/>
      <c r="AL44" s="74"/>
      <c r="AM44" s="74"/>
      <c r="AN44" s="74" t="str">
        <v>自投</v>
      </c>
      <c r="AO44" s="131">
        <v>36526</v>
      </c>
      <c r="AP44" s="74" t="str">
        <v>站外</v>
      </c>
      <c r="AQ44" s="74">
        <v>13362198950</v>
      </c>
      <c r="AR44" s="74"/>
      <c r="AS44" s="74">
        <v>13362198950</v>
      </c>
      <c r="AT44" s="74" t="str">
        <v>花西子</v>
      </c>
    </row>
    <row r="45">
      <c r="A45" s="132" t="str">
        <v>031440238388ffcff3f0d6cfb2be0002</v>
      </c>
      <c r="B45" s="132"/>
      <c r="C45" s="132"/>
      <c r="D45" s="132" t="str">
        <v>ycss02;</v>
      </c>
      <c r="E45" s="132"/>
      <c r="F45" s="82"/>
      <c r="G45" s="132" t="str">
        <v>0.00</v>
      </c>
      <c r="H45" s="132"/>
      <c r="I45" s="132" t="str">
        <v>0.00</v>
      </c>
      <c r="J45" s="132"/>
      <c r="K45" s="132" t="str">
        <v>0.00</v>
      </c>
      <c r="L45" s="132"/>
      <c r="M45" s="132" t="str">
        <v>0.00</v>
      </c>
      <c r="N45" s="132"/>
      <c r="O45" s="132" t="str">
        <v>0.00</v>
      </c>
      <c r="P45" s="132"/>
      <c r="Q45" s="132" t="str">
        <v>0.00</v>
      </c>
      <c r="R45" s="132"/>
      <c r="S45" s="132" t="str">
        <v>未完结</v>
      </c>
      <c r="T45" s="132"/>
      <c r="U45" s="74"/>
      <c r="V45" s="74" t="str">
        <v>北京起量文化传媒有限公司</v>
      </c>
      <c r="W45" s="74" t="str">
        <v>快手</v>
      </c>
      <c r="X45" s="74">
        <v>13396586970</v>
      </c>
      <c r="Y45" s="74" t="str">
        <v>磁力金牛</v>
      </c>
      <c r="Z45" s="74"/>
      <c r="AA45" s="74" t="str">
        <v>是</v>
      </c>
      <c r="AB45" s="74" t="str">
        <v>是</v>
      </c>
      <c r="AC45" s="74" t="str">
        <v>否</v>
      </c>
      <c r="AD45" s="74" t="str">
        <v>是</v>
      </c>
      <c r="AE45" s="74"/>
      <c r="AF45" s="74"/>
      <c r="AG45" s="74"/>
      <c r="AH45" s="74" t="str">
        <v>白纸（张浩霖）</v>
      </c>
      <c r="AI45" s="74"/>
      <c r="AJ45" s="74" t="str">
        <v>杭州宜格化妆品有限公司</v>
      </c>
      <c r="AK45" s="74"/>
      <c r="AL45" s="74"/>
      <c r="AM45" s="74"/>
      <c r="AN45" s="74" t="str">
        <v>自投</v>
      </c>
      <c r="AO45" s="131">
        <v>36526</v>
      </c>
      <c r="AP45" s="74" t="str">
        <v>站外</v>
      </c>
      <c r="AQ45" s="74">
        <v>13396586970</v>
      </c>
      <c r="AR45" s="74"/>
      <c r="AS45" s="74">
        <v>13396586970</v>
      </c>
      <c r="AT45" s="74" t="str">
        <v>花西子</v>
      </c>
    </row>
    <row r="46">
      <c r="A46" s="132" t="str">
        <v>031440238488ffcff3f0d6cfb2be0002</v>
      </c>
      <c r="B46" s="132"/>
      <c r="C46" s="132"/>
      <c r="D46" s="132" t="str">
        <v>ycss02;</v>
      </c>
      <c r="E46" s="132"/>
      <c r="F46" s="82"/>
      <c r="G46" s="132" t="str">
        <v>0.00</v>
      </c>
      <c r="H46" s="132"/>
      <c r="I46" s="132" t="str">
        <v>0.00</v>
      </c>
      <c r="J46" s="132"/>
      <c r="K46" s="132" t="str">
        <v>0.00</v>
      </c>
      <c r="L46" s="132"/>
      <c r="M46" s="132" t="str">
        <v>0.00</v>
      </c>
      <c r="N46" s="132"/>
      <c r="O46" s="132" t="str">
        <v>0.00</v>
      </c>
      <c r="P46" s="132"/>
      <c r="Q46" s="132" t="str">
        <v>0.00</v>
      </c>
      <c r="R46" s="132"/>
      <c r="S46" s="132" t="str">
        <v>未完结</v>
      </c>
      <c r="T46" s="132"/>
      <c r="U46" s="74"/>
      <c r="V46" s="74" t="str">
        <v>杭州炬美网络科技有限公司</v>
      </c>
      <c r="W46" s="74" t="str">
        <v>腾讯ADQ</v>
      </c>
      <c r="X46" s="74" t="str">
        <v>微信扫码登录</v>
      </c>
      <c r="Y46" s="74" t="str">
        <v>微信-ADQ推广</v>
      </c>
      <c r="Z46" s="74"/>
      <c r="AA46" s="74" t="str">
        <v>是</v>
      </c>
      <c r="AB46" s="74" t="str">
        <v>是</v>
      </c>
      <c r="AC46" s="74" t="str">
        <v>否</v>
      </c>
      <c r="AD46" s="74" t="str">
        <v>是</v>
      </c>
      <c r="AE46" s="74"/>
      <c r="AF46" s="74"/>
      <c r="AG46" s="74"/>
      <c r="AH46" s="74" t="str">
        <v>白纸（张浩霖）</v>
      </c>
      <c r="AI46" s="74"/>
      <c r="AJ46" s="74" t="str">
        <v>杭州宜格化妆品有限公司</v>
      </c>
      <c r="AK46" s="74"/>
      <c r="AL46" s="74"/>
      <c r="AM46" s="74"/>
      <c r="AN46" s="74" t="str">
        <v>自投</v>
      </c>
      <c r="AO46" s="131">
        <v>36526</v>
      </c>
      <c r="AP46" s="74" t="str">
        <v>站外</v>
      </c>
      <c r="AQ46" s="74" t="str">
        <v>微信扫码登录</v>
      </c>
      <c r="AR46" s="74"/>
      <c r="AS46" s="74" t="str">
        <v>微信扫码登录</v>
      </c>
      <c r="AT46" s="74" t="str">
        <v>花西子</v>
      </c>
    </row>
    <row r="47">
      <c r="A47" s="132" t="str">
        <v>031440238598ffcff3f0d6cfb2be0002</v>
      </c>
      <c r="B47" s="132"/>
      <c r="C47" s="132"/>
      <c r="D47" s="132" t="str">
        <v>ycss02;</v>
      </c>
      <c r="E47" s="132"/>
      <c r="F47" s="82"/>
      <c r="G47" s="132" t="str">
        <v>0.00</v>
      </c>
      <c r="H47" s="132"/>
      <c r="I47" s="132" t="str">
        <v>0.00</v>
      </c>
      <c r="J47" s="132"/>
      <c r="K47" s="132" t="str">
        <v>0.00</v>
      </c>
      <c r="L47" s="132"/>
      <c r="M47" s="132" t="str">
        <v>0.00</v>
      </c>
      <c r="N47" s="132"/>
      <c r="O47" s="132" t="str">
        <v>0.00</v>
      </c>
      <c r="P47" s="132"/>
      <c r="Q47" s="132" t="str">
        <v>0.00</v>
      </c>
      <c r="R47" s="132"/>
      <c r="S47" s="132" t="str">
        <v>未完结</v>
      </c>
      <c r="T47" s="132"/>
      <c r="U47" s="74"/>
      <c r="V47" s="74" t="str">
        <v>北京云锐国际文化传媒有限公司</v>
      </c>
      <c r="W47" s="74" t="str">
        <v>抖音</v>
      </c>
      <c r="X47" s="74" t="str">
        <v>1727265617683469</v>
      </c>
      <c r="Y47" s="74" t="str">
        <v>千川信息流</v>
      </c>
      <c r="Z47" s="74"/>
      <c r="AA47" s="74"/>
      <c r="AB47" s="74"/>
      <c r="AC47" s="74" t="str">
        <v>否</v>
      </c>
      <c r="AD47" s="74"/>
      <c r="AE47" s="74"/>
      <c r="AF47" s="74"/>
      <c r="AG47" s="74"/>
      <c r="AH47" s="74" t="str">
        <v>兴泉（韩兴泉）</v>
      </c>
      <c r="AI47" s="74"/>
      <c r="AJ47" s="74" t="str">
        <v>杭州宜格化妆品有限公司</v>
      </c>
      <c r="AK47" s="74"/>
      <c r="AL47" s="74"/>
      <c r="AM47" s="74"/>
      <c r="AN47" s="74" t="str">
        <v>自投</v>
      </c>
      <c r="AO47" s="131">
        <v>36526</v>
      </c>
      <c r="AP47" s="74" t="str">
        <v>站外</v>
      </c>
      <c r="AQ47" s="74" t="str">
        <v>1727265617683469</v>
      </c>
      <c r="AR47" s="74"/>
      <c r="AS47" s="74" t="str">
        <v>云锐-直播-官号2</v>
      </c>
      <c r="AT47" s="74" t="str">
        <v>花西子</v>
      </c>
    </row>
    <row r="48">
      <c r="A48" s="132" t="str">
        <v>031440238688ffcff3f0d6cfb2be0002</v>
      </c>
      <c r="B48" s="132"/>
      <c r="C48" s="132"/>
      <c r="D48" s="132" t="str">
        <v>ycss02;</v>
      </c>
      <c r="E48" s="132"/>
      <c r="F48" s="82"/>
      <c r="G48" s="132" t="str">
        <v>0.00</v>
      </c>
      <c r="H48" s="132"/>
      <c r="I48" s="132" t="str">
        <v>0.00</v>
      </c>
      <c r="J48" s="132"/>
      <c r="K48" s="132" t="str">
        <v>0.00</v>
      </c>
      <c r="L48" s="132"/>
      <c r="M48" s="132" t="str">
        <v>0.00</v>
      </c>
      <c r="N48" s="132"/>
      <c r="O48" s="132" t="str">
        <v>0.00</v>
      </c>
      <c r="P48" s="132"/>
      <c r="Q48" s="132" t="str">
        <v>0.00</v>
      </c>
      <c r="R48" s="132"/>
      <c r="S48" s="132" t="str">
        <v>未完结</v>
      </c>
      <c r="T48" s="132"/>
      <c r="U48" s="74"/>
      <c r="V48" s="74" t="str">
        <v>北京云锐国际文化传媒有限公司</v>
      </c>
      <c r="W48" s="74" t="str">
        <v>快手</v>
      </c>
      <c r="X48" s="74">
        <v>13304453</v>
      </c>
      <c r="Y48" s="74" t="str">
        <v>磁力金牛</v>
      </c>
      <c r="Z48" s="74"/>
      <c r="AA48" s="74"/>
      <c r="AB48" s="74"/>
      <c r="AC48" s="74" t="str">
        <v>否</v>
      </c>
      <c r="AD48" s="74"/>
      <c r="AE48" s="74"/>
      <c r="AF48" s="74"/>
      <c r="AG48" s="74"/>
      <c r="AH48" s="74" t="str">
        <v>难却（楼俞成达）</v>
      </c>
      <c r="AI48" s="74"/>
      <c r="AJ48" s="74" t="str">
        <v>杭州宜格化妆品有限公司</v>
      </c>
      <c r="AK48" s="74"/>
      <c r="AL48" s="74"/>
      <c r="AM48" s="74"/>
      <c r="AN48" s="74" t="str">
        <v>自投</v>
      </c>
      <c r="AO48" s="131">
        <v>36526</v>
      </c>
      <c r="AP48" s="74" t="str">
        <v>站外</v>
      </c>
      <c r="AQ48" s="74">
        <v>13304453</v>
      </c>
      <c r="AR48" s="74"/>
      <c r="AS48" s="74" t="str">
        <v>花西子Florasis-云锐测试</v>
      </c>
      <c r="AT48" s="74" t="str">
        <v>花西子</v>
      </c>
    </row>
    <row r="49">
      <c r="A49" s="132" t="str">
        <v>031440238788ffcff3f0d6cfb2be0002</v>
      </c>
      <c r="B49" s="132"/>
      <c r="C49" s="132"/>
      <c r="D49" s="132" t="str">
        <v>ycss02;</v>
      </c>
      <c r="E49" s="132"/>
      <c r="F49" s="82"/>
      <c r="G49" s="132" t="str">
        <v>0.00</v>
      </c>
      <c r="H49" s="132"/>
      <c r="I49" s="132" t="str">
        <v>0.00</v>
      </c>
      <c r="J49" s="132"/>
      <c r="K49" s="132" t="str">
        <v>0.00</v>
      </c>
      <c r="L49" s="132"/>
      <c r="M49" s="132" t="str">
        <v>0.00</v>
      </c>
      <c r="N49" s="132"/>
      <c r="O49" s="132" t="str">
        <v>0.00</v>
      </c>
      <c r="P49" s="132"/>
      <c r="Q49" s="132" t="str">
        <v>0.00</v>
      </c>
      <c r="R49" s="132"/>
      <c r="S49" s="132" t="str">
        <v>未完结</v>
      </c>
      <c r="T49" s="132"/>
      <c r="U49" s="74"/>
      <c r="V49" s="74" t="str">
        <v>广东省广告集团股份有限公司</v>
      </c>
      <c r="W49" s="74" t="str">
        <v>抖音</v>
      </c>
      <c r="X49" s="74" t="str">
        <v>1762866886323341</v>
      </c>
      <c r="Y49" s="74" t="str">
        <v>AD信息流</v>
      </c>
      <c r="Z49" s="74"/>
      <c r="AA49" s="74" t="str">
        <v>否</v>
      </c>
      <c r="AB49" s="74" t="str">
        <v>否</v>
      </c>
      <c r="AC49" s="74" t="str">
        <v>否</v>
      </c>
      <c r="AD49" s="74"/>
      <c r="AE49" s="74"/>
      <c r="AF49" s="74"/>
      <c r="AG49" s="74"/>
      <c r="AH49" s="74" t="str">
        <v>阿布（胡晓伟）</v>
      </c>
      <c r="AI49" s="74"/>
      <c r="AJ49" s="74" t="str">
        <v>杭州宜格化妆品有限公司</v>
      </c>
      <c r="AK49" s="74"/>
      <c r="AL49" s="74"/>
      <c r="AM49" s="74"/>
      <c r="AN49" s="74" t="str">
        <v>自投</v>
      </c>
      <c r="AO49" s="131">
        <v>36526</v>
      </c>
      <c r="AP49" s="74" t="str">
        <v>站外</v>
      </c>
      <c r="AQ49" s="74" t="str">
        <v>1762866886323341</v>
      </c>
      <c r="AR49" s="74"/>
      <c r="AS49" s="74" t="str">
        <v>abuHZP-天猫AD-省广-CID玉养气垫</v>
      </c>
      <c r="AT49" s="74" t="str">
        <v>花西子</v>
      </c>
    </row>
    <row r="50">
      <c r="A50" s="132" t="str">
        <v>031440238888ffcff3f0d6cfb2be0002</v>
      </c>
      <c r="B50" s="132"/>
      <c r="C50" s="132"/>
      <c r="D50" s="132" t="str">
        <v>ycss02;</v>
      </c>
      <c r="E50" s="132"/>
      <c r="F50" s="82"/>
      <c r="G50" s="132" t="str">
        <v>0.00</v>
      </c>
      <c r="H50" s="132"/>
      <c r="I50" s="132" t="str">
        <v>0.00</v>
      </c>
      <c r="J50" s="132"/>
      <c r="K50" s="132" t="str">
        <v>0.00</v>
      </c>
      <c r="L50" s="132"/>
      <c r="M50" s="132" t="str">
        <v>0.00</v>
      </c>
      <c r="N50" s="132"/>
      <c r="O50" s="132" t="str">
        <v>0.00</v>
      </c>
      <c r="P50" s="132"/>
      <c r="Q50" s="132" t="str">
        <v>0.00</v>
      </c>
      <c r="R50" s="132"/>
      <c r="S50" s="132" t="str">
        <v>未完结</v>
      </c>
      <c r="T50" s="132"/>
      <c r="U50" s="74"/>
      <c r="V50" s="74" t="str">
        <v>广东省广告集团股份有限公司</v>
      </c>
      <c r="W50" s="74" t="str">
        <v>抖音</v>
      </c>
      <c r="X50" s="74" t="str">
        <v>1758638395883534</v>
      </c>
      <c r="Y50" s="74" t="str">
        <v>AD信息流</v>
      </c>
      <c r="Z50" s="74"/>
      <c r="AA50" s="74" t="str">
        <v>否</v>
      </c>
      <c r="AB50" s="74" t="str">
        <v>否</v>
      </c>
      <c r="AC50" s="74" t="str">
        <v>否</v>
      </c>
      <c r="AD50" s="74"/>
      <c r="AE50" s="74"/>
      <c r="AF50" s="74"/>
      <c r="AG50" s="74"/>
      <c r="AH50" s="74" t="str">
        <v>阿布（胡晓伟）</v>
      </c>
      <c r="AI50" s="74"/>
      <c r="AJ50" s="74" t="str">
        <v>杭州宜格化妆品有限公司</v>
      </c>
      <c r="AK50" s="74"/>
      <c r="AL50" s="74"/>
      <c r="AM50" s="74"/>
      <c r="AN50" s="74" t="str">
        <v>自投</v>
      </c>
      <c r="AO50" s="131">
        <v>36526</v>
      </c>
      <c r="AP50" s="74" t="str">
        <v>站外</v>
      </c>
      <c r="AQ50" s="74" t="str">
        <v>1758638395883534</v>
      </c>
      <c r="AR50" s="74"/>
      <c r="AS50" s="74" t="str">
        <v>abuHZP-天猫AD-省广-CID23玉容轻妆出行组合</v>
      </c>
      <c r="AT50" s="74" t="str">
        <v>花西子</v>
      </c>
    </row>
    <row r="51">
      <c r="A51" s="132" t="str">
        <v>031440238978ffcff3f0d6cfb2be0002</v>
      </c>
      <c r="B51" s="132"/>
      <c r="C51" s="132"/>
      <c r="D51" s="132" t="str">
        <v>ycss02;</v>
      </c>
      <c r="E51" s="132"/>
      <c r="F51" s="82"/>
      <c r="G51" s="132" t="str">
        <v>0.00</v>
      </c>
      <c r="H51" s="132"/>
      <c r="I51" s="132" t="str">
        <v>0.00</v>
      </c>
      <c r="J51" s="132"/>
      <c r="K51" s="132" t="str">
        <v>0.00</v>
      </c>
      <c r="L51" s="132"/>
      <c r="M51" s="132" t="str">
        <v>0.00</v>
      </c>
      <c r="N51" s="132"/>
      <c r="O51" s="132" t="str">
        <v>0.00</v>
      </c>
      <c r="P51" s="132"/>
      <c r="Q51" s="132" t="str">
        <v>0.00</v>
      </c>
      <c r="R51" s="132"/>
      <c r="S51" s="132" t="str">
        <v>未完结</v>
      </c>
      <c r="T51" s="132"/>
      <c r="U51" s="74"/>
      <c r="V51" s="74" t="str">
        <v>广东省广告集团股份有限公司</v>
      </c>
      <c r="W51" s="74" t="str">
        <v>抖音</v>
      </c>
      <c r="X51" s="74" t="str">
        <v>1744729041456135</v>
      </c>
      <c r="Y51" s="74" t="str">
        <v>AD信息流</v>
      </c>
      <c r="Z51" s="74"/>
      <c r="AA51" s="74" t="str">
        <v>否</v>
      </c>
      <c r="AB51" s="74" t="str">
        <v>否</v>
      </c>
      <c r="AC51" s="74" t="str">
        <v>否</v>
      </c>
      <c r="AD51" s="74"/>
      <c r="AE51" s="74"/>
      <c r="AF51" s="74"/>
      <c r="AG51" s="74"/>
      <c r="AH51" s="74" t="str">
        <v>白纸（张浩霖）</v>
      </c>
      <c r="AI51" s="74"/>
      <c r="AJ51" s="74" t="str">
        <v>杭州宜格化妆品有限公司</v>
      </c>
      <c r="AK51" s="74"/>
      <c r="AL51" s="74"/>
      <c r="AM51" s="74"/>
      <c r="AN51" s="74" t="str">
        <v>自投</v>
      </c>
      <c r="AO51" s="131">
        <v>36526</v>
      </c>
      <c r="AP51" s="74" t="str">
        <v>站外</v>
      </c>
      <c r="AQ51" s="74" t="str">
        <v>1744729041456135</v>
      </c>
      <c r="AR51" s="74"/>
      <c r="AS51" s="74" t="str">
        <v>HZP-天猫AD信息流-省广-CID9（X眉笔）</v>
      </c>
      <c r="AT51" s="74" t="str">
        <v>花西子</v>
      </c>
    </row>
    <row r="52">
      <c r="A52" s="132" t="str">
        <v>031440238a78ffcff3f0d6cfb2be0002</v>
      </c>
      <c r="B52" s="132"/>
      <c r="C52" s="132"/>
      <c r="D52" s="132" t="str">
        <v>ycss02;</v>
      </c>
      <c r="E52" s="132"/>
      <c r="F52" s="82"/>
      <c r="G52" s="132" t="str">
        <v>0.00</v>
      </c>
      <c r="H52" s="132"/>
      <c r="I52" s="132" t="str">
        <v>0.00</v>
      </c>
      <c r="J52" s="132"/>
      <c r="K52" s="132" t="str">
        <v>0.00</v>
      </c>
      <c r="L52" s="132"/>
      <c r="M52" s="132" t="str">
        <v>0.00</v>
      </c>
      <c r="N52" s="132"/>
      <c r="O52" s="132" t="str">
        <v>0.00</v>
      </c>
      <c r="P52" s="132"/>
      <c r="Q52" s="132" t="str">
        <v>0.00</v>
      </c>
      <c r="R52" s="132"/>
      <c r="S52" s="132" t="str">
        <v>未完结</v>
      </c>
      <c r="T52" s="132"/>
      <c r="U52" s="74"/>
      <c r="V52" s="74" t="str">
        <v>广东省广告集团股份有限公司</v>
      </c>
      <c r="W52" s="74" t="str">
        <v>抖音</v>
      </c>
      <c r="X52" s="74" t="str">
        <v>1744631353681928</v>
      </c>
      <c r="Y52" s="74" t="str">
        <v>AD信息流</v>
      </c>
      <c r="Z52" s="74"/>
      <c r="AA52" s="74" t="str">
        <v>否</v>
      </c>
      <c r="AB52" s="74" t="str">
        <v>否</v>
      </c>
      <c r="AC52" s="74" t="str">
        <v>否</v>
      </c>
      <c r="AD52" s="74"/>
      <c r="AE52" s="74"/>
      <c r="AF52" s="74"/>
      <c r="AG52" s="74"/>
      <c r="AH52" s="74" t="str">
        <v>阿布（胡晓伟）</v>
      </c>
      <c r="AI52" s="74"/>
      <c r="AJ52" s="74" t="str">
        <v>杭州宜格化妆品有限公司</v>
      </c>
      <c r="AK52" s="74"/>
      <c r="AL52" s="74"/>
      <c r="AM52" s="74"/>
      <c r="AN52" s="74" t="str">
        <v>自投</v>
      </c>
      <c r="AO52" s="131">
        <v>36526</v>
      </c>
      <c r="AP52" s="74" t="str">
        <v>站外</v>
      </c>
      <c r="AQ52" s="74" t="str">
        <v>1744631353681928</v>
      </c>
      <c r="AR52" s="74"/>
      <c r="AS52" s="74" t="str">
        <v>HZP-天猫AD信息流-省广-CID4小黛伞防晒</v>
      </c>
      <c r="AT52" s="74" t="str">
        <v>花西子</v>
      </c>
    </row>
    <row r="53">
      <c r="A53" s="132" t="str">
        <v>031440238b78ffcff3f0d6cfb2be0002</v>
      </c>
      <c r="B53" s="132"/>
      <c r="C53" s="132"/>
      <c r="D53" s="132" t="str">
        <v>ycss02;</v>
      </c>
      <c r="E53" s="132"/>
      <c r="F53" s="82"/>
      <c r="G53" s="132" t="str">
        <v>0.00</v>
      </c>
      <c r="H53" s="132"/>
      <c r="I53" s="132" t="str">
        <v>0.00</v>
      </c>
      <c r="J53" s="132"/>
      <c r="K53" s="132" t="str">
        <v>0.00</v>
      </c>
      <c r="L53" s="132"/>
      <c r="M53" s="132" t="str">
        <v>0.00</v>
      </c>
      <c r="N53" s="132"/>
      <c r="O53" s="132" t="str">
        <v>0.00</v>
      </c>
      <c r="P53" s="132"/>
      <c r="Q53" s="132" t="str">
        <v>0.00</v>
      </c>
      <c r="R53" s="132"/>
      <c r="S53" s="132" t="str">
        <v>未完结</v>
      </c>
      <c r="T53" s="132"/>
      <c r="U53" s="74"/>
      <c r="V53" s="74" t="str">
        <v>广东省广告集团股份有限公司</v>
      </c>
      <c r="W53" s="74" t="str">
        <v>抖音</v>
      </c>
      <c r="X53" s="74" t="str">
        <v>1752335658405895</v>
      </c>
      <c r="Y53" s="74" t="str">
        <v>AD信息流</v>
      </c>
      <c r="Z53" s="74"/>
      <c r="AA53" s="74" t="str">
        <v>否</v>
      </c>
      <c r="AB53" s="74" t="str">
        <v>否</v>
      </c>
      <c r="AC53" s="74" t="str">
        <v>否</v>
      </c>
      <c r="AD53" s="74"/>
      <c r="AE53" s="74"/>
      <c r="AF53" s="74"/>
      <c r="AG53" s="74"/>
      <c r="AH53" s="74" t="str">
        <v>志文（罗志文）</v>
      </c>
      <c r="AI53" s="74"/>
      <c r="AJ53" s="74" t="str">
        <v>杭州宜格化妆品有限公司</v>
      </c>
      <c r="AK53" s="74"/>
      <c r="AL53" s="74"/>
      <c r="AM53" s="74"/>
      <c r="AN53" s="74" t="str">
        <v>自投</v>
      </c>
      <c r="AO53" s="131">
        <v>36526</v>
      </c>
      <c r="AP53" s="74" t="str">
        <v>站外</v>
      </c>
      <c r="AQ53" s="74" t="str">
        <v>1752335658405895</v>
      </c>
      <c r="AR53" s="74"/>
      <c r="AS53" s="74" t="str">
        <v>定妆花西子-杭州宜格CID投放-16玉养蜜粉</v>
      </c>
      <c r="AT53" s="74" t="str">
        <v>花西子</v>
      </c>
    </row>
    <row r="54">
      <c r="A54" s="132" t="str">
        <v>031440238c78ffcff3f0d6cfb2be0002</v>
      </c>
      <c r="B54" s="132"/>
      <c r="C54" s="132"/>
      <c r="D54" s="132" t="str">
        <v>ycss02;</v>
      </c>
      <c r="E54" s="132"/>
      <c r="F54" s="82"/>
      <c r="G54" s="132" t="str">
        <v>0.00</v>
      </c>
      <c r="H54" s="132"/>
      <c r="I54" s="132" t="str">
        <v>0.00</v>
      </c>
      <c r="J54" s="132"/>
      <c r="K54" s="132" t="str">
        <v>0.00</v>
      </c>
      <c r="L54" s="132"/>
      <c r="M54" s="132" t="str">
        <v>0.00</v>
      </c>
      <c r="N54" s="132"/>
      <c r="O54" s="132" t="str">
        <v>0.00</v>
      </c>
      <c r="P54" s="132"/>
      <c r="Q54" s="132" t="str">
        <v>0.00</v>
      </c>
      <c r="R54" s="132"/>
      <c r="S54" s="132" t="str">
        <v>未完结</v>
      </c>
      <c r="T54" s="132"/>
      <c r="U54" s="74"/>
      <c r="V54" s="74" t="str">
        <v>广东省广告集团股份有限公司</v>
      </c>
      <c r="W54" s="74" t="str">
        <v>抖音</v>
      </c>
      <c r="X54" s="74" t="str">
        <v>1752335657150542</v>
      </c>
      <c r="Y54" s="74" t="str">
        <v>AD信息流</v>
      </c>
      <c r="Z54" s="74"/>
      <c r="AA54" s="74" t="str">
        <v>否</v>
      </c>
      <c r="AB54" s="74" t="str">
        <v>否</v>
      </c>
      <c r="AC54" s="74" t="str">
        <v>否</v>
      </c>
      <c r="AD54" s="74"/>
      <c r="AE54" s="74"/>
      <c r="AF54" s="74"/>
      <c r="AG54" s="74"/>
      <c r="AH54" s="74" t="str">
        <v>志文（罗志文）</v>
      </c>
      <c r="AI54" s="74"/>
      <c r="AJ54" s="74" t="str">
        <v>杭州宜格化妆品有限公司</v>
      </c>
      <c r="AK54" s="74"/>
      <c r="AL54" s="74"/>
      <c r="AM54" s="74"/>
      <c r="AN54" s="74" t="str">
        <v>自投</v>
      </c>
      <c r="AO54" s="131">
        <v>36526</v>
      </c>
      <c r="AP54" s="74" t="str">
        <v>站外</v>
      </c>
      <c r="AQ54" s="74" t="str">
        <v>1752335657150542</v>
      </c>
      <c r="AR54" s="74"/>
      <c r="AS54" s="74" t="str">
        <v>定妆花西子-杭州宜格CID投放-14有色粉饼</v>
      </c>
      <c r="AT54" s="74" t="str">
        <v>花西子</v>
      </c>
    </row>
    <row r="55">
      <c r="A55" s="132" t="str">
        <v>031440238d78ffcff3f0d6cfb2be0002</v>
      </c>
      <c r="B55" s="132"/>
      <c r="C55" s="132"/>
      <c r="D55" s="132" t="str">
        <v>ycss02;</v>
      </c>
      <c r="E55" s="132"/>
      <c r="F55" s="82"/>
      <c r="G55" s="132" t="str">
        <v>0.00</v>
      </c>
      <c r="H55" s="132"/>
      <c r="I55" s="132" t="str">
        <v>0.00</v>
      </c>
      <c r="J55" s="132"/>
      <c r="K55" s="132" t="str">
        <v>0.00</v>
      </c>
      <c r="L55" s="132"/>
      <c r="M55" s="132" t="str">
        <v>0.00</v>
      </c>
      <c r="N55" s="132"/>
      <c r="O55" s="132" t="str">
        <v>0.00</v>
      </c>
      <c r="P55" s="132"/>
      <c r="Q55" s="132" t="str">
        <v>0.00</v>
      </c>
      <c r="R55" s="132"/>
      <c r="S55" s="132" t="str">
        <v>未完结</v>
      </c>
      <c r="T55" s="132"/>
      <c r="U55" s="74"/>
      <c r="V55" s="74" t="str">
        <v>广东省广告集团股份有限公司</v>
      </c>
      <c r="W55" s="74" t="str">
        <v>抖音</v>
      </c>
      <c r="X55" s="74" t="str">
        <v>1750901317073991</v>
      </c>
      <c r="Y55" s="74" t="str">
        <v>AD信息流</v>
      </c>
      <c r="Z55" s="74"/>
      <c r="AA55" s="74" t="str">
        <v>否</v>
      </c>
      <c r="AB55" s="74" t="str">
        <v>否</v>
      </c>
      <c r="AC55" s="74" t="str">
        <v>否</v>
      </c>
      <c r="AD55" s="74"/>
      <c r="AE55" s="74"/>
      <c r="AF55" s="74"/>
      <c r="AG55" s="74"/>
      <c r="AH55" s="74" t="str">
        <v>白纸（张浩霖）</v>
      </c>
      <c r="AI55" s="74"/>
      <c r="AJ55" s="74" t="str">
        <v>杭州宜格化妆品有限公司</v>
      </c>
      <c r="AK55" s="74"/>
      <c r="AL55" s="74"/>
      <c r="AM55" s="74"/>
      <c r="AN55" s="74" t="str">
        <v>自投</v>
      </c>
      <c r="AO55" s="131">
        <v>36526</v>
      </c>
      <c r="AP55" s="74" t="str">
        <v>站外</v>
      </c>
      <c r="AQ55" s="74" t="str">
        <v>1750901317073991</v>
      </c>
      <c r="AR55" s="74"/>
      <c r="AS55" s="74" t="str">
        <v>花西子-杭州宜格CID投放-6X持色唇纱</v>
      </c>
      <c r="AT55" s="74" t="str">
        <v>花西子</v>
      </c>
    </row>
    <row r="56">
      <c r="A56" s="132" t="str">
        <v>031440238e78ffcff3f0d6cfb2be0002</v>
      </c>
      <c r="B56" s="132"/>
      <c r="C56" s="132"/>
      <c r="D56" s="132" t="str">
        <v>ycss02;</v>
      </c>
      <c r="E56" s="132"/>
      <c r="F56" s="82"/>
      <c r="G56" s="132" t="str">
        <v>0.00</v>
      </c>
      <c r="H56" s="132"/>
      <c r="I56" s="132" t="str">
        <v>0.00</v>
      </c>
      <c r="J56" s="132"/>
      <c r="K56" s="132" t="str">
        <v>0.00</v>
      </c>
      <c r="L56" s="132"/>
      <c r="M56" s="132" t="str">
        <v>0.00</v>
      </c>
      <c r="N56" s="132"/>
      <c r="O56" s="132" t="str">
        <v>0.00</v>
      </c>
      <c r="P56" s="132"/>
      <c r="Q56" s="132" t="str">
        <v>0.00</v>
      </c>
      <c r="R56" s="132"/>
      <c r="S56" s="132" t="str">
        <v>未完结</v>
      </c>
      <c r="T56" s="132"/>
      <c r="U56" s="74"/>
      <c r="V56" s="74" t="str">
        <v>广东省广告集团股份有限公司</v>
      </c>
      <c r="W56" s="74" t="str">
        <v>抖音</v>
      </c>
      <c r="X56" s="74" t="str">
        <v>1747107074839566</v>
      </c>
      <c r="Y56" s="74" t="str">
        <v>AD信息流</v>
      </c>
      <c r="Z56" s="74"/>
      <c r="AA56" s="74" t="str">
        <v>否</v>
      </c>
      <c r="AB56" s="74" t="str">
        <v>否</v>
      </c>
      <c r="AC56" s="74" t="str">
        <v>否</v>
      </c>
      <c r="AD56" s="74"/>
      <c r="AE56" s="74"/>
      <c r="AF56" s="74"/>
      <c r="AG56" s="74"/>
      <c r="AH56" s="74" t="str">
        <v>阿布（胡晓伟）</v>
      </c>
      <c r="AI56" s="74"/>
      <c r="AJ56" s="74" t="str">
        <v>杭州宜格化妆品有限公司</v>
      </c>
      <c r="AK56" s="74"/>
      <c r="AL56" s="74"/>
      <c r="AM56" s="74"/>
      <c r="AN56" s="74" t="str">
        <v>自投</v>
      </c>
      <c r="AO56" s="131">
        <v>36526</v>
      </c>
      <c r="AP56" s="74" t="str">
        <v>站外</v>
      </c>
      <c r="AQ56" s="74" t="str">
        <v>1747107074839566</v>
      </c>
      <c r="AR56" s="74"/>
      <c r="AS56" s="74" t="str">
        <v>abuHZP-天猫AD信息流-省广-CID19素颜出行组合</v>
      </c>
      <c r="AT56" s="74" t="str">
        <v>花西子</v>
      </c>
    </row>
    <row r="57">
      <c r="A57" s="132" t="str">
        <v>031440238f68ffcff3f0d6cfb2be0002</v>
      </c>
      <c r="B57" s="132"/>
      <c r="C57" s="132"/>
      <c r="D57" s="132" t="str">
        <v>ycss02;</v>
      </c>
      <c r="E57" s="132"/>
      <c r="F57" s="82"/>
      <c r="G57" s="132" t="str">
        <v>0.00</v>
      </c>
      <c r="H57" s="132"/>
      <c r="I57" s="132" t="str">
        <v>0.00</v>
      </c>
      <c r="J57" s="132"/>
      <c r="K57" s="132" t="str">
        <v>0.00</v>
      </c>
      <c r="L57" s="132"/>
      <c r="M57" s="132" t="str">
        <v>0.00</v>
      </c>
      <c r="N57" s="132"/>
      <c r="O57" s="132" t="str">
        <v>0.00</v>
      </c>
      <c r="P57" s="132"/>
      <c r="Q57" s="132" t="str">
        <v>0.00</v>
      </c>
      <c r="R57" s="132"/>
      <c r="S57" s="132" t="str">
        <v>未完结</v>
      </c>
      <c r="T57" s="132"/>
      <c r="U57" s="74"/>
      <c r="V57" s="74" t="str">
        <v>广东省广告集团股份有限公司</v>
      </c>
      <c r="W57" s="74" t="str">
        <v>抖音</v>
      </c>
      <c r="X57" s="74" t="str">
        <v>1750901319256072</v>
      </c>
      <c r="Y57" s="74" t="str">
        <v>AD信息流</v>
      </c>
      <c r="Z57" s="74"/>
      <c r="AA57" s="74" t="str">
        <v>否</v>
      </c>
      <c r="AB57" s="74" t="str">
        <v>否</v>
      </c>
      <c r="AC57" s="74" t="str">
        <v>否</v>
      </c>
      <c r="AD57" s="74"/>
      <c r="AE57" s="74"/>
      <c r="AF57" s="74"/>
      <c r="AG57" s="74"/>
      <c r="AH57" s="74" t="str">
        <v>志文（罗志文）</v>
      </c>
      <c r="AI57" s="74"/>
      <c r="AJ57" s="74" t="str">
        <v>杭州宜格化妆品有限公司</v>
      </c>
      <c r="AK57" s="74"/>
      <c r="AL57" s="74"/>
      <c r="AM57" s="74"/>
      <c r="AN57" s="74" t="str">
        <v>自投</v>
      </c>
      <c r="AO57" s="131">
        <v>36526</v>
      </c>
      <c r="AP57" s="74" t="str">
        <v>站外</v>
      </c>
      <c r="AQ57" s="74" t="str">
        <v>1750901319256072</v>
      </c>
      <c r="AR57" s="74"/>
      <c r="AS57" s="74" t="str">
        <v>定妆花西子-杭州宜格CID投放-9玉养蜜粉</v>
      </c>
      <c r="AT57" s="74" t="str">
        <v>花西子</v>
      </c>
    </row>
    <row r="58">
      <c r="A58" s="132" t="str">
        <v>031440239068ffcff3f0d6cfb2be0002</v>
      </c>
      <c r="B58" s="132"/>
      <c r="C58" s="132"/>
      <c r="D58" s="132" t="str">
        <v>ycss02;</v>
      </c>
      <c r="E58" s="132"/>
      <c r="F58" s="82"/>
      <c r="G58" s="132" t="str">
        <v>0.00</v>
      </c>
      <c r="H58" s="132"/>
      <c r="I58" s="132" t="str">
        <v>0.00</v>
      </c>
      <c r="J58" s="132"/>
      <c r="K58" s="132" t="str">
        <v>0.00</v>
      </c>
      <c r="L58" s="132"/>
      <c r="M58" s="132" t="str">
        <v>0.00</v>
      </c>
      <c r="N58" s="132"/>
      <c r="O58" s="132" t="str">
        <v>0.00</v>
      </c>
      <c r="P58" s="132"/>
      <c r="Q58" s="132" t="str">
        <v>0.00</v>
      </c>
      <c r="R58" s="132"/>
      <c r="S58" s="132" t="str">
        <v>未完结</v>
      </c>
      <c r="T58" s="132"/>
      <c r="U58" s="74"/>
      <c r="V58" s="74" t="str">
        <v>广东省广告集团股份有限公司</v>
      </c>
      <c r="W58" s="74" t="str">
        <v>抖音</v>
      </c>
      <c r="X58" s="74" t="str">
        <v>1750901314010184</v>
      </c>
      <c r="Y58" s="74" t="str">
        <v>AD信息流</v>
      </c>
      <c r="Z58" s="74"/>
      <c r="AA58" s="74" t="str">
        <v>否</v>
      </c>
      <c r="AB58" s="74" t="str">
        <v>否</v>
      </c>
      <c r="AC58" s="74" t="str">
        <v>否</v>
      </c>
      <c r="AD58" s="74"/>
      <c r="AE58" s="74"/>
      <c r="AF58" s="74"/>
      <c r="AG58" s="74"/>
      <c r="AH58" s="74" t="str">
        <v>阿布（胡晓伟）</v>
      </c>
      <c r="AI58" s="74"/>
      <c r="AJ58" s="74" t="str">
        <v>杭州宜格化妆品有限公司</v>
      </c>
      <c r="AK58" s="74"/>
      <c r="AL58" s="74"/>
      <c r="AM58" s="74"/>
      <c r="AN58" s="74" t="str">
        <v>自投</v>
      </c>
      <c r="AO58" s="131">
        <v>36526</v>
      </c>
      <c r="AP58" s="74" t="str">
        <v>站外</v>
      </c>
      <c r="AQ58" s="74" t="str">
        <v>1750901314010184</v>
      </c>
      <c r="AR58" s="74"/>
      <c r="AS58" s="74" t="str">
        <v>abu花西子-杭州宜格CID投放-2私模气垫</v>
      </c>
      <c r="AT58" s="74" t="str">
        <v>花西子</v>
      </c>
    </row>
    <row r="59">
      <c r="A59" s="132" t="str">
        <v>031440239168ffcff3f0d6cfb2be0002</v>
      </c>
      <c r="B59" s="132"/>
      <c r="C59" s="132"/>
      <c r="D59" s="132" t="str">
        <v>ycss02;</v>
      </c>
      <c r="E59" s="132"/>
      <c r="F59" s="82"/>
      <c r="G59" s="132" t="str">
        <v>0.00</v>
      </c>
      <c r="H59" s="132"/>
      <c r="I59" s="132" t="str">
        <v>0.00</v>
      </c>
      <c r="J59" s="132"/>
      <c r="K59" s="132" t="str">
        <v>0.00</v>
      </c>
      <c r="L59" s="132"/>
      <c r="M59" s="132" t="str">
        <v>0.00</v>
      </c>
      <c r="N59" s="132"/>
      <c r="O59" s="132" t="str">
        <v>0.00</v>
      </c>
      <c r="P59" s="132"/>
      <c r="Q59" s="132" t="str">
        <v>0.00</v>
      </c>
      <c r="R59" s="132"/>
      <c r="S59" s="132" t="str">
        <v>未完结</v>
      </c>
      <c r="T59" s="132"/>
      <c r="U59" s="74"/>
      <c r="V59" s="74" t="str">
        <v>广东省广告集团股份有限公司</v>
      </c>
      <c r="W59" s="74" t="str">
        <v>抖音</v>
      </c>
      <c r="X59" s="74" t="str">
        <v>1758638396516360</v>
      </c>
      <c r="Y59" s="74" t="str">
        <v>AD信息流</v>
      </c>
      <c r="Z59" s="74"/>
      <c r="AA59" s="74" t="str">
        <v>否</v>
      </c>
      <c r="AB59" s="74" t="str">
        <v>否</v>
      </c>
      <c r="AC59" s="74" t="str">
        <v>否</v>
      </c>
      <c r="AD59" s="74"/>
      <c r="AE59" s="74"/>
      <c r="AF59" s="74"/>
      <c r="AG59" s="74"/>
      <c r="AH59" s="74" t="str">
        <v>白纸（张浩霖）</v>
      </c>
      <c r="AI59" s="74"/>
      <c r="AJ59" s="74" t="str">
        <v>杭州宜格化妆品有限公司</v>
      </c>
      <c r="AK59" s="74"/>
      <c r="AL59" s="74"/>
      <c r="AM59" s="74"/>
      <c r="AN59" s="74" t="str">
        <v>自投</v>
      </c>
      <c r="AO59" s="131">
        <v>36526</v>
      </c>
      <c r="AP59" s="74" t="str">
        <v>站外</v>
      </c>
      <c r="AQ59" s="74" t="str">
        <v>1758638396516360</v>
      </c>
      <c r="AR59" s="74"/>
      <c r="AS59" s="74" t="str">
        <v>花西子-杭州宜格CID投放-24X持色唇纱4P</v>
      </c>
      <c r="AT59" s="74" t="str">
        <v>花西子</v>
      </c>
    </row>
    <row r="60">
      <c r="A60" s="132" t="str">
        <v>031440239258ffcff3f0d6cfb2be0002</v>
      </c>
      <c r="B60" s="132"/>
      <c r="C60" s="132"/>
      <c r="D60" s="132" t="str">
        <v>ycss02;</v>
      </c>
      <c r="E60" s="132"/>
      <c r="F60" s="82"/>
      <c r="G60" s="132" t="str">
        <v>0.00</v>
      </c>
      <c r="H60" s="132"/>
      <c r="I60" s="132" t="str">
        <v>0.00</v>
      </c>
      <c r="J60" s="132"/>
      <c r="K60" s="132" t="str">
        <v>0.00</v>
      </c>
      <c r="L60" s="132"/>
      <c r="M60" s="132" t="str">
        <v>0.00</v>
      </c>
      <c r="N60" s="132"/>
      <c r="O60" s="132" t="str">
        <v>0.00</v>
      </c>
      <c r="P60" s="132"/>
      <c r="Q60" s="132" t="str">
        <v>0.00</v>
      </c>
      <c r="R60" s="132"/>
      <c r="S60" s="132" t="str">
        <v>未完结</v>
      </c>
      <c r="T60" s="132"/>
      <c r="U60" s="74"/>
      <c r="V60" s="74" t="str">
        <v>广东省广告集团股份有限公司</v>
      </c>
      <c r="W60" s="74" t="str">
        <v>抖音</v>
      </c>
      <c r="X60" s="74" t="str">
        <v>1750901317821447</v>
      </c>
      <c r="Y60" s="74" t="str">
        <v>AD信息流</v>
      </c>
      <c r="Z60" s="74"/>
      <c r="AA60" s="74" t="str">
        <v>否</v>
      </c>
      <c r="AB60" s="74" t="str">
        <v>否</v>
      </c>
      <c r="AC60" s="74" t="str">
        <v>否</v>
      </c>
      <c r="AD60" s="74"/>
      <c r="AE60" s="74"/>
      <c r="AF60" s="74"/>
      <c r="AG60" s="74"/>
      <c r="AH60" s="74" t="str">
        <v>白纸（张浩霖）</v>
      </c>
      <c r="AI60" s="74"/>
      <c r="AJ60" s="74" t="str">
        <v>杭州宜格化妆品有限公司</v>
      </c>
      <c r="AK60" s="74"/>
      <c r="AL60" s="74"/>
      <c r="AM60" s="74"/>
      <c r="AN60" s="74" t="str">
        <v>自投</v>
      </c>
      <c r="AO60" s="131">
        <v>36526</v>
      </c>
      <c r="AP60" s="74" t="str">
        <v>站外</v>
      </c>
      <c r="AQ60" s="74" t="str">
        <v>1750901317821447</v>
      </c>
      <c r="AR60" s="74"/>
      <c r="AS60" s="74" t="str">
        <v>花西子-杭州宜格CID投放-7X眉粉笔</v>
      </c>
      <c r="AT60" s="74" t="str">
        <v>花西子</v>
      </c>
    </row>
    <row r="61">
      <c r="A61" s="132" t="str">
        <v>031440239348ffcff3f0d6cfb2be0002</v>
      </c>
      <c r="B61" s="132"/>
      <c r="C61" s="132"/>
      <c r="D61" s="132" t="str">
        <v>ycss02;</v>
      </c>
      <c r="E61" s="132"/>
      <c r="F61" s="82"/>
      <c r="G61" s="132" t="str">
        <v>0.00</v>
      </c>
      <c r="H61" s="132"/>
      <c r="I61" s="132" t="str">
        <v>0.00</v>
      </c>
      <c r="J61" s="132"/>
      <c r="K61" s="132" t="str">
        <v>0.00</v>
      </c>
      <c r="L61" s="132"/>
      <c r="M61" s="132" t="str">
        <v>0.00</v>
      </c>
      <c r="N61" s="132"/>
      <c r="O61" s="132" t="str">
        <v>0.00</v>
      </c>
      <c r="P61" s="132"/>
      <c r="Q61" s="132" t="str">
        <v>0.00</v>
      </c>
      <c r="R61" s="132"/>
      <c r="S61" s="132" t="str">
        <v>未完结</v>
      </c>
      <c r="T61" s="132"/>
      <c r="U61" s="74"/>
      <c r="V61" s="74" t="str">
        <v>广东省广告集团股份有限公司</v>
      </c>
      <c r="W61" s="74" t="str">
        <v>抖音</v>
      </c>
      <c r="X61" s="74" t="str">
        <v>1752335660396552</v>
      </c>
      <c r="Y61" s="74" t="str">
        <v>AD信息流</v>
      </c>
      <c r="Z61" s="74"/>
      <c r="AA61" s="74" t="str">
        <v>否</v>
      </c>
      <c r="AB61" s="74" t="str">
        <v>否</v>
      </c>
      <c r="AC61" s="74" t="str">
        <v>否</v>
      </c>
      <c r="AD61" s="74"/>
      <c r="AE61" s="74"/>
      <c r="AF61" s="74"/>
      <c r="AG61" s="74"/>
      <c r="AH61" s="74" t="str">
        <v>志文（罗志文）</v>
      </c>
      <c r="AI61" s="74"/>
      <c r="AJ61" s="74" t="str">
        <v>杭州宜格化妆品有限公司</v>
      </c>
      <c r="AK61" s="74"/>
      <c r="AL61" s="74"/>
      <c r="AM61" s="74"/>
      <c r="AN61" s="74" t="str">
        <v>自投</v>
      </c>
      <c r="AO61" s="131">
        <v>36526</v>
      </c>
      <c r="AP61" s="74" t="str">
        <v>站外</v>
      </c>
      <c r="AQ61" s="74" t="str">
        <v>1752335660396552</v>
      </c>
      <c r="AR61" s="74"/>
      <c r="AS61" s="74" t="str">
        <v>定妆花西子-杭州宜格CID投放-19私模蜜粉</v>
      </c>
      <c r="AT61" s="74" t="str">
        <v>花西子</v>
      </c>
    </row>
    <row r="62">
      <c r="A62" s="132" t="str">
        <v>031440239448ffcff3f0d6cfb2be0002</v>
      </c>
      <c r="B62" s="132"/>
      <c r="C62" s="132"/>
      <c r="D62" s="132" t="str">
        <v>ycss02;</v>
      </c>
      <c r="E62" s="132"/>
      <c r="F62" s="82"/>
      <c r="G62" s="132" t="str">
        <v>0.00</v>
      </c>
      <c r="H62" s="132"/>
      <c r="I62" s="132" t="str">
        <v>0.00</v>
      </c>
      <c r="J62" s="132"/>
      <c r="K62" s="132" t="str">
        <v>0.00</v>
      </c>
      <c r="L62" s="132"/>
      <c r="M62" s="132" t="str">
        <v>0.00</v>
      </c>
      <c r="N62" s="132"/>
      <c r="O62" s="132" t="str">
        <v>0.00</v>
      </c>
      <c r="P62" s="132"/>
      <c r="Q62" s="132" t="str">
        <v>0.00</v>
      </c>
      <c r="R62" s="132"/>
      <c r="S62" s="132" t="str">
        <v>未完结</v>
      </c>
      <c r="T62" s="132"/>
      <c r="U62" s="74"/>
      <c r="V62" s="74" t="str">
        <v>广东省广告集团股份有限公司</v>
      </c>
      <c r="W62" s="74" t="str">
        <v>抖音</v>
      </c>
      <c r="X62" s="74" t="str">
        <v>1752335655990285</v>
      </c>
      <c r="Y62" s="74" t="str">
        <v>AD信息流</v>
      </c>
      <c r="Z62" s="74"/>
      <c r="AA62" s="74" t="str">
        <v>否</v>
      </c>
      <c r="AB62" s="74" t="str">
        <v>否</v>
      </c>
      <c r="AC62" s="74" t="str">
        <v>否</v>
      </c>
      <c r="AD62" s="74"/>
      <c r="AE62" s="74"/>
      <c r="AF62" s="74"/>
      <c r="AG62" s="74"/>
      <c r="AH62" s="74" t="str">
        <v>阿布（胡晓伟）</v>
      </c>
      <c r="AI62" s="74"/>
      <c r="AJ62" s="74" t="str">
        <v>杭州宜格化妆品有限公司</v>
      </c>
      <c r="AK62" s="74"/>
      <c r="AL62" s="74"/>
      <c r="AM62" s="74"/>
      <c r="AN62" s="74" t="str">
        <v>自投</v>
      </c>
      <c r="AO62" s="131">
        <v>36526</v>
      </c>
      <c r="AP62" s="74" t="str">
        <v>站外</v>
      </c>
      <c r="AQ62" s="74" t="str">
        <v>1752335655990285</v>
      </c>
      <c r="AR62" s="74"/>
      <c r="AS62" s="74" t="str">
        <v>abu花西子-杭州宜格CID投放-12私模气垫</v>
      </c>
      <c r="AT62" s="74" t="str">
        <v>花西子</v>
      </c>
    </row>
    <row r="63">
      <c r="A63" s="132" t="str">
        <v>031440239538ffcff3f0d6cfb2be0002</v>
      </c>
      <c r="B63" s="132"/>
      <c r="C63" s="132"/>
      <c r="D63" s="132" t="str">
        <v>ycss02;</v>
      </c>
      <c r="E63" s="132"/>
      <c r="F63" s="82"/>
      <c r="G63" s="132" t="str">
        <v>0.00</v>
      </c>
      <c r="H63" s="132"/>
      <c r="I63" s="132" t="str">
        <v>0.00</v>
      </c>
      <c r="J63" s="132"/>
      <c r="K63" s="132" t="str">
        <v>0.00</v>
      </c>
      <c r="L63" s="132"/>
      <c r="M63" s="132" t="str">
        <v>0.00</v>
      </c>
      <c r="N63" s="132"/>
      <c r="O63" s="132" t="str">
        <v>0.00</v>
      </c>
      <c r="P63" s="132"/>
      <c r="Q63" s="132" t="str">
        <v>0.00</v>
      </c>
      <c r="R63" s="132"/>
      <c r="S63" s="132" t="str">
        <v>未完结</v>
      </c>
      <c r="T63" s="132"/>
      <c r="U63" s="74"/>
      <c r="V63" s="74" t="str">
        <v>广东省广告集团股份有限公司</v>
      </c>
      <c r="W63" s="74" t="str">
        <v>抖音</v>
      </c>
      <c r="X63" s="74" t="str">
        <v>1750901316273160</v>
      </c>
      <c r="Y63" s="74" t="str">
        <v>AD信息流</v>
      </c>
      <c r="Z63" s="74"/>
      <c r="AA63" s="74" t="str">
        <v>否</v>
      </c>
      <c r="AB63" s="74" t="str">
        <v>否</v>
      </c>
      <c r="AC63" s="74" t="str">
        <v>否</v>
      </c>
      <c r="AD63" s="74"/>
      <c r="AE63" s="74"/>
      <c r="AF63" s="74"/>
      <c r="AG63" s="74"/>
      <c r="AH63" s="74" t="str">
        <v>白纸（张浩霖）</v>
      </c>
      <c r="AI63" s="74"/>
      <c r="AJ63" s="74" t="str">
        <v>杭州宜格化妆品有限公司</v>
      </c>
      <c r="AK63" s="74"/>
      <c r="AL63" s="74"/>
      <c r="AM63" s="74"/>
      <c r="AN63" s="74" t="str">
        <v>自投</v>
      </c>
      <c r="AO63" s="131">
        <v>36526</v>
      </c>
      <c r="AP63" s="74" t="str">
        <v>站外</v>
      </c>
      <c r="AQ63" s="74" t="str">
        <v>1750901316273160</v>
      </c>
      <c r="AR63" s="74"/>
      <c r="AS63" s="74" t="str">
        <v>花西子-杭州宜格CID投放-5X东方妆奁</v>
      </c>
      <c r="AT63" s="74" t="str">
        <v>花西子</v>
      </c>
    </row>
    <row r="64">
      <c r="A64" s="132" t="str">
        <v>031440239628ffcff3f0d6cfb2be0002</v>
      </c>
      <c r="B64" s="132"/>
      <c r="C64" s="132"/>
      <c r="D64" s="132" t="str">
        <v>ycss02;</v>
      </c>
      <c r="E64" s="132"/>
      <c r="F64" s="82"/>
      <c r="G64" s="132" t="str">
        <v>0.00</v>
      </c>
      <c r="H64" s="132"/>
      <c r="I64" s="132" t="str">
        <v>0.00</v>
      </c>
      <c r="J64" s="132"/>
      <c r="K64" s="132" t="str">
        <v>0.00</v>
      </c>
      <c r="L64" s="132"/>
      <c r="M64" s="132" t="str">
        <v>0.00</v>
      </c>
      <c r="N64" s="132"/>
      <c r="O64" s="132" t="str">
        <v>0.00</v>
      </c>
      <c r="P64" s="132"/>
      <c r="Q64" s="132" t="str">
        <v>0.00</v>
      </c>
      <c r="R64" s="132"/>
      <c r="S64" s="132" t="str">
        <v>未完结</v>
      </c>
      <c r="T64" s="132"/>
      <c r="U64" s="74"/>
      <c r="V64" s="74" t="str">
        <v>广东省广告集团股份有限公司</v>
      </c>
      <c r="W64" s="74" t="str">
        <v>抖音</v>
      </c>
      <c r="X64" s="74" t="str">
        <v>1758638394426375</v>
      </c>
      <c r="Y64" s="74" t="str">
        <v>AD信息流</v>
      </c>
      <c r="Z64" s="74"/>
      <c r="AA64" s="74" t="str">
        <v>否</v>
      </c>
      <c r="AB64" s="74" t="str">
        <v>否</v>
      </c>
      <c r="AC64" s="74" t="str">
        <v>否</v>
      </c>
      <c r="AD64" s="74"/>
      <c r="AE64" s="74"/>
      <c r="AF64" s="74"/>
      <c r="AG64" s="74"/>
      <c r="AH64" s="74" t="str">
        <v>志文（罗志文）</v>
      </c>
      <c r="AI64" s="74"/>
      <c r="AJ64" s="74" t="str">
        <v>杭州宜格化妆品有限公司</v>
      </c>
      <c r="AK64" s="74"/>
      <c r="AL64" s="74"/>
      <c r="AM64" s="74"/>
      <c r="AN64" s="74" t="str">
        <v>自投</v>
      </c>
      <c r="AO64" s="131">
        <v>36526</v>
      </c>
      <c r="AP64" s="74" t="str">
        <v>站外</v>
      </c>
      <c r="AQ64" s="74" t="str">
        <v>1758638394426375</v>
      </c>
      <c r="AR64" s="74"/>
      <c r="AS64" s="74" t="str">
        <v>定妆花西子-杭州宜格CID投放-21玉养喷雾</v>
      </c>
      <c r="AT64" s="74" t="str">
        <v>花西子</v>
      </c>
    </row>
    <row r="65">
      <c r="A65" s="132" t="str">
        <v>031440239738ffcff3f0d6cfb2be0002</v>
      </c>
      <c r="B65" s="132"/>
      <c r="C65" s="132"/>
      <c r="D65" s="132" t="str">
        <v>ycss02;</v>
      </c>
      <c r="E65" s="132"/>
      <c r="F65" s="82"/>
      <c r="G65" s="132" t="str">
        <v>0.00</v>
      </c>
      <c r="H65" s="132"/>
      <c r="I65" s="132" t="str">
        <v>0.00</v>
      </c>
      <c r="J65" s="132"/>
      <c r="K65" s="132" t="str">
        <v>0.00</v>
      </c>
      <c r="L65" s="132"/>
      <c r="M65" s="132" t="str">
        <v>0.00</v>
      </c>
      <c r="N65" s="132"/>
      <c r="O65" s="132" t="str">
        <v>0.00</v>
      </c>
      <c r="P65" s="132"/>
      <c r="Q65" s="132" t="str">
        <v>0.00</v>
      </c>
      <c r="R65" s="132"/>
      <c r="S65" s="132" t="str">
        <v>未完结</v>
      </c>
      <c r="T65" s="132"/>
      <c r="U65" s="74"/>
      <c r="V65" s="74" t="str">
        <v>广东省广告集团股份有限公司</v>
      </c>
      <c r="W65" s="74" t="str">
        <v>抖音</v>
      </c>
      <c r="X65" s="74" t="str">
        <v>1752335656568839</v>
      </c>
      <c r="Y65" s="74" t="str">
        <v>AD信息流</v>
      </c>
      <c r="Z65" s="74"/>
      <c r="AA65" s="74" t="str">
        <v>否</v>
      </c>
      <c r="AB65" s="74" t="str">
        <v>否</v>
      </c>
      <c r="AC65" s="74" t="str">
        <v>否</v>
      </c>
      <c r="AD65" s="74"/>
      <c r="AE65" s="74"/>
      <c r="AF65" s="74"/>
      <c r="AG65" s="74"/>
      <c r="AH65" s="74" t="str">
        <v>阿布（胡晓伟）</v>
      </c>
      <c r="AI65" s="74"/>
      <c r="AJ65" s="74" t="str">
        <v>杭州宜格化妆品有限公司</v>
      </c>
      <c r="AK65" s="74"/>
      <c r="AL65" s="74"/>
      <c r="AM65" s="74"/>
      <c r="AN65" s="74" t="str">
        <v>自投</v>
      </c>
      <c r="AO65" s="131">
        <v>36526</v>
      </c>
      <c r="AP65" s="74" t="str">
        <v>站外</v>
      </c>
      <c r="AQ65" s="74" t="str">
        <v>1752335656568839</v>
      </c>
      <c r="AR65" s="74"/>
      <c r="AS65" s="74" t="str">
        <v>abu花西子-杭州宜格CID投放-13小黛伞防晒</v>
      </c>
      <c r="AT65" s="74" t="str">
        <v>花西子</v>
      </c>
    </row>
    <row r="66">
      <c r="A66" s="132" t="str">
        <v>031440239828ffcff3f0d6cfb2be0002</v>
      </c>
      <c r="B66" s="132"/>
      <c r="C66" s="132"/>
      <c r="D66" s="132" t="str">
        <v>ycss02;</v>
      </c>
      <c r="E66" s="132"/>
      <c r="F66" s="82"/>
      <c r="G66" s="132" t="str">
        <v>0.00</v>
      </c>
      <c r="H66" s="132"/>
      <c r="I66" s="132" t="str">
        <v>0.00</v>
      </c>
      <c r="J66" s="132"/>
      <c r="K66" s="132" t="str">
        <v>0.00</v>
      </c>
      <c r="L66" s="132"/>
      <c r="M66" s="132" t="str">
        <v>0.00</v>
      </c>
      <c r="N66" s="132"/>
      <c r="O66" s="132" t="str">
        <v>0.00</v>
      </c>
      <c r="P66" s="132"/>
      <c r="Q66" s="132" t="str">
        <v>0.00</v>
      </c>
      <c r="R66" s="132"/>
      <c r="S66" s="132" t="str">
        <v>未完结</v>
      </c>
      <c r="T66" s="132"/>
      <c r="U66" s="74"/>
      <c r="V66" s="74" t="str">
        <v>广东省广告集团股份有限公司</v>
      </c>
      <c r="W66" s="74" t="str">
        <v>抖音</v>
      </c>
      <c r="X66" s="74" t="str">
        <v>1752335660988424</v>
      </c>
      <c r="Y66" s="74" t="str">
        <v>AD信息流</v>
      </c>
      <c r="Z66" s="74"/>
      <c r="AA66" s="74" t="str">
        <v>否</v>
      </c>
      <c r="AB66" s="74" t="str">
        <v>否</v>
      </c>
      <c r="AC66" s="74" t="str">
        <v>否</v>
      </c>
      <c r="AD66" s="74"/>
      <c r="AE66" s="74"/>
      <c r="AF66" s="74"/>
      <c r="AG66" s="74"/>
      <c r="AH66" s="74" t="str">
        <v>志文（罗志文）</v>
      </c>
      <c r="AI66" s="74"/>
      <c r="AJ66" s="74" t="str">
        <v>杭州宜格化妆品有限公司</v>
      </c>
      <c r="AK66" s="74"/>
      <c r="AL66" s="74"/>
      <c r="AM66" s="74"/>
      <c r="AN66" s="74" t="str">
        <v>自投</v>
      </c>
      <c r="AO66" s="131">
        <v>36526</v>
      </c>
      <c r="AP66" s="74" t="str">
        <v>站外</v>
      </c>
      <c r="AQ66" s="74" t="str">
        <v>1752335660988424</v>
      </c>
      <c r="AR66" s="74"/>
      <c r="AS66" s="74" t="str">
        <v>定妆花西子-杭州宜格CID投放-20玉养蜜粉</v>
      </c>
      <c r="AT66" s="74" t="str">
        <v>花西子</v>
      </c>
    </row>
    <row r="67">
      <c r="A67" s="132" t="str">
        <v>031440239918ffcff3f0d6cfb2be0002</v>
      </c>
      <c r="B67" s="132"/>
      <c r="C67" s="132"/>
      <c r="D67" s="132" t="str">
        <v>ycss02;</v>
      </c>
      <c r="E67" s="132"/>
      <c r="F67" s="82"/>
      <c r="G67" s="132" t="str">
        <v>0.00</v>
      </c>
      <c r="H67" s="132"/>
      <c r="I67" s="132" t="str">
        <v>0.00</v>
      </c>
      <c r="J67" s="132"/>
      <c r="K67" s="132" t="str">
        <v>0.00</v>
      </c>
      <c r="L67" s="132"/>
      <c r="M67" s="132" t="str">
        <v>0.00</v>
      </c>
      <c r="N67" s="132"/>
      <c r="O67" s="132" t="str">
        <v>0.00</v>
      </c>
      <c r="P67" s="132"/>
      <c r="Q67" s="132" t="str">
        <v>0.00</v>
      </c>
      <c r="R67" s="132"/>
      <c r="S67" s="132" t="str">
        <v>未完结</v>
      </c>
      <c r="T67" s="132"/>
      <c r="U67" s="74"/>
      <c r="V67" s="74" t="str">
        <v>广东省广告集团股份有限公司</v>
      </c>
      <c r="W67" s="74" t="str">
        <v>抖音</v>
      </c>
      <c r="X67" s="74" t="str">
        <v>1750818944045070</v>
      </c>
      <c r="Y67" s="74" t="str">
        <v>AD信息流</v>
      </c>
      <c r="Z67" s="74"/>
      <c r="AA67" s="74" t="str">
        <v>否</v>
      </c>
      <c r="AB67" s="74" t="str">
        <v>否</v>
      </c>
      <c r="AC67" s="74" t="str">
        <v>否</v>
      </c>
      <c r="AD67" s="74"/>
      <c r="AE67" s="74"/>
      <c r="AF67" s="74"/>
      <c r="AG67" s="74"/>
      <c r="AH67" s="74" t="str">
        <v>阿布（胡晓伟）</v>
      </c>
      <c r="AI67" s="74"/>
      <c r="AJ67" s="74" t="str">
        <v>杭州宜格化妆品有限公司</v>
      </c>
      <c r="AK67" s="74"/>
      <c r="AL67" s="74"/>
      <c r="AM67" s="74"/>
      <c r="AN67" s="74" t="str">
        <v>自投</v>
      </c>
      <c r="AO67" s="131">
        <v>36526</v>
      </c>
      <c r="AP67" s="74" t="str">
        <v>站外</v>
      </c>
      <c r="AQ67" s="74" t="str">
        <v>1750818944045070</v>
      </c>
      <c r="AR67" s="74"/>
      <c r="AS67" s="74" t="str">
        <v>abu花西子-杭州宜格CID投放-1单层气垫</v>
      </c>
      <c r="AT67" s="74" t="str">
        <v>花西子</v>
      </c>
    </row>
    <row r="68">
      <c r="A68" s="132" t="str">
        <v>031440239a18ffcff3f0d6cfb2be0002</v>
      </c>
      <c r="B68" s="132"/>
      <c r="C68" s="132"/>
      <c r="D68" s="132" t="str">
        <v>ycss02;</v>
      </c>
      <c r="E68" s="132"/>
      <c r="F68" s="82"/>
      <c r="G68" s="132" t="str">
        <v>0.00</v>
      </c>
      <c r="H68" s="132"/>
      <c r="I68" s="132" t="str">
        <v>0.00</v>
      </c>
      <c r="J68" s="132"/>
      <c r="K68" s="132" t="str">
        <v>0.00</v>
      </c>
      <c r="L68" s="132"/>
      <c r="M68" s="132" t="str">
        <v>0.00</v>
      </c>
      <c r="N68" s="132"/>
      <c r="O68" s="132" t="str">
        <v>0.00</v>
      </c>
      <c r="P68" s="132"/>
      <c r="Q68" s="132" t="str">
        <v>0.00</v>
      </c>
      <c r="R68" s="132"/>
      <c r="S68" s="132" t="str">
        <v>未完结</v>
      </c>
      <c r="T68" s="132"/>
      <c r="U68" s="74"/>
      <c r="V68" s="74" t="str">
        <v>广东省广告集团股份有限公司</v>
      </c>
      <c r="W68" s="74" t="str">
        <v>抖音</v>
      </c>
      <c r="X68" s="74" t="str">
        <v>1752335659719688</v>
      </c>
      <c r="Y68" s="74" t="str">
        <v>AD信息流</v>
      </c>
      <c r="Z68" s="74"/>
      <c r="AA68" s="74" t="str">
        <v>否</v>
      </c>
      <c r="AB68" s="74" t="str">
        <v>否</v>
      </c>
      <c r="AC68" s="74" t="str">
        <v>否</v>
      </c>
      <c r="AD68" s="74"/>
      <c r="AE68" s="74"/>
      <c r="AF68" s="74"/>
      <c r="AG68" s="74"/>
      <c r="AH68" s="74" t="str">
        <v>志文（罗志文）</v>
      </c>
      <c r="AI68" s="74"/>
      <c r="AJ68" s="74" t="str">
        <v>杭州宜格化妆品有限公司</v>
      </c>
      <c r="AK68" s="74"/>
      <c r="AL68" s="74"/>
      <c r="AM68" s="74"/>
      <c r="AN68" s="74" t="str">
        <v>自投</v>
      </c>
      <c r="AO68" s="131">
        <v>36526</v>
      </c>
      <c r="AP68" s="74" t="str">
        <v>站外</v>
      </c>
      <c r="AQ68" s="74" t="str">
        <v>1752335659719688</v>
      </c>
      <c r="AR68" s="74"/>
      <c r="AS68" s="74" t="str">
        <v>定妆花西子-杭州宜格CID投放-18蜜粉饼</v>
      </c>
      <c r="AT68" s="74" t="str">
        <v>花西子</v>
      </c>
    </row>
    <row r="69">
      <c r="A69" s="132" t="str">
        <v>031440239b08ffcff3f0d6cfb2be0002</v>
      </c>
      <c r="B69" s="132"/>
      <c r="C69" s="132"/>
      <c r="D69" s="132" t="str">
        <v>ycss02;</v>
      </c>
      <c r="E69" s="132"/>
      <c r="F69" s="82"/>
      <c r="G69" s="132" t="str">
        <v>0.00</v>
      </c>
      <c r="H69" s="132"/>
      <c r="I69" s="132" t="str">
        <v>0.00</v>
      </c>
      <c r="J69" s="132"/>
      <c r="K69" s="132" t="str">
        <v>0.00</v>
      </c>
      <c r="L69" s="132"/>
      <c r="M69" s="132" t="str">
        <v>0.00</v>
      </c>
      <c r="N69" s="132"/>
      <c r="O69" s="132" t="str">
        <v>0.00</v>
      </c>
      <c r="P69" s="132"/>
      <c r="Q69" s="132" t="str">
        <v>0.00</v>
      </c>
      <c r="R69" s="132"/>
      <c r="S69" s="132" t="str">
        <v>未完结</v>
      </c>
      <c r="T69" s="132"/>
      <c r="U69" s="74"/>
      <c r="V69" s="74" t="str">
        <v>广东省广告集团股份有限公司</v>
      </c>
      <c r="W69" s="74" t="str">
        <v>抖音</v>
      </c>
      <c r="X69" s="74" t="str">
        <v>1750901315529741</v>
      </c>
      <c r="Y69" s="74" t="str">
        <v>AD信息流</v>
      </c>
      <c r="Z69" s="74"/>
      <c r="AA69" s="74" t="str">
        <v>否</v>
      </c>
      <c r="AB69" s="74" t="str">
        <v>否</v>
      </c>
      <c r="AC69" s="74" t="str">
        <v>否</v>
      </c>
      <c r="AD69" s="74"/>
      <c r="AE69" s="74"/>
      <c r="AF69" s="74"/>
      <c r="AG69" s="74"/>
      <c r="AH69" s="74" t="str">
        <v>白纸（张浩霖）</v>
      </c>
      <c r="AI69" s="74"/>
      <c r="AJ69" s="74" t="str">
        <v>杭州宜格化妆品有限公司</v>
      </c>
      <c r="AK69" s="74"/>
      <c r="AL69" s="74"/>
      <c r="AM69" s="74"/>
      <c r="AN69" s="74" t="str">
        <v>自投</v>
      </c>
      <c r="AO69" s="131">
        <v>36526</v>
      </c>
      <c r="AP69" s="74" t="str">
        <v>站外</v>
      </c>
      <c r="AQ69" s="74" t="str">
        <v>1750901315529741</v>
      </c>
      <c r="AR69" s="74"/>
      <c r="AS69" s="74" t="str">
        <v>花西子-杭州宜格CID投放-4X体验礼</v>
      </c>
      <c r="AT69" s="74" t="str">
        <v>花西子</v>
      </c>
    </row>
    <row r="70">
      <c r="A70" s="132" t="str">
        <v>031440239c08ffcff3f0d6cfb2be0002</v>
      </c>
      <c r="B70" s="132"/>
      <c r="C70" s="132"/>
      <c r="D70" s="132" t="str">
        <v>ycss02;</v>
      </c>
      <c r="E70" s="132"/>
      <c r="F70" s="82"/>
      <c r="G70" s="132" t="str">
        <v>0.00</v>
      </c>
      <c r="H70" s="132"/>
      <c r="I70" s="132" t="str">
        <v>0.00</v>
      </c>
      <c r="J70" s="132"/>
      <c r="K70" s="132" t="str">
        <v>0.00</v>
      </c>
      <c r="L70" s="132"/>
      <c r="M70" s="132" t="str">
        <v>0.00</v>
      </c>
      <c r="N70" s="132"/>
      <c r="O70" s="132" t="str">
        <v>0.00</v>
      </c>
      <c r="P70" s="132"/>
      <c r="Q70" s="132" t="str">
        <v>0.00</v>
      </c>
      <c r="R70" s="132"/>
      <c r="S70" s="132" t="str">
        <v>未完结</v>
      </c>
      <c r="T70" s="132"/>
      <c r="U70" s="74"/>
      <c r="V70" s="74" t="str">
        <v>广东省广告集团股份有限公司</v>
      </c>
      <c r="W70" s="74" t="str">
        <v>抖音</v>
      </c>
      <c r="X70" s="74" t="str">
        <v>1752335655402510</v>
      </c>
      <c r="Y70" s="74" t="str">
        <v>AD信息流</v>
      </c>
      <c r="Z70" s="74"/>
      <c r="AA70" s="74" t="str">
        <v>否</v>
      </c>
      <c r="AB70" s="74" t="str">
        <v>否</v>
      </c>
      <c r="AC70" s="74" t="str">
        <v>否</v>
      </c>
      <c r="AD70" s="74"/>
      <c r="AE70" s="74"/>
      <c r="AF70" s="74"/>
      <c r="AG70" s="74"/>
      <c r="AH70" s="74" t="str">
        <v>阿布（胡晓伟）</v>
      </c>
      <c r="AI70" s="74"/>
      <c r="AJ70" s="74" t="str">
        <v>杭州宜格化妆品有限公司</v>
      </c>
      <c r="AK70" s="74"/>
      <c r="AL70" s="74"/>
      <c r="AM70" s="74"/>
      <c r="AN70" s="74" t="str">
        <v>自投</v>
      </c>
      <c r="AO70" s="131">
        <v>36526</v>
      </c>
      <c r="AP70" s="74" t="str">
        <v>站外</v>
      </c>
      <c r="AQ70" s="74" t="str">
        <v>1752335655402510</v>
      </c>
      <c r="AR70" s="74"/>
      <c r="AS70" s="74" t="str">
        <v>abu花西子-杭州宜格CID投放-11单层气垫</v>
      </c>
      <c r="AT70" s="74" t="str">
        <v>花西子</v>
      </c>
    </row>
    <row r="71">
      <c r="A71" s="132" t="str">
        <v>031440239d08ffcff3f0d6cfb2be0002</v>
      </c>
      <c r="B71" s="132"/>
      <c r="C71" s="132"/>
      <c r="D71" s="132" t="str">
        <v>ycss02;</v>
      </c>
      <c r="E71" s="132"/>
      <c r="F71" s="82"/>
      <c r="G71" s="132" t="str">
        <v>0.00</v>
      </c>
      <c r="H71" s="132"/>
      <c r="I71" s="132" t="str">
        <v>0.00</v>
      </c>
      <c r="J71" s="132"/>
      <c r="K71" s="132" t="str">
        <v>0.00</v>
      </c>
      <c r="L71" s="132"/>
      <c r="M71" s="132" t="str">
        <v>0.00</v>
      </c>
      <c r="N71" s="132"/>
      <c r="O71" s="132" t="str">
        <v>0.00</v>
      </c>
      <c r="P71" s="132"/>
      <c r="Q71" s="132" t="str">
        <v>0.00</v>
      </c>
      <c r="R71" s="132"/>
      <c r="S71" s="132" t="str">
        <v>未完结</v>
      </c>
      <c r="T71" s="132"/>
      <c r="U71" s="74"/>
      <c r="V71" s="74" t="str">
        <v>广东省广告集团股份有限公司</v>
      </c>
      <c r="W71" s="74" t="str">
        <v>抖音</v>
      </c>
      <c r="X71" s="74" t="str">
        <v>1752335657794574</v>
      </c>
      <c r="Y71" s="74" t="str">
        <v>AD信息流</v>
      </c>
      <c r="Z71" s="74"/>
      <c r="AA71" s="74" t="str">
        <v>否</v>
      </c>
      <c r="AB71" s="74" t="str">
        <v>否</v>
      </c>
      <c r="AC71" s="74" t="str">
        <v>否</v>
      </c>
      <c r="AD71" s="74"/>
      <c r="AE71" s="74"/>
      <c r="AF71" s="74"/>
      <c r="AG71" s="74"/>
      <c r="AH71" s="74" t="str">
        <v>白纸（张浩霖）</v>
      </c>
      <c r="AI71" s="74"/>
      <c r="AJ71" s="74" t="str">
        <v>杭州宜格化妆品有限公司</v>
      </c>
      <c r="AK71" s="74"/>
      <c r="AL71" s="74"/>
      <c r="AM71" s="74"/>
      <c r="AN71" s="74" t="str">
        <v>自投</v>
      </c>
      <c r="AO71" s="131">
        <v>36526</v>
      </c>
      <c r="AP71" s="74" t="str">
        <v>站外</v>
      </c>
      <c r="AQ71" s="74" t="str">
        <v>1752335657794574</v>
      </c>
      <c r="AR71" s="74"/>
      <c r="AS71" s="74" t="str">
        <v>花西子-杭州宜格CID投放-15X唇纱礼盒</v>
      </c>
      <c r="AT71" s="74" t="str">
        <v>花西子</v>
      </c>
    </row>
    <row r="72">
      <c r="A72" s="132" t="str">
        <v>031440239df8ffcff3f0d6cfb2be0002</v>
      </c>
      <c r="B72" s="132"/>
      <c r="C72" s="132"/>
      <c r="D72" s="132" t="str">
        <v>ycss02;</v>
      </c>
      <c r="E72" s="132"/>
      <c r="F72" s="82"/>
      <c r="G72" s="132" t="str">
        <v>0.00</v>
      </c>
      <c r="H72" s="132"/>
      <c r="I72" s="132" t="str">
        <v>0.00</v>
      </c>
      <c r="J72" s="132"/>
      <c r="K72" s="132" t="str">
        <v>0.00</v>
      </c>
      <c r="L72" s="132"/>
      <c r="M72" s="132" t="str">
        <v>0.00</v>
      </c>
      <c r="N72" s="132"/>
      <c r="O72" s="132" t="str">
        <v>0.00</v>
      </c>
      <c r="P72" s="132"/>
      <c r="Q72" s="132" t="str">
        <v>0.00</v>
      </c>
      <c r="R72" s="132"/>
      <c r="S72" s="132" t="str">
        <v>未完结</v>
      </c>
      <c r="T72" s="132"/>
      <c r="U72" s="74"/>
      <c r="V72" s="74" t="str">
        <v>广东省广告集团股份有限公司</v>
      </c>
      <c r="W72" s="74" t="str">
        <v>抖音</v>
      </c>
      <c r="X72" s="74" t="str">
        <v>1761603636183048</v>
      </c>
      <c r="Y72" s="74" t="str">
        <v>AD信息流</v>
      </c>
      <c r="Z72" s="74"/>
      <c r="AA72" s="74" t="str">
        <v>否</v>
      </c>
      <c r="AB72" s="74" t="str">
        <v>否</v>
      </c>
      <c r="AC72" s="74" t="str">
        <v>否</v>
      </c>
      <c r="AD72" s="74"/>
      <c r="AE72" s="74"/>
      <c r="AF72" s="74"/>
      <c r="AG72" s="74"/>
      <c r="AH72" s="74" t="str">
        <v>阿布（胡晓伟）</v>
      </c>
      <c r="AI72" s="74"/>
      <c r="AJ72" s="74" t="str">
        <v>杭州宜格化妆品有限公司</v>
      </c>
      <c r="AK72" s="74"/>
      <c r="AL72" s="74"/>
      <c r="AM72" s="74"/>
      <c r="AN72" s="74" t="str">
        <v>自投</v>
      </c>
      <c r="AO72" s="131">
        <v>36526</v>
      </c>
      <c r="AP72" s="74" t="str">
        <v>站外</v>
      </c>
      <c r="AQ72" s="74" t="str">
        <v>1761603636183048</v>
      </c>
      <c r="AR72" s="74"/>
      <c r="AS72" s="74" t="str">
        <v>abuHZP-省广-CZHF-小黛伞防晒</v>
      </c>
      <c r="AT72" s="74" t="str">
        <v>花西子</v>
      </c>
    </row>
    <row r="73">
      <c r="A73" s="132" t="str">
        <v>031440239ef8ffcff3f0d6cfb2be0002</v>
      </c>
      <c r="B73" s="132"/>
      <c r="C73" s="132"/>
      <c r="D73" s="132" t="str">
        <v>ycss02;</v>
      </c>
      <c r="E73" s="132"/>
      <c r="F73" s="82"/>
      <c r="G73" s="132" t="str">
        <v>0.00</v>
      </c>
      <c r="H73" s="132"/>
      <c r="I73" s="132" t="str">
        <v>0.00</v>
      </c>
      <c r="J73" s="132"/>
      <c r="K73" s="132" t="str">
        <v>0.00</v>
      </c>
      <c r="L73" s="132"/>
      <c r="M73" s="132" t="str">
        <v>0.00</v>
      </c>
      <c r="N73" s="132"/>
      <c r="O73" s="132" t="str">
        <v>0.00</v>
      </c>
      <c r="P73" s="132"/>
      <c r="Q73" s="132" t="str">
        <v>0.00</v>
      </c>
      <c r="R73" s="132"/>
      <c r="S73" s="132" t="str">
        <v>未完结</v>
      </c>
      <c r="T73" s="132"/>
      <c r="U73" s="74"/>
      <c r="V73" s="74" t="str">
        <v>广东省广告集团股份有限公司</v>
      </c>
      <c r="W73" s="74" t="str">
        <v>抖音</v>
      </c>
      <c r="X73" s="74" t="str">
        <v>1758638397286413</v>
      </c>
      <c r="Y73" s="74" t="str">
        <v>AD信息流</v>
      </c>
      <c r="Z73" s="74"/>
      <c r="AA73" s="74" t="str">
        <v>否</v>
      </c>
      <c r="AB73" s="74" t="str">
        <v>否</v>
      </c>
      <c r="AC73" s="74" t="str">
        <v>否</v>
      </c>
      <c r="AD73" s="74"/>
      <c r="AE73" s="74"/>
      <c r="AF73" s="74"/>
      <c r="AG73" s="74"/>
      <c r="AH73" s="74" t="str">
        <v>白纸（张浩霖）</v>
      </c>
      <c r="AI73" s="74"/>
      <c r="AJ73" s="74" t="str">
        <v>杭州宜格化妆品有限公司</v>
      </c>
      <c r="AK73" s="74"/>
      <c r="AL73" s="74"/>
      <c r="AM73" s="74"/>
      <c r="AN73" s="74" t="str">
        <v>自投</v>
      </c>
      <c r="AO73" s="131">
        <v>36526</v>
      </c>
      <c r="AP73" s="74" t="str">
        <v>站外</v>
      </c>
      <c r="AQ73" s="74" t="str">
        <v>1758638397286413</v>
      </c>
      <c r="AR73" s="74"/>
      <c r="AS73" s="74" t="str">
        <v>花西子-杭州宜格CID投放-25X卸妆油</v>
      </c>
      <c r="AT73" s="74" t="str">
        <v>花西子</v>
      </c>
    </row>
    <row r="74">
      <c r="A74" s="132" t="str">
        <v>031440239ff8ffcff3f0d6cfb2be0002</v>
      </c>
      <c r="B74" s="132"/>
      <c r="C74" s="132"/>
      <c r="D74" s="132" t="str">
        <v>ycss02;</v>
      </c>
      <c r="E74" s="132"/>
      <c r="F74" s="82"/>
      <c r="G74" s="132" t="str">
        <v>0.00</v>
      </c>
      <c r="H74" s="132"/>
      <c r="I74" s="132" t="str">
        <v>0.00</v>
      </c>
      <c r="J74" s="132"/>
      <c r="K74" s="132" t="str">
        <v>0.00</v>
      </c>
      <c r="L74" s="132"/>
      <c r="M74" s="132" t="str">
        <v>0.00</v>
      </c>
      <c r="N74" s="132"/>
      <c r="O74" s="132" t="str">
        <v>0.00</v>
      </c>
      <c r="P74" s="132"/>
      <c r="Q74" s="132" t="str">
        <v>0.00</v>
      </c>
      <c r="R74" s="132"/>
      <c r="S74" s="132" t="str">
        <v>未完结</v>
      </c>
      <c r="T74" s="132"/>
      <c r="U74" s="74"/>
      <c r="V74" s="74" t="str">
        <v>广东省广告集团股份有限公司</v>
      </c>
      <c r="W74" s="74" t="str">
        <v>抖音</v>
      </c>
      <c r="X74" s="74" t="str">
        <v>1731500988171336</v>
      </c>
      <c r="Y74" s="74" t="str">
        <v>AD信息流</v>
      </c>
      <c r="Z74" s="74"/>
      <c r="AA74" s="74" t="str">
        <v>否</v>
      </c>
      <c r="AB74" s="74" t="str">
        <v>否</v>
      </c>
      <c r="AC74" s="74" t="str">
        <v>否</v>
      </c>
      <c r="AD74" s="74"/>
      <c r="AE74" s="74"/>
      <c r="AF74" s="74"/>
      <c r="AG74" s="74"/>
      <c r="AH74" s="74" t="str">
        <v>志文（罗志文）</v>
      </c>
      <c r="AI74" s="74"/>
      <c r="AJ74" s="74" t="str">
        <v>杭州宜格化妆品有限公司</v>
      </c>
      <c r="AK74" s="74"/>
      <c r="AL74" s="74"/>
      <c r="AM74" s="74"/>
      <c r="AN74" s="74" t="str">
        <v>自投</v>
      </c>
      <c r="AO74" s="131">
        <v>36526</v>
      </c>
      <c r="AP74" s="74" t="str">
        <v>站外</v>
      </c>
      <c r="AQ74" s="74" t="str">
        <v>1731500988171336</v>
      </c>
      <c r="AR74" s="74"/>
      <c r="AS74" s="74" t="str">
        <v>杭州宜格-省广-CID测试-蜜粉饼</v>
      </c>
      <c r="AT74" s="74" t="str">
        <v>花西子</v>
      </c>
    </row>
    <row r="75">
      <c r="A75" s="132" t="str">
        <v>03144023a0e8ffcff3f0d6cfb2be0002</v>
      </c>
      <c r="B75" s="132"/>
      <c r="C75" s="132"/>
      <c r="D75" s="132" t="str">
        <v>ycss02;</v>
      </c>
      <c r="E75" s="132"/>
      <c r="F75" s="82"/>
      <c r="G75" s="132" t="str">
        <v>0.00</v>
      </c>
      <c r="H75" s="132"/>
      <c r="I75" s="132" t="str">
        <v>0.00</v>
      </c>
      <c r="J75" s="132"/>
      <c r="K75" s="132" t="str">
        <v>0.00</v>
      </c>
      <c r="L75" s="132"/>
      <c r="M75" s="132" t="str">
        <v>0.00</v>
      </c>
      <c r="N75" s="132"/>
      <c r="O75" s="132" t="str">
        <v>0.00</v>
      </c>
      <c r="P75" s="132"/>
      <c r="Q75" s="132" t="str">
        <v>0.00</v>
      </c>
      <c r="R75" s="132"/>
      <c r="S75" s="132" t="str">
        <v>未完结</v>
      </c>
      <c r="T75" s="132"/>
      <c r="U75" s="74"/>
      <c r="V75" s="74" t="str">
        <v>广东省广告集团股份有限公司</v>
      </c>
      <c r="W75" s="74" t="str">
        <v>抖音</v>
      </c>
      <c r="X75" s="74" t="str">
        <v>1728523273383949</v>
      </c>
      <c r="Y75" s="74" t="str">
        <v>AD信息流</v>
      </c>
      <c r="Z75" s="74"/>
      <c r="AA75" s="74" t="str">
        <v>否</v>
      </c>
      <c r="AB75" s="74" t="str">
        <v>否</v>
      </c>
      <c r="AC75" s="74" t="str">
        <v>否</v>
      </c>
      <c r="AD75" s="74"/>
      <c r="AE75" s="74"/>
      <c r="AF75" s="74"/>
      <c r="AG75" s="74"/>
      <c r="AH75" s="74" t="str">
        <v>阿布（胡晓伟）</v>
      </c>
      <c r="AI75" s="74"/>
      <c r="AJ75" s="74" t="str">
        <v>杭州宜格化妆品有限公司</v>
      </c>
      <c r="AK75" s="74"/>
      <c r="AL75" s="74"/>
      <c r="AM75" s="74"/>
      <c r="AN75" s="74" t="str">
        <v>自投</v>
      </c>
      <c r="AO75" s="131">
        <v>36526</v>
      </c>
      <c r="AP75" s="74" t="str">
        <v>站外</v>
      </c>
      <c r="AQ75" s="74" t="str">
        <v>1728523273383949</v>
      </c>
      <c r="AR75" s="74"/>
      <c r="AS75" s="74" t="str">
        <v>HZP-天猫AD信息流-省广-10-代运营（备款）</v>
      </c>
      <c r="AT75" s="74" t="str">
        <v>花西子</v>
      </c>
    </row>
    <row r="76">
      <c r="A76" s="132" t="str">
        <v>03144023a208ffcff3f0d6cfb2be0002</v>
      </c>
      <c r="B76" s="132"/>
      <c r="C76" s="132"/>
      <c r="D76" s="132" t="str">
        <v>ycss02;</v>
      </c>
      <c r="E76" s="132"/>
      <c r="F76" s="82"/>
      <c r="G76" s="132" t="str">
        <v>0.00</v>
      </c>
      <c r="H76" s="132"/>
      <c r="I76" s="132" t="str">
        <v>0.00</v>
      </c>
      <c r="J76" s="132"/>
      <c r="K76" s="132" t="str">
        <v>0.00</v>
      </c>
      <c r="L76" s="132"/>
      <c r="M76" s="132" t="str">
        <v>0.00</v>
      </c>
      <c r="N76" s="132"/>
      <c r="O76" s="132" t="str">
        <v>0.00</v>
      </c>
      <c r="P76" s="132"/>
      <c r="Q76" s="132" t="str">
        <v>0.00</v>
      </c>
      <c r="R76" s="132"/>
      <c r="S76" s="132" t="str">
        <v>未完结</v>
      </c>
      <c r="T76" s="132"/>
      <c r="U76" s="74"/>
      <c r="V76" s="74" t="str">
        <v>广东省广告集团股份有限公司</v>
      </c>
      <c r="W76" s="74" t="str">
        <v>抖音</v>
      </c>
      <c r="X76" s="74" t="str">
        <v>1728523268627592</v>
      </c>
      <c r="Y76" s="74" t="str">
        <v>AD信息流</v>
      </c>
      <c r="Z76" s="74"/>
      <c r="AA76" s="74" t="str">
        <v>否</v>
      </c>
      <c r="AB76" s="74" t="str">
        <v>否</v>
      </c>
      <c r="AC76" s="74" t="str">
        <v>否</v>
      </c>
      <c r="AD76" s="74"/>
      <c r="AE76" s="74"/>
      <c r="AF76" s="74"/>
      <c r="AG76" s="74"/>
      <c r="AH76" s="74" t="str">
        <v>阿布（胡晓伟）</v>
      </c>
      <c r="AI76" s="74"/>
      <c r="AJ76" s="74" t="str">
        <v>杭州宜格化妆品有限公司</v>
      </c>
      <c r="AK76" s="74"/>
      <c r="AL76" s="74"/>
      <c r="AM76" s="74"/>
      <c r="AN76" s="74" t="str">
        <v>自投</v>
      </c>
      <c r="AO76" s="131">
        <v>36526</v>
      </c>
      <c r="AP76" s="74" t="str">
        <v>站外</v>
      </c>
      <c r="AQ76" s="74" t="str">
        <v>1728523268627592</v>
      </c>
      <c r="AR76" s="74"/>
      <c r="AS76" s="74" t="str">
        <v>HZP-天猫AD信息流-省广-05（备款）</v>
      </c>
      <c r="AT76" s="74" t="str">
        <v>花西子</v>
      </c>
    </row>
    <row r="77">
      <c r="A77" s="132" t="str">
        <v>03144023a2f8ffcff3f0d6cfb2be0002</v>
      </c>
      <c r="B77" s="132"/>
      <c r="C77" s="132"/>
      <c r="D77" s="132" t="str">
        <v>ycss02;</v>
      </c>
      <c r="E77" s="132"/>
      <c r="F77" s="82"/>
      <c r="G77" s="132" t="str">
        <v>0.00</v>
      </c>
      <c r="H77" s="132"/>
      <c r="I77" s="132" t="str">
        <v>0.00</v>
      </c>
      <c r="J77" s="132"/>
      <c r="K77" s="132" t="str">
        <v>0.00</v>
      </c>
      <c r="L77" s="132"/>
      <c r="M77" s="132" t="str">
        <v>0.00</v>
      </c>
      <c r="N77" s="132"/>
      <c r="O77" s="132" t="str">
        <v>0.00</v>
      </c>
      <c r="P77" s="132"/>
      <c r="Q77" s="132" t="str">
        <v>0.00</v>
      </c>
      <c r="R77" s="132"/>
      <c r="S77" s="132" t="str">
        <v>未完结</v>
      </c>
      <c r="T77" s="132"/>
      <c r="U77" s="74"/>
      <c r="V77" s="74" t="str">
        <v>广东省广告集团股份有限公司</v>
      </c>
      <c r="W77" s="74" t="str">
        <v>抖音</v>
      </c>
      <c r="X77" s="74" t="str">
        <v>1731351048920072</v>
      </c>
      <c r="Y77" s="74" t="str">
        <v>AD信息流</v>
      </c>
      <c r="Z77" s="74"/>
      <c r="AA77" s="74" t="str">
        <v>否</v>
      </c>
      <c r="AB77" s="74" t="str">
        <v>否</v>
      </c>
      <c r="AC77" s="74" t="str">
        <v>否</v>
      </c>
      <c r="AD77" s="74"/>
      <c r="AE77" s="74"/>
      <c r="AF77" s="74"/>
      <c r="AG77" s="74"/>
      <c r="AH77" s="74" t="str">
        <v>白纸（张浩霖）</v>
      </c>
      <c r="AI77" s="74"/>
      <c r="AJ77" s="74" t="str">
        <v>杭州宜格化妆品有限公司</v>
      </c>
      <c r="AK77" s="74"/>
      <c r="AL77" s="74"/>
      <c r="AM77" s="74"/>
      <c r="AN77" s="74" t="str">
        <v>自投</v>
      </c>
      <c r="AO77" s="131">
        <v>36526</v>
      </c>
      <c r="AP77" s="74" t="str">
        <v>站外</v>
      </c>
      <c r="AQ77" s="74" t="str">
        <v>1731351048920072</v>
      </c>
      <c r="AR77" s="74"/>
      <c r="AS77" s="74" t="str">
        <v>HZP-天猫AD信息流-省广-11(循安）</v>
      </c>
      <c r="AT77" s="74" t="str">
        <v>花西子</v>
      </c>
    </row>
    <row r="78">
      <c r="A78" s="132" t="str">
        <v>03144023a3f8ffcff3f0d6cfb2be0002</v>
      </c>
      <c r="B78" s="132"/>
      <c r="C78" s="132"/>
      <c r="D78" s="132" t="str">
        <v>ycss02;</v>
      </c>
      <c r="E78" s="132"/>
      <c r="F78" s="82"/>
      <c r="G78" s="132" t="str">
        <v>0.00</v>
      </c>
      <c r="H78" s="132"/>
      <c r="I78" s="132" t="str">
        <v>0.00</v>
      </c>
      <c r="J78" s="132"/>
      <c r="K78" s="132" t="str">
        <v>0.00</v>
      </c>
      <c r="L78" s="132"/>
      <c r="M78" s="132" t="str">
        <v>0.00</v>
      </c>
      <c r="N78" s="132"/>
      <c r="O78" s="132" t="str">
        <v>0.00</v>
      </c>
      <c r="P78" s="132"/>
      <c r="Q78" s="132" t="str">
        <v>0.00</v>
      </c>
      <c r="R78" s="132"/>
      <c r="S78" s="132" t="str">
        <v>未完结</v>
      </c>
      <c r="T78" s="132"/>
      <c r="U78" s="74"/>
      <c r="V78" s="74" t="str">
        <v>广东省广告集团股份有限公司</v>
      </c>
      <c r="W78" s="74" t="str">
        <v>抖音</v>
      </c>
      <c r="X78" s="74" t="str">
        <v>1735143036523527</v>
      </c>
      <c r="Y78" s="74" t="str">
        <v>AD信息流</v>
      </c>
      <c r="Z78" s="74"/>
      <c r="AA78" s="74" t="str">
        <v>否</v>
      </c>
      <c r="AB78" s="74" t="str">
        <v>否</v>
      </c>
      <c r="AC78" s="74" t="str">
        <v>否</v>
      </c>
      <c r="AD78" s="74"/>
      <c r="AE78" s="74"/>
      <c r="AF78" s="74"/>
      <c r="AG78" s="74"/>
      <c r="AH78" s="74" t="str">
        <v>志文（罗志文）</v>
      </c>
      <c r="AI78" s="74"/>
      <c r="AJ78" s="74" t="str">
        <v>杭州宜格化妆品有限公司</v>
      </c>
      <c r="AK78" s="74"/>
      <c r="AL78" s="74"/>
      <c r="AM78" s="74"/>
      <c r="AN78" s="74" t="str">
        <v>自投</v>
      </c>
      <c r="AO78" s="131">
        <v>36526</v>
      </c>
      <c r="AP78" s="74" t="str">
        <v>站外</v>
      </c>
      <c r="AQ78" s="74" t="str">
        <v>1735143036523527</v>
      </c>
      <c r="AR78" s="74"/>
      <c r="AS78" s="74" t="str">
        <v>HZP-天猫AD信息流-省广13-代运营-玉养蜜粉</v>
      </c>
      <c r="AT78" s="74" t="str">
        <v>花西子</v>
      </c>
    </row>
    <row r="79">
      <c r="A79" s="132" t="str">
        <v>03144023a4e8ffcff3f0d6cfb2be0002</v>
      </c>
      <c r="B79" s="132"/>
      <c r="C79" s="132"/>
      <c r="D79" s="132" t="str">
        <v>ycss02;</v>
      </c>
      <c r="E79" s="132"/>
      <c r="F79" s="82"/>
      <c r="G79" s="132" t="str">
        <v>0.00</v>
      </c>
      <c r="H79" s="132"/>
      <c r="I79" s="132" t="str">
        <v>0.00</v>
      </c>
      <c r="J79" s="132"/>
      <c r="K79" s="132" t="str">
        <v>0.00</v>
      </c>
      <c r="L79" s="132"/>
      <c r="M79" s="132" t="str">
        <v>0.00</v>
      </c>
      <c r="N79" s="132"/>
      <c r="O79" s="132" t="str">
        <v>0.00</v>
      </c>
      <c r="P79" s="132"/>
      <c r="Q79" s="132" t="str">
        <v>0.00</v>
      </c>
      <c r="R79" s="132"/>
      <c r="S79" s="132" t="str">
        <v>未完结</v>
      </c>
      <c r="T79" s="132"/>
      <c r="U79" s="74"/>
      <c r="V79" s="74" t="str">
        <v>广东省广告集团股份有限公司</v>
      </c>
      <c r="W79" s="74" t="str">
        <v>抖音</v>
      </c>
      <c r="X79" s="74" t="str">
        <v>1750901314800648</v>
      </c>
      <c r="Y79" s="74" t="str">
        <v>AD信息流</v>
      </c>
      <c r="Z79" s="74"/>
      <c r="AA79" s="74" t="str">
        <v>否</v>
      </c>
      <c r="AB79" s="74" t="str">
        <v>否</v>
      </c>
      <c r="AC79" s="74" t="str">
        <v>否</v>
      </c>
      <c r="AD79" s="74"/>
      <c r="AE79" s="74"/>
      <c r="AF79" s="74"/>
      <c r="AG79" s="74"/>
      <c r="AH79" s="74" t="str">
        <v>阿布（胡晓伟）</v>
      </c>
      <c r="AI79" s="74"/>
      <c r="AJ79" s="74" t="str">
        <v>杭州宜格化妆品有限公司</v>
      </c>
      <c r="AK79" s="74"/>
      <c r="AL79" s="74"/>
      <c r="AM79" s="74"/>
      <c r="AN79" s="74" t="str">
        <v>自投</v>
      </c>
      <c r="AO79" s="131">
        <v>36526</v>
      </c>
      <c r="AP79" s="74" t="str">
        <v>站外</v>
      </c>
      <c r="AQ79" s="74" t="str">
        <v>1750901314800648</v>
      </c>
      <c r="AR79" s="74"/>
      <c r="AS79" s="74" t="str">
        <v>abu花西子-杭州宜格CID投放-3防晒(营销4P)</v>
      </c>
      <c r="AT79" s="74" t="str">
        <v>花西子</v>
      </c>
    </row>
    <row r="80">
      <c r="A80" s="132" t="str">
        <v>03144023a5e8ffcff3f0d6cfb2be0002</v>
      </c>
      <c r="B80" s="132"/>
      <c r="C80" s="132"/>
      <c r="D80" s="132" t="str">
        <v>ycss02;</v>
      </c>
      <c r="E80" s="132"/>
      <c r="F80" s="82"/>
      <c r="G80" s="132" t="str">
        <v>0.00</v>
      </c>
      <c r="H80" s="132"/>
      <c r="I80" s="132" t="str">
        <v>0.00</v>
      </c>
      <c r="J80" s="132"/>
      <c r="K80" s="132" t="str">
        <v>0.00</v>
      </c>
      <c r="L80" s="132"/>
      <c r="M80" s="132" t="str">
        <v>0.00</v>
      </c>
      <c r="N80" s="132"/>
      <c r="O80" s="132" t="str">
        <v>0.00</v>
      </c>
      <c r="P80" s="132"/>
      <c r="Q80" s="132" t="str">
        <v>0.00</v>
      </c>
      <c r="R80" s="132"/>
      <c r="S80" s="132" t="str">
        <v>未完结</v>
      </c>
      <c r="T80" s="132"/>
      <c r="U80" s="74"/>
      <c r="V80" s="74" t="str">
        <v>广东省广告集团股份有限公司</v>
      </c>
      <c r="W80" s="74" t="str">
        <v>抖音</v>
      </c>
      <c r="X80" s="74" t="str">
        <v>1735143038500877</v>
      </c>
      <c r="Y80" s="74" t="str">
        <v>AD信息流</v>
      </c>
      <c r="Z80" s="74"/>
      <c r="AA80" s="74" t="str">
        <v>否</v>
      </c>
      <c r="AB80" s="74" t="str">
        <v>否</v>
      </c>
      <c r="AC80" s="74" t="str">
        <v>否</v>
      </c>
      <c r="AD80" s="74"/>
      <c r="AE80" s="74"/>
      <c r="AF80" s="74"/>
      <c r="AG80" s="74"/>
      <c r="AH80" s="74" t="str">
        <v>阿布（胡晓伟）</v>
      </c>
      <c r="AI80" s="74"/>
      <c r="AJ80" s="74" t="str">
        <v>杭州宜格化妆品有限公司</v>
      </c>
      <c r="AK80" s="74"/>
      <c r="AL80" s="74"/>
      <c r="AM80" s="74"/>
      <c r="AN80" s="74" t="str">
        <v>自投</v>
      </c>
      <c r="AO80" s="131">
        <v>36526</v>
      </c>
      <c r="AP80" s="74" t="str">
        <v>站外</v>
      </c>
      <c r="AQ80" s="74" t="str">
        <v>1735143038500877</v>
      </c>
      <c r="AR80" s="74"/>
      <c r="AS80" s="74" t="str">
        <v>HZP-天猫AD信息流-省广-15-自运营-气垫/喷雾</v>
      </c>
      <c r="AT80" s="74" t="str">
        <v>花西子</v>
      </c>
    </row>
    <row r="81">
      <c r="A81" s="132" t="str">
        <v>03144023a6e8ffcff3f0d6cfb2be0002</v>
      </c>
      <c r="B81" s="132"/>
      <c r="C81" s="132"/>
      <c r="D81" s="132" t="str">
        <v>ycss02;</v>
      </c>
      <c r="E81" s="132"/>
      <c r="F81" s="82"/>
      <c r="G81" s="132" t="str">
        <v>0.00</v>
      </c>
      <c r="H81" s="132"/>
      <c r="I81" s="132" t="str">
        <v>0.00</v>
      </c>
      <c r="J81" s="132"/>
      <c r="K81" s="132" t="str">
        <v>0.00</v>
      </c>
      <c r="L81" s="132"/>
      <c r="M81" s="132" t="str">
        <v>0.00</v>
      </c>
      <c r="N81" s="132"/>
      <c r="O81" s="132" t="str">
        <v>0.00</v>
      </c>
      <c r="P81" s="132"/>
      <c r="Q81" s="132" t="str">
        <v>0.00</v>
      </c>
      <c r="R81" s="132"/>
      <c r="S81" s="132" t="str">
        <v>未完结</v>
      </c>
      <c r="T81" s="132"/>
      <c r="U81" s="74"/>
      <c r="V81" s="74" t="str">
        <v>广东省广告集团股份有限公司</v>
      </c>
      <c r="W81" s="74" t="str">
        <v>抖音</v>
      </c>
      <c r="X81" s="74" t="str">
        <v>1758638395143181</v>
      </c>
      <c r="Y81" s="74" t="str">
        <v>AD信息流</v>
      </c>
      <c r="Z81" s="74"/>
      <c r="AA81" s="74" t="str">
        <v>否</v>
      </c>
      <c r="AB81" s="74" t="str">
        <v>否</v>
      </c>
      <c r="AC81" s="74" t="str">
        <v>否</v>
      </c>
      <c r="AD81" s="74"/>
      <c r="AE81" s="74"/>
      <c r="AF81" s="74"/>
      <c r="AG81" s="74"/>
      <c r="AH81" s="74" t="str">
        <v>阿布（胡晓伟）</v>
      </c>
      <c r="AI81" s="74"/>
      <c r="AJ81" s="74" t="str">
        <v>杭州宜格化妆品有限公司</v>
      </c>
      <c r="AK81" s="74"/>
      <c r="AL81" s="74"/>
      <c r="AM81" s="74"/>
      <c r="AN81" s="74" t="str">
        <v>自投</v>
      </c>
      <c r="AO81" s="131">
        <v>36526</v>
      </c>
      <c r="AP81" s="74" t="str">
        <v>站外</v>
      </c>
      <c r="AQ81" s="74" t="str">
        <v>1758638395143181</v>
      </c>
      <c r="AR81" s="74"/>
      <c r="AS81" s="74" t="str">
        <v>abuHZP-天猫AD-省广-CID22素颜出行组合(营销4P)</v>
      </c>
      <c r="AT81" s="74" t="str">
        <v>花西子</v>
      </c>
    </row>
    <row r="82">
      <c r="A82" s="132" t="str">
        <v>03144023a7d8ffcff3f0d6cfb2be0002</v>
      </c>
      <c r="B82" s="132"/>
      <c r="C82" s="132"/>
      <c r="D82" s="132" t="str">
        <v>ycss02;</v>
      </c>
      <c r="E82" s="132"/>
      <c r="F82" s="82"/>
      <c r="G82" s="132" t="str">
        <v>0.00</v>
      </c>
      <c r="H82" s="132"/>
      <c r="I82" s="132" t="str">
        <v>0.00</v>
      </c>
      <c r="J82" s="132"/>
      <c r="K82" s="132" t="str">
        <v>0.00</v>
      </c>
      <c r="L82" s="132"/>
      <c r="M82" s="132" t="str">
        <v>0.00</v>
      </c>
      <c r="N82" s="132"/>
      <c r="O82" s="132" t="str">
        <v>0.00</v>
      </c>
      <c r="P82" s="132"/>
      <c r="Q82" s="132" t="str">
        <v>0.00</v>
      </c>
      <c r="R82" s="132"/>
      <c r="S82" s="132" t="str">
        <v>未完结</v>
      </c>
      <c r="T82" s="132"/>
      <c r="U82" s="74"/>
      <c r="V82" s="74" t="str">
        <v>广东省广告集团股份有限公司</v>
      </c>
      <c r="W82" s="74" t="str">
        <v>抖音</v>
      </c>
      <c r="X82" s="74" t="str">
        <v>1727435690629127</v>
      </c>
      <c r="Y82" s="74" t="str">
        <v>千川信息流</v>
      </c>
      <c r="Z82" s="74"/>
      <c r="AA82" s="74"/>
      <c r="AB82" s="74"/>
      <c r="AC82" s="74" t="str">
        <v>否</v>
      </c>
      <c r="AD82" s="74"/>
      <c r="AE82" s="74"/>
      <c r="AF82" s="74"/>
      <c r="AG82" s="74"/>
      <c r="AH82" s="74" t="str">
        <v>兴泉（韩兴泉）</v>
      </c>
      <c r="AI82" s="74"/>
      <c r="AJ82" s="74" t="str">
        <v>杭州宜格化妆品有限公司</v>
      </c>
      <c r="AK82" s="74"/>
      <c r="AL82" s="74"/>
      <c r="AM82" s="74"/>
      <c r="AN82" s="74" t="str">
        <v>自投</v>
      </c>
      <c r="AO82" s="131">
        <v>36526</v>
      </c>
      <c r="AP82" s="74" t="str">
        <v>站外</v>
      </c>
      <c r="AQ82" s="74" t="str">
        <v>1727435690629127</v>
      </c>
      <c r="AR82" s="74"/>
      <c r="AS82" s="74" t="str">
        <v>省广-直播-官号1</v>
      </c>
      <c r="AT82" s="74" t="str">
        <v>花西子</v>
      </c>
    </row>
    <row r="83">
      <c r="A83" s="132" t="str">
        <v>03144023a8c8ffcff3f0d6cfb2be0002</v>
      </c>
      <c r="B83" s="132"/>
      <c r="C83" s="132"/>
      <c r="D83" s="132" t="str">
        <v>ycss02;</v>
      </c>
      <c r="E83" s="132"/>
      <c r="F83" s="82"/>
      <c r="G83" s="132" t="str">
        <v>0.00</v>
      </c>
      <c r="H83" s="132"/>
      <c r="I83" s="132" t="str">
        <v>0.00</v>
      </c>
      <c r="J83" s="132"/>
      <c r="K83" s="132" t="str">
        <v>0.00</v>
      </c>
      <c r="L83" s="132"/>
      <c r="M83" s="132" t="str">
        <v>0.00</v>
      </c>
      <c r="N83" s="132"/>
      <c r="O83" s="132" t="str">
        <v>0.00</v>
      </c>
      <c r="P83" s="132"/>
      <c r="Q83" s="132" t="str">
        <v>0.00</v>
      </c>
      <c r="R83" s="132"/>
      <c r="S83" s="132" t="str">
        <v>未完结</v>
      </c>
      <c r="T83" s="132"/>
      <c r="U83" s="74"/>
      <c r="V83" s="74" t="str">
        <v>广东省广告集团股份有限公司</v>
      </c>
      <c r="W83" s="74" t="str">
        <v>抖音</v>
      </c>
      <c r="X83" s="74" t="str">
        <v>1747734628974605</v>
      </c>
      <c r="Y83" s="74" t="str">
        <v>矩阵号千川信息流</v>
      </c>
      <c r="Z83" s="74"/>
      <c r="AA83" s="74"/>
      <c r="AB83" s="74"/>
      <c r="AC83" s="74" t="str">
        <v>否</v>
      </c>
      <c r="AD83" s="74"/>
      <c r="AE83" s="74"/>
      <c r="AF83" s="74"/>
      <c r="AG83" s="74"/>
      <c r="AH83" s="74" t="str">
        <v>兴泉（韩兴泉）</v>
      </c>
      <c r="AI83" s="74"/>
      <c r="AJ83" s="74" t="str">
        <v>杭州宜格化妆品有限公司</v>
      </c>
      <c r="AK83" s="74"/>
      <c r="AL83" s="74"/>
      <c r="AM83" s="74"/>
      <c r="AN83" s="74" t="str">
        <v>自投</v>
      </c>
      <c r="AO83" s="131">
        <v>36526</v>
      </c>
      <c r="AP83" s="74" t="str">
        <v>站外</v>
      </c>
      <c r="AQ83" s="74" t="str">
        <v>1747734628974605</v>
      </c>
      <c r="AR83" s="74"/>
      <c r="AS83" s="74" t="str">
        <v>省广数字集合-矩阵直播-花西子礼物精选</v>
      </c>
      <c r="AT83" s="74" t="str">
        <v>花西子</v>
      </c>
    </row>
    <row r="84">
      <c r="A84" s="132" t="str">
        <v>031440233b58ffcff3f0d6cfb2be0001</v>
      </c>
      <c r="B84" s="132"/>
      <c r="C84" s="132"/>
      <c r="D84" s="132" t="str">
        <v>ycss02;</v>
      </c>
      <c r="E84" s="132"/>
      <c r="F84" s="82"/>
      <c r="G84" s="132" t="str">
        <v>0.00</v>
      </c>
      <c r="H84" s="132"/>
      <c r="I84" s="132" t="str">
        <v>0.00</v>
      </c>
      <c r="J84" s="132"/>
      <c r="K84" s="132" t="str">
        <v>0.00</v>
      </c>
      <c r="L84" s="132"/>
      <c r="M84" s="132" t="str">
        <v>0.00</v>
      </c>
      <c r="N84" s="132"/>
      <c r="O84" s="132" t="str">
        <v>0.00</v>
      </c>
      <c r="P84" s="132"/>
      <c r="Q84" s="132" t="str">
        <v>0.00</v>
      </c>
      <c r="R84" s="132"/>
      <c r="S84" s="132" t="str">
        <v>未完结</v>
      </c>
      <c r="T84" s="132"/>
      <c r="U84" s="74"/>
      <c r="V84" s="74" t="str">
        <v>杭州阿里妈妈软件服务有限公司</v>
      </c>
      <c r="W84" s="74" t="str">
        <v>天猫</v>
      </c>
      <c r="X84" s="74" t="str">
        <v>DP015-YLMF</v>
      </c>
      <c r="Y84" s="74" t="str">
        <v>天猫-引力魔方</v>
      </c>
      <c r="Z84" s="74"/>
      <c r="AA84" s="74" t="str">
        <v>否</v>
      </c>
      <c r="AB84" s="74" t="str">
        <v>否</v>
      </c>
      <c r="AC84" s="74" t="str">
        <v>是</v>
      </c>
      <c r="AD84" s="74" t="str">
        <v>是</v>
      </c>
      <c r="AE84" s="74"/>
      <c r="AF84" s="74"/>
      <c r="AG84" s="74"/>
      <c r="AH84" s="74"/>
      <c r="AI84" s="74"/>
      <c r="AJ84" s="74" t="str">
        <v>杭州宜格化妆品有限公司</v>
      </c>
      <c r="AK84" s="74"/>
      <c r="AL84" s="74"/>
      <c r="AM84" s="74"/>
      <c r="AN84" s="74" t="str">
        <v>自投</v>
      </c>
      <c r="AO84" s="131">
        <v>36526</v>
      </c>
      <c r="AP84" s="74" t="str">
        <v>站内</v>
      </c>
      <c r="AQ84" s="74" t="str">
        <v>DP015-YLMF</v>
      </c>
      <c r="AR84" s="74"/>
      <c r="AS84" s="74" t="str">
        <v>天猫花西子旗舰店-引力魔方</v>
      </c>
      <c r="AT84" s="74" t="str">
        <v>花西子</v>
      </c>
    </row>
    <row r="85">
      <c r="A85" s="132" t="str">
        <v>031440233c48ffcff3f0d6cfb2be0001</v>
      </c>
      <c r="B85" s="132"/>
      <c r="C85" s="132"/>
      <c r="D85" s="132" t="str">
        <v>ycss02;</v>
      </c>
      <c r="E85" s="132"/>
      <c r="F85" s="82"/>
      <c r="G85" s="132" t="str">
        <v>0.00</v>
      </c>
      <c r="H85" s="132"/>
      <c r="I85" s="132" t="str">
        <v>0.00</v>
      </c>
      <c r="J85" s="132"/>
      <c r="K85" s="132" t="str">
        <v>0.00</v>
      </c>
      <c r="L85" s="132"/>
      <c r="M85" s="132" t="str">
        <v>0.00</v>
      </c>
      <c r="N85" s="132"/>
      <c r="O85" s="132" t="str">
        <v>0.00</v>
      </c>
      <c r="P85" s="132"/>
      <c r="Q85" s="132" t="str">
        <v>0.00</v>
      </c>
      <c r="R85" s="132"/>
      <c r="S85" s="132" t="str">
        <v>未完结</v>
      </c>
      <c r="T85" s="132"/>
      <c r="U85" s="74"/>
      <c r="V85" s="74" t="str">
        <v>杭州阿里妈妈软件服务有限公司</v>
      </c>
      <c r="W85" s="74" t="str">
        <v>天猫</v>
      </c>
      <c r="X85" s="74" t="str">
        <v>DP001-ZTC</v>
      </c>
      <c r="Y85" s="74" t="str">
        <v>淘宝匠泽-直通车</v>
      </c>
      <c r="Z85" s="74"/>
      <c r="AA85" s="74" t="str">
        <v>否</v>
      </c>
      <c r="AB85" s="74" t="str">
        <v>否</v>
      </c>
      <c r="AC85" s="74" t="str">
        <v>是</v>
      </c>
      <c r="AD85" s="74" t="str">
        <v>是</v>
      </c>
      <c r="AE85" s="74"/>
      <c r="AF85" s="74"/>
      <c r="AG85" s="74"/>
      <c r="AH85" s="74"/>
      <c r="AI85" s="74"/>
      <c r="AJ85" s="74" t="str">
        <v>杭州匠泽电子商务有限公司</v>
      </c>
      <c r="AK85" s="74"/>
      <c r="AL85" s="74"/>
      <c r="AM85" s="74"/>
      <c r="AN85" s="74" t="str">
        <v>自投</v>
      </c>
      <c r="AO85" s="131">
        <v>36526</v>
      </c>
      <c r="AP85" s="74" t="str">
        <v>站内</v>
      </c>
      <c r="AQ85" s="74" t="str">
        <v>DP001-ZTC</v>
      </c>
      <c r="AR85" s="74"/>
      <c r="AS85" s="74" t="str">
        <v>天猫花西子匠泽店-直通车</v>
      </c>
      <c r="AT85" s="74" t="str">
        <v>花西子</v>
      </c>
    </row>
    <row r="86">
      <c r="A86" s="132" t="str">
        <v>031440233d48ffcff3f0d6cfb2be0001</v>
      </c>
      <c r="B86" s="132"/>
      <c r="C86" s="132"/>
      <c r="D86" s="132" t="str">
        <v>ycss02;</v>
      </c>
      <c r="E86" s="132"/>
      <c r="F86" s="82"/>
      <c r="G86" s="132" t="str">
        <v>0.00</v>
      </c>
      <c r="H86" s="132"/>
      <c r="I86" s="132" t="str">
        <v>0.00</v>
      </c>
      <c r="J86" s="132"/>
      <c r="K86" s="132" t="str">
        <v>0.00</v>
      </c>
      <c r="L86" s="132"/>
      <c r="M86" s="132" t="str">
        <v>0.00</v>
      </c>
      <c r="N86" s="132"/>
      <c r="O86" s="132" t="str">
        <v>0.00</v>
      </c>
      <c r="P86" s="132"/>
      <c r="Q86" s="132" t="str">
        <v>0.00</v>
      </c>
      <c r="R86" s="132"/>
      <c r="S86" s="132" t="str">
        <v>未完结</v>
      </c>
      <c r="T86" s="132"/>
      <c r="U86" s="74"/>
      <c r="V86" s="74" t="str">
        <v>杭州阿里妈妈软件服务有限公司</v>
      </c>
      <c r="W86" s="74" t="str">
        <v>天猫</v>
      </c>
      <c r="X86" s="74" t="str">
        <v>DP001-YLMF</v>
      </c>
      <c r="Y86" s="74" t="str">
        <v>淘宝匠泽-引力魔方</v>
      </c>
      <c r="Z86" s="74"/>
      <c r="AA86" s="74" t="str">
        <v>否</v>
      </c>
      <c r="AB86" s="74" t="str">
        <v>否</v>
      </c>
      <c r="AC86" s="74" t="str">
        <v>是</v>
      </c>
      <c r="AD86" s="74" t="str">
        <v>是</v>
      </c>
      <c r="AE86" s="74"/>
      <c r="AF86" s="74"/>
      <c r="AG86" s="74"/>
      <c r="AH86" s="74"/>
      <c r="AI86" s="74"/>
      <c r="AJ86" s="74" t="str">
        <v>杭州匠泽电子商务有限公司</v>
      </c>
      <c r="AK86" s="74"/>
      <c r="AL86" s="74"/>
      <c r="AM86" s="74"/>
      <c r="AN86" s="74" t="str">
        <v>自投</v>
      </c>
      <c r="AO86" s="131">
        <v>36526</v>
      </c>
      <c r="AP86" s="74" t="str">
        <v>站内</v>
      </c>
      <c r="AQ86" s="74" t="str">
        <v>DP001-YLMF</v>
      </c>
      <c r="AR86" s="74"/>
      <c r="AS86" s="74" t="str">
        <v>天猫花西子匠泽店-引力魔方</v>
      </c>
      <c r="AT86" s="74" t="str">
        <v>花西子</v>
      </c>
    </row>
    <row r="87">
      <c r="A87" s="132" t="str">
        <v>031440233e48ffcff3f0d6cfb2be0001</v>
      </c>
      <c r="B87" s="132"/>
      <c r="C87" s="132"/>
      <c r="D87" s="132" t="str">
        <v>ycss02;</v>
      </c>
      <c r="E87" s="132"/>
      <c r="F87" s="82"/>
      <c r="G87" s="132" t="str">
        <v>0.00</v>
      </c>
      <c r="H87" s="132"/>
      <c r="I87" s="132" t="str">
        <v>0.00</v>
      </c>
      <c r="J87" s="132"/>
      <c r="K87" s="132" t="str">
        <v>0.00</v>
      </c>
      <c r="L87" s="132"/>
      <c r="M87" s="132" t="str">
        <v>0.00</v>
      </c>
      <c r="N87" s="132"/>
      <c r="O87" s="132" t="str">
        <v>0.00</v>
      </c>
      <c r="P87" s="132"/>
      <c r="Q87" s="132" t="str">
        <v>0.00</v>
      </c>
      <c r="R87" s="132"/>
      <c r="S87" s="132" t="str">
        <v>未完结</v>
      </c>
      <c r="T87" s="132"/>
      <c r="U87" s="74"/>
      <c r="V87" s="74" t="str">
        <v>杭州阿里妈妈软件服务有限公司</v>
      </c>
      <c r="W87" s="74" t="str">
        <v>天猫</v>
      </c>
      <c r="X87" s="74" t="str">
        <v>DP015-TBK</v>
      </c>
      <c r="Y87" s="74"/>
      <c r="Z87" s="74"/>
      <c r="AA87" s="74" t="str">
        <v>否</v>
      </c>
      <c r="AB87" s="74" t="str">
        <v>否</v>
      </c>
      <c r="AC87" s="74" t="str">
        <v>是</v>
      </c>
      <c r="AD87" s="74" t="str">
        <v>是</v>
      </c>
      <c r="AE87" s="74"/>
      <c r="AF87" s="74"/>
      <c r="AG87" s="74"/>
      <c r="AH87" s="74"/>
      <c r="AI87" s="74"/>
      <c r="AJ87" s="74" t="str">
        <v>杭州宜格化妆品有限公司</v>
      </c>
      <c r="AK87" s="74"/>
      <c r="AL87" s="74"/>
      <c r="AM87" s="74"/>
      <c r="AN87" s="74" t="str">
        <v>自投</v>
      </c>
      <c r="AO87" s="131">
        <v>36526</v>
      </c>
      <c r="AP87" s="74" t="str">
        <v>站内</v>
      </c>
      <c r="AQ87" s="74" t="str">
        <v>DP015-TBK</v>
      </c>
      <c r="AR87" s="74"/>
      <c r="AS87" s="74" t="str">
        <v>天猫花西子旗舰店-淘宝客</v>
      </c>
      <c r="AT87" s="74" t="str">
        <v>花西子</v>
      </c>
    </row>
    <row r="88">
      <c r="A88" s="132" t="str">
        <v>031440233f38ffcff3f0d6cfb2be0001</v>
      </c>
      <c r="B88" s="132"/>
      <c r="C88" s="132"/>
      <c r="D88" s="132" t="str">
        <v>ycss02;</v>
      </c>
      <c r="E88" s="132"/>
      <c r="F88" s="82"/>
      <c r="G88" s="132" t="str">
        <v>0.00</v>
      </c>
      <c r="H88" s="132"/>
      <c r="I88" s="132" t="str">
        <v>0.00</v>
      </c>
      <c r="J88" s="132"/>
      <c r="K88" s="132" t="str">
        <v>0.00</v>
      </c>
      <c r="L88" s="132"/>
      <c r="M88" s="132" t="str">
        <v>0.00</v>
      </c>
      <c r="N88" s="132"/>
      <c r="O88" s="132" t="str">
        <v>0.00</v>
      </c>
      <c r="P88" s="132"/>
      <c r="Q88" s="132" t="str">
        <v>0.00</v>
      </c>
      <c r="R88" s="132"/>
      <c r="S88" s="132" t="str">
        <v>未完结</v>
      </c>
      <c r="T88" s="132"/>
      <c r="U88" s="74"/>
      <c r="V88" s="74" t="str">
        <v>杭州阿里妈妈软件服务有限公司</v>
      </c>
      <c r="W88" s="74" t="str">
        <v>天猫</v>
      </c>
      <c r="X88" s="74" t="str">
        <v>DP001-TBK</v>
      </c>
      <c r="Y88" s="74"/>
      <c r="Z88" s="74"/>
      <c r="AA88" s="74" t="str">
        <v>否</v>
      </c>
      <c r="AB88" s="74" t="str">
        <v>否</v>
      </c>
      <c r="AC88" s="74" t="str">
        <v>是</v>
      </c>
      <c r="AD88" s="74" t="str">
        <v>是</v>
      </c>
      <c r="AE88" s="74"/>
      <c r="AF88" s="74"/>
      <c r="AG88" s="74"/>
      <c r="AH88" s="74"/>
      <c r="AI88" s="74"/>
      <c r="AJ88" s="74" t="str">
        <v>杭州匠泽电子商务有限公司</v>
      </c>
      <c r="AK88" s="74"/>
      <c r="AL88" s="74"/>
      <c r="AM88" s="74"/>
      <c r="AN88" s="74" t="str">
        <v>自投</v>
      </c>
      <c r="AO88" s="131">
        <v>36526</v>
      </c>
      <c r="AP88" s="74" t="str">
        <v>站内</v>
      </c>
      <c r="AQ88" s="74" t="str">
        <v>DP001-TBK</v>
      </c>
      <c r="AR88" s="74"/>
      <c r="AS88" s="74" t="str">
        <v>天猫花西子匠泽店-淘宝客</v>
      </c>
      <c r="AT88" s="74" t="str">
        <v>花西子</v>
      </c>
    </row>
    <row r="89">
      <c r="A89" s="132" t="str">
        <v>031440234038ffcff3f0d6cfb2be0001</v>
      </c>
      <c r="B89" s="132"/>
      <c r="C89" s="132"/>
      <c r="D89" s="132" t="str">
        <v>ycss02;</v>
      </c>
      <c r="E89" s="132"/>
      <c r="F89" s="82"/>
      <c r="G89" s="132" t="str">
        <v>0.00</v>
      </c>
      <c r="H89" s="132"/>
      <c r="I89" s="132" t="str">
        <v>0.00</v>
      </c>
      <c r="J89" s="132"/>
      <c r="K89" s="132" t="str">
        <v>0.00</v>
      </c>
      <c r="L89" s="132"/>
      <c r="M89" s="132" t="str">
        <v>0.00</v>
      </c>
      <c r="N89" s="132"/>
      <c r="O89" s="132" t="str">
        <v>0.00</v>
      </c>
      <c r="P89" s="132"/>
      <c r="Q89" s="132" t="str">
        <v>0.00</v>
      </c>
      <c r="R89" s="132"/>
      <c r="S89" s="132" t="str">
        <v>未完结</v>
      </c>
      <c r="T89" s="132"/>
      <c r="U89" s="74"/>
      <c r="V89" s="74" t="str">
        <v>杭州阿里妈妈软件服务有限公司</v>
      </c>
      <c r="W89" s="74" t="str">
        <v>天猫</v>
      </c>
      <c r="X89" s="74" t="str">
        <v>DP001-022</v>
      </c>
      <c r="Y89" s="74" t="str">
        <v>淘宝匠泽-直通车</v>
      </c>
      <c r="Z89" s="74"/>
      <c r="AA89" s="74" t="str">
        <v>否</v>
      </c>
      <c r="AB89" s="74" t="str">
        <v>否</v>
      </c>
      <c r="AC89" s="74" t="str">
        <v>是</v>
      </c>
      <c r="AD89" s="74" t="str">
        <v>是</v>
      </c>
      <c r="AE89" s="74"/>
      <c r="AF89" s="74"/>
      <c r="AG89" s="74"/>
      <c r="AH89" s="74" t="str">
        <v>盐首（刘如敏）</v>
      </c>
      <c r="AI89" s="74"/>
      <c r="AJ89" s="74" t="str">
        <v>杭州匠泽电子商务有限公司</v>
      </c>
      <c r="AK89" s="74"/>
      <c r="AL89" s="74"/>
      <c r="AM89" s="74"/>
      <c r="AN89" s="74" t="str">
        <v>自投</v>
      </c>
      <c r="AO89" s="131">
        <v>36526</v>
      </c>
      <c r="AP89" s="74" t="str">
        <v>站内</v>
      </c>
      <c r="AQ89" s="74" t="str">
        <v>DP001-ZTC</v>
      </c>
      <c r="AR89" s="74"/>
      <c r="AS89" s="74" t="str">
        <v>天猫花西子匠泽店-直通车</v>
      </c>
      <c r="AT89" s="74" t="str">
        <v>花西子</v>
      </c>
    </row>
    <row r="90">
      <c r="A90" s="132" t="str">
        <v>031440234138ffcff3f0d6cfb2be0001</v>
      </c>
      <c r="B90" s="132"/>
      <c r="C90" s="132"/>
      <c r="D90" s="132" t="str">
        <v>ycss02;</v>
      </c>
      <c r="E90" s="132"/>
      <c r="F90" s="82"/>
      <c r="G90" s="132" t="str">
        <v>0.00</v>
      </c>
      <c r="H90" s="132"/>
      <c r="I90" s="132" t="str">
        <v>0.00</v>
      </c>
      <c r="J90" s="132"/>
      <c r="K90" s="132" t="str">
        <v>0.00</v>
      </c>
      <c r="L90" s="132"/>
      <c r="M90" s="132" t="str">
        <v>0.00</v>
      </c>
      <c r="N90" s="132"/>
      <c r="O90" s="132" t="str">
        <v>0.00</v>
      </c>
      <c r="P90" s="132"/>
      <c r="Q90" s="132" t="str">
        <v>0.00</v>
      </c>
      <c r="R90" s="132"/>
      <c r="S90" s="132" t="str">
        <v>未完结</v>
      </c>
      <c r="T90" s="132"/>
      <c r="U90" s="74"/>
      <c r="V90" s="74" t="str">
        <v>杭州阿里妈妈软件服务有限公司</v>
      </c>
      <c r="W90" s="74" t="str">
        <v>天猫</v>
      </c>
      <c r="X90" s="74" t="str">
        <v>DP001-023</v>
      </c>
      <c r="Y90" s="74" t="str">
        <v>淘宝匠泽-引力魔方</v>
      </c>
      <c r="Z90" s="74"/>
      <c r="AA90" s="74" t="str">
        <v>否</v>
      </c>
      <c r="AB90" s="74" t="str">
        <v>否</v>
      </c>
      <c r="AC90" s="74" t="str">
        <v>是</v>
      </c>
      <c r="AD90" s="74" t="str">
        <v>是</v>
      </c>
      <c r="AE90" s="74"/>
      <c r="AF90" s="74"/>
      <c r="AG90" s="74"/>
      <c r="AH90" s="74" t="str">
        <v>盐首（刘如敏）</v>
      </c>
      <c r="AI90" s="74"/>
      <c r="AJ90" s="74" t="str">
        <v>杭州匠泽电子商务有限公司</v>
      </c>
      <c r="AK90" s="74"/>
      <c r="AL90" s="74"/>
      <c r="AM90" s="74"/>
      <c r="AN90" s="74" t="str">
        <v>自投</v>
      </c>
      <c r="AO90" s="131">
        <v>36526</v>
      </c>
      <c r="AP90" s="74" t="str">
        <v>站内</v>
      </c>
      <c r="AQ90" s="74" t="str">
        <v>DP001-YLMF</v>
      </c>
      <c r="AR90" s="74"/>
      <c r="AS90" s="74" t="str">
        <v>天猫花西子匠泽店-引力魔方</v>
      </c>
      <c r="AT90" s="74" t="str">
        <v>花西子</v>
      </c>
    </row>
    <row r="91">
      <c r="A91" s="132" t="str">
        <v>031440234228ffcff3f0d6cfb2be0001</v>
      </c>
      <c r="B91" s="132"/>
      <c r="C91" s="132"/>
      <c r="D91" s="132" t="str">
        <v>ycss02;</v>
      </c>
      <c r="E91" s="132"/>
      <c r="F91" s="82"/>
      <c r="G91" s="132" t="str">
        <v>0.00</v>
      </c>
      <c r="H91" s="132"/>
      <c r="I91" s="132" t="str">
        <v>0.00</v>
      </c>
      <c r="J91" s="132"/>
      <c r="K91" s="132" t="str">
        <v>0.00</v>
      </c>
      <c r="L91" s="132"/>
      <c r="M91" s="132" t="str">
        <v>0.00</v>
      </c>
      <c r="N91" s="132"/>
      <c r="O91" s="132" t="str">
        <v>0.00</v>
      </c>
      <c r="P91" s="132"/>
      <c r="Q91" s="132" t="str">
        <v>0.00</v>
      </c>
      <c r="R91" s="132"/>
      <c r="S91" s="132" t="str">
        <v>未完结</v>
      </c>
      <c r="T91" s="132"/>
      <c r="U91" s="74"/>
      <c r="V91" s="74" t="str">
        <v>浙江阿里巴巴通信技术有限公司</v>
      </c>
      <c r="W91" s="74" t="str">
        <v>天猫</v>
      </c>
      <c r="X91" s="74" t="str">
        <v>DP001-WXT</v>
      </c>
      <c r="Y91" s="74"/>
      <c r="Z91" s="74"/>
      <c r="AA91" s="74" t="str">
        <v>否</v>
      </c>
      <c r="AB91" s="74" t="str">
        <v>否</v>
      </c>
      <c r="AC91" s="74" t="str">
        <v>是</v>
      </c>
      <c r="AD91" s="74" t="str">
        <v>是</v>
      </c>
      <c r="AE91" s="74"/>
      <c r="AF91" s="74"/>
      <c r="AG91" s="74"/>
      <c r="AH91" s="74"/>
      <c r="AI91" s="74"/>
      <c r="AJ91" s="74" t="str">
        <v>杭州匠泽电子商务有限公司</v>
      </c>
      <c r="AK91" s="74"/>
      <c r="AL91" s="74"/>
      <c r="AM91" s="74"/>
      <c r="AN91" s="74" t="str">
        <v>自投</v>
      </c>
      <c r="AO91" s="131">
        <v>36526</v>
      </c>
      <c r="AP91" s="74" t="str">
        <v>站内</v>
      </c>
      <c r="AQ91" s="74" t="str">
        <v>DP001-WXT</v>
      </c>
      <c r="AR91" s="74"/>
      <c r="AS91" s="74" t="str">
        <v>天猫花西子匠泽店-万相台</v>
      </c>
      <c r="AT91" s="74" t="str">
        <v>花西子</v>
      </c>
    </row>
    <row r="92">
      <c r="A92" s="132" t="str">
        <v>031440234328ffcff3f0d6cfb2be0001</v>
      </c>
      <c r="B92" s="132"/>
      <c r="C92" s="132"/>
      <c r="D92" s="132" t="str">
        <v>ycss02;</v>
      </c>
      <c r="E92" s="132"/>
      <c r="F92" s="82"/>
      <c r="G92" s="132" t="str">
        <v>0.00</v>
      </c>
      <c r="H92" s="132"/>
      <c r="I92" s="132" t="str">
        <v>0.00</v>
      </c>
      <c r="J92" s="132"/>
      <c r="K92" s="132" t="str">
        <v>0.00</v>
      </c>
      <c r="L92" s="132"/>
      <c r="M92" s="132" t="str">
        <v>0.00</v>
      </c>
      <c r="N92" s="132"/>
      <c r="O92" s="132" t="str">
        <v>0.00</v>
      </c>
      <c r="P92" s="132"/>
      <c r="Q92" s="132" t="str">
        <v>0.00</v>
      </c>
      <c r="R92" s="132"/>
      <c r="S92" s="132" t="str">
        <v>未完结</v>
      </c>
      <c r="T92" s="132"/>
      <c r="U92" s="74"/>
      <c r="V92" s="74" t="str">
        <v>杭州阿里妈妈软件服务有限公司</v>
      </c>
      <c r="W92" s="74" t="str">
        <v>天猫</v>
      </c>
      <c r="X92" s="74" t="str">
        <v>DP015-025</v>
      </c>
      <c r="Y92" s="74" t="str">
        <v>淘宝客-佳琦</v>
      </c>
      <c r="Z92" s="74"/>
      <c r="AA92" s="74" t="str">
        <v>否</v>
      </c>
      <c r="AB92" s="74" t="str">
        <v>否</v>
      </c>
      <c r="AC92" s="74" t="str">
        <v>是</v>
      </c>
      <c r="AD92" s="74" t="str">
        <v>是</v>
      </c>
      <c r="AE92" s="74"/>
      <c r="AF92" s="74"/>
      <c r="AG92" s="74"/>
      <c r="AH92" s="74" t="str">
        <v>林胖（林玲）</v>
      </c>
      <c r="AI92" s="74"/>
      <c r="AJ92" s="74" t="str">
        <v>杭州宜格化妆品有限公司</v>
      </c>
      <c r="AK92" s="74"/>
      <c r="AL92" s="74"/>
      <c r="AM92" s="74"/>
      <c r="AN92" s="74" t="str">
        <v>自投</v>
      </c>
      <c r="AO92" s="131">
        <v>36526</v>
      </c>
      <c r="AP92" s="74" t="str">
        <v>站内</v>
      </c>
      <c r="AQ92" s="74" t="str">
        <v>DP015-TBK</v>
      </c>
      <c r="AR92" s="74"/>
      <c r="AS92" s="74" t="str">
        <v>天猫花西子旗舰店-淘宝客</v>
      </c>
      <c r="AT92" s="74" t="str">
        <v>花西子</v>
      </c>
    </row>
    <row r="93">
      <c r="A93" s="132" t="str">
        <v>031440234418ffcff3f0d6cfb2be0001</v>
      </c>
      <c r="B93" s="132"/>
      <c r="C93" s="132"/>
      <c r="D93" s="132" t="str">
        <v>ycss02;</v>
      </c>
      <c r="E93" s="132"/>
      <c r="F93" s="82"/>
      <c r="G93" s="132" t="str">
        <v>0.00</v>
      </c>
      <c r="H93" s="132"/>
      <c r="I93" s="132" t="str">
        <v>0.00</v>
      </c>
      <c r="J93" s="132"/>
      <c r="K93" s="132" t="str">
        <v>0.00</v>
      </c>
      <c r="L93" s="132"/>
      <c r="M93" s="132" t="str">
        <v>0.00</v>
      </c>
      <c r="N93" s="132"/>
      <c r="O93" s="132" t="str">
        <v>0.00</v>
      </c>
      <c r="P93" s="132"/>
      <c r="Q93" s="132" t="str">
        <v>0.00</v>
      </c>
      <c r="R93" s="132"/>
      <c r="S93" s="132" t="str">
        <v>未完结</v>
      </c>
      <c r="T93" s="132"/>
      <c r="U93" s="74"/>
      <c r="V93" s="74" t="str">
        <v>杭州阿里妈妈软件服务有限公司</v>
      </c>
      <c r="W93" s="74" t="str">
        <v>天猫</v>
      </c>
      <c r="X93" s="74" t="str">
        <v>DP015-025</v>
      </c>
      <c r="Y93" s="74" t="str">
        <v>淘宝客-其他挂链</v>
      </c>
      <c r="Z93" s="74"/>
      <c r="AA93" s="74" t="str">
        <v>否</v>
      </c>
      <c r="AB93" s="74" t="str">
        <v>否</v>
      </c>
      <c r="AC93" s="74" t="str">
        <v>是</v>
      </c>
      <c r="AD93" s="74" t="str">
        <v>是</v>
      </c>
      <c r="AE93" s="74"/>
      <c r="AF93" s="74"/>
      <c r="AG93" s="74"/>
      <c r="AH93" s="74" t="str">
        <v>林胖（林玲）</v>
      </c>
      <c r="AI93" s="74"/>
      <c r="AJ93" s="74" t="str">
        <v>杭州宜格化妆品有限公司</v>
      </c>
      <c r="AK93" s="74"/>
      <c r="AL93" s="74"/>
      <c r="AM93" s="74"/>
      <c r="AN93" s="74" t="str">
        <v>自投</v>
      </c>
      <c r="AO93" s="131">
        <v>36526</v>
      </c>
      <c r="AP93" s="74" t="str">
        <v>站内</v>
      </c>
      <c r="AQ93" s="74" t="str">
        <v>DP015-TBK</v>
      </c>
      <c r="AR93" s="74"/>
      <c r="AS93" s="74" t="str">
        <v>天猫花西子旗舰店-淘宝客</v>
      </c>
      <c r="AT93" s="74" t="str">
        <v>花西子</v>
      </c>
    </row>
    <row r="94">
      <c r="A94" s="132" t="str">
        <v>031440234518ffcff3f0d6cfb2be0001</v>
      </c>
      <c r="B94" s="132"/>
      <c r="C94" s="132"/>
      <c r="D94" s="132" t="str">
        <v>ycss02;</v>
      </c>
      <c r="E94" s="132"/>
      <c r="F94" s="82"/>
      <c r="G94" s="132" t="str">
        <v>0.00</v>
      </c>
      <c r="H94" s="132"/>
      <c r="I94" s="132" t="str">
        <v>0.00</v>
      </c>
      <c r="J94" s="132"/>
      <c r="K94" s="132" t="str">
        <v>0.00</v>
      </c>
      <c r="L94" s="132"/>
      <c r="M94" s="132" t="str">
        <v>0.00</v>
      </c>
      <c r="N94" s="132"/>
      <c r="O94" s="132" t="str">
        <v>0.00</v>
      </c>
      <c r="P94" s="132"/>
      <c r="Q94" s="132" t="str">
        <v>0.00</v>
      </c>
      <c r="R94" s="132"/>
      <c r="S94" s="132" t="str">
        <v>未完结</v>
      </c>
      <c r="T94" s="132"/>
      <c r="U94" s="74"/>
      <c r="V94" s="74" t="str">
        <v>杭州阿里妈妈软件服务有限公司</v>
      </c>
      <c r="W94" s="74" t="str">
        <v>天猫</v>
      </c>
      <c r="X94" s="74" t="str">
        <v>DP001-025</v>
      </c>
      <c r="Y94" s="74" t="str">
        <v>淘宝客-佳琦</v>
      </c>
      <c r="Z94" s="74"/>
      <c r="AA94" s="74" t="str">
        <v>否</v>
      </c>
      <c r="AB94" s="74" t="str">
        <v>否</v>
      </c>
      <c r="AC94" s="74" t="str">
        <v>是</v>
      </c>
      <c r="AD94" s="74" t="str">
        <v>是</v>
      </c>
      <c r="AE94" s="74"/>
      <c r="AF94" s="74"/>
      <c r="AG94" s="74"/>
      <c r="AH94" s="74" t="str">
        <v>林胖（林玲）</v>
      </c>
      <c r="AI94" s="74"/>
      <c r="AJ94" s="74" t="str">
        <v>杭州匠泽电子商务有限公司</v>
      </c>
      <c r="AK94" s="74"/>
      <c r="AL94" s="74"/>
      <c r="AM94" s="74"/>
      <c r="AN94" s="74" t="str">
        <v>自投</v>
      </c>
      <c r="AO94" s="131">
        <v>36526</v>
      </c>
      <c r="AP94" s="74" t="str">
        <v>站内</v>
      </c>
      <c r="AQ94" s="74" t="str">
        <v>DP001-TBK</v>
      </c>
      <c r="AR94" s="74"/>
      <c r="AS94" s="74" t="str">
        <v>天猫花西子匠泽店-淘宝客</v>
      </c>
      <c r="AT94" s="74" t="str">
        <v>花西子</v>
      </c>
    </row>
    <row r="95">
      <c r="A95" s="132" t="str">
        <v>031440234618ffcff3f0d6cfb2be0001</v>
      </c>
      <c r="B95" s="132"/>
      <c r="C95" s="132"/>
      <c r="D95" s="132" t="str">
        <v>ycss02;</v>
      </c>
      <c r="E95" s="132"/>
      <c r="F95" s="82"/>
      <c r="G95" s="132" t="str">
        <v>0.00</v>
      </c>
      <c r="H95" s="132"/>
      <c r="I95" s="132" t="str">
        <v>0.00</v>
      </c>
      <c r="J95" s="132"/>
      <c r="K95" s="132" t="str">
        <v>0.00</v>
      </c>
      <c r="L95" s="132"/>
      <c r="M95" s="132" t="str">
        <v>0.00</v>
      </c>
      <c r="N95" s="132"/>
      <c r="O95" s="132" t="str">
        <v>0.00</v>
      </c>
      <c r="P95" s="132"/>
      <c r="Q95" s="132" t="str">
        <v>0.00</v>
      </c>
      <c r="R95" s="132"/>
      <c r="S95" s="132" t="str">
        <v>未完结</v>
      </c>
      <c r="T95" s="132"/>
      <c r="U95" s="74"/>
      <c r="V95" s="74" t="str">
        <v>杭州阿里妈妈软件服务有限公司</v>
      </c>
      <c r="W95" s="74" t="str">
        <v>天猫</v>
      </c>
      <c r="X95" s="74" t="str">
        <v>DP001-025</v>
      </c>
      <c r="Y95" s="74" t="str">
        <v>淘宝客-其他挂链</v>
      </c>
      <c r="Z95" s="74"/>
      <c r="AA95" s="74" t="str">
        <v>否</v>
      </c>
      <c r="AB95" s="74" t="str">
        <v>否</v>
      </c>
      <c r="AC95" s="74" t="str">
        <v>是</v>
      </c>
      <c r="AD95" s="74" t="str">
        <v>是</v>
      </c>
      <c r="AE95" s="74"/>
      <c r="AF95" s="74"/>
      <c r="AG95" s="74"/>
      <c r="AH95" s="74" t="str">
        <v>林胖（林玲）</v>
      </c>
      <c r="AI95" s="74"/>
      <c r="AJ95" s="74" t="str">
        <v>杭州匠泽电子商务有限公司</v>
      </c>
      <c r="AK95" s="74"/>
      <c r="AL95" s="74"/>
      <c r="AM95" s="74"/>
      <c r="AN95" s="74" t="str">
        <v>自投</v>
      </c>
      <c r="AO95" s="131">
        <v>36526</v>
      </c>
      <c r="AP95" s="74" t="str">
        <v>站内</v>
      </c>
      <c r="AQ95" s="74" t="str">
        <v>DP001-TBK</v>
      </c>
      <c r="AR95" s="74"/>
      <c r="AS95" s="74" t="str">
        <v>天猫花西子匠泽店-淘宝客</v>
      </c>
      <c r="AT95" s="74" t="str">
        <v>花西子</v>
      </c>
    </row>
    <row r="96">
      <c r="A96" s="132" t="str">
        <v>031440234718ffcff3f0d6cfb2be0001</v>
      </c>
      <c r="B96" s="132"/>
      <c r="C96" s="132"/>
      <c r="D96" s="132" t="str">
        <v>ycss02;</v>
      </c>
      <c r="E96" s="132"/>
      <c r="F96" s="82"/>
      <c r="G96" s="132" t="str">
        <v>0.00</v>
      </c>
      <c r="H96" s="132"/>
      <c r="I96" s="132" t="str">
        <v>0.00</v>
      </c>
      <c r="J96" s="132"/>
      <c r="K96" s="132" t="str">
        <v>0.00</v>
      </c>
      <c r="L96" s="132"/>
      <c r="M96" s="132" t="str">
        <v>0.00</v>
      </c>
      <c r="N96" s="132"/>
      <c r="O96" s="132" t="str">
        <v>0.00</v>
      </c>
      <c r="P96" s="132"/>
      <c r="Q96" s="132" t="str">
        <v>0.00</v>
      </c>
      <c r="R96" s="132"/>
      <c r="S96" s="132" t="str">
        <v>未完结</v>
      </c>
      <c r="T96" s="132"/>
      <c r="U96" s="74"/>
      <c r="V96" s="74" t="str">
        <v>重庆京东海嘉电子商务有限公司</v>
      </c>
      <c r="W96" s="74" t="str">
        <v>京东</v>
      </c>
      <c r="X96" s="74" t="str">
        <v>DP033-JDZY</v>
      </c>
      <c r="Y96" s="74" t="str">
        <v>京东自营-京准通常规投放</v>
      </c>
      <c r="Z96" s="74"/>
      <c r="AA96" s="74" t="str">
        <v>否</v>
      </c>
      <c r="AB96" s="74" t="str">
        <v>否</v>
      </c>
      <c r="AC96" s="74" t="str">
        <v>是</v>
      </c>
      <c r="AD96" s="74" t="str">
        <v>是</v>
      </c>
      <c r="AE96" s="74"/>
      <c r="AF96" s="74"/>
      <c r="AG96" s="74"/>
      <c r="AH96" s="74"/>
      <c r="AI96" s="74"/>
      <c r="AJ96" s="74" t="str">
        <v>杭州匠泽电子商务有限公司</v>
      </c>
      <c r="AK96" s="74"/>
      <c r="AL96" s="74"/>
      <c r="AM96" s="74"/>
      <c r="AN96" s="74" t="str">
        <v>自投</v>
      </c>
      <c r="AO96" s="131">
        <v>36526</v>
      </c>
      <c r="AP96" s="74" t="str">
        <v>站内</v>
      </c>
      <c r="AQ96" s="74" t="str">
        <v>DP033-JDZY</v>
      </c>
      <c r="AR96" s="74"/>
      <c r="AS96" s="74" t="str">
        <v>京东花西子自营店</v>
      </c>
      <c r="AT96" s="74" t="str">
        <v>花西子</v>
      </c>
    </row>
    <row r="97">
      <c r="A97" s="132" t="str">
        <v>031440234808ffcff3f0d6cfb2be0001</v>
      </c>
      <c r="B97" s="132"/>
      <c r="C97" s="132"/>
      <c r="D97" s="132" t="str">
        <v>ycss02;</v>
      </c>
      <c r="E97" s="132"/>
      <c r="F97" s="82"/>
      <c r="G97" s="132" t="str">
        <v>0.00</v>
      </c>
      <c r="H97" s="132"/>
      <c r="I97" s="132" t="str">
        <v>0.00</v>
      </c>
      <c r="J97" s="132"/>
      <c r="K97" s="132" t="str">
        <v>0.00</v>
      </c>
      <c r="L97" s="132"/>
      <c r="M97" s="132" t="str">
        <v>0.00</v>
      </c>
      <c r="N97" s="132"/>
      <c r="O97" s="132" t="str">
        <v>0.00</v>
      </c>
      <c r="P97" s="132"/>
      <c r="Q97" s="132" t="str">
        <v>0.00</v>
      </c>
      <c r="R97" s="132"/>
      <c r="S97" s="132" t="str">
        <v>未完结</v>
      </c>
      <c r="T97" s="132"/>
      <c r="U97" s="74"/>
      <c r="V97" s="74" t="str">
        <v>重庆京东海嘉电子商务有限公司</v>
      </c>
      <c r="W97" s="74" t="str">
        <v>京东</v>
      </c>
      <c r="X97" s="74" t="str">
        <v>DP002-JD</v>
      </c>
      <c r="Y97" s="74" t="str">
        <v>京东POP-京准通常规投放</v>
      </c>
      <c r="Z97" s="74"/>
      <c r="AA97" s="74" t="str">
        <v>否</v>
      </c>
      <c r="AB97" s="74" t="str">
        <v>否</v>
      </c>
      <c r="AC97" s="74" t="str">
        <v>是</v>
      </c>
      <c r="AD97" s="74" t="str">
        <v>是</v>
      </c>
      <c r="AE97" s="74"/>
      <c r="AF97" s="74"/>
      <c r="AG97" s="74"/>
      <c r="AH97" s="74"/>
      <c r="AI97" s="74"/>
      <c r="AJ97" s="74" t="str">
        <v>杭州匠泽电子商务有限公司</v>
      </c>
      <c r="AK97" s="74"/>
      <c r="AL97" s="74"/>
      <c r="AM97" s="74"/>
      <c r="AN97" s="74" t="str">
        <v>自投</v>
      </c>
      <c r="AO97" s="131">
        <v>36526</v>
      </c>
      <c r="AP97" s="74" t="str">
        <v>站内</v>
      </c>
      <c r="AQ97" s="74" t="str">
        <v>DP002-JD</v>
      </c>
      <c r="AR97" s="74"/>
      <c r="AS97" s="74" t="str">
        <v>京东花西子旗舰店</v>
      </c>
      <c r="AT97" s="74" t="str">
        <v>花西子</v>
      </c>
    </row>
    <row r="98">
      <c r="A98" s="132" t="str">
        <v>0314402348f8ffcff3f0d6cfb2be0001</v>
      </c>
      <c r="B98" s="132"/>
      <c r="C98" s="132"/>
      <c r="D98" s="132" t="str">
        <v>ycss02;</v>
      </c>
      <c r="E98" s="132"/>
      <c r="F98" s="82"/>
      <c r="G98" s="132" t="str">
        <v>0.00</v>
      </c>
      <c r="H98" s="132"/>
      <c r="I98" s="132" t="str">
        <v>0.00</v>
      </c>
      <c r="J98" s="132"/>
      <c r="K98" s="132" t="str">
        <v>0.00</v>
      </c>
      <c r="L98" s="132"/>
      <c r="M98" s="132" t="str">
        <v>0.00</v>
      </c>
      <c r="N98" s="132"/>
      <c r="O98" s="132" t="str">
        <v>0.00</v>
      </c>
      <c r="P98" s="132"/>
      <c r="Q98" s="132" t="str">
        <v>0.00</v>
      </c>
      <c r="R98" s="132"/>
      <c r="S98" s="132" t="str">
        <v>未完结</v>
      </c>
      <c r="T98" s="132"/>
      <c r="U98" s="74"/>
      <c r="V98" s="74" t="str">
        <v>广州海珠品唯信息服务有限公司</v>
      </c>
      <c r="W98" s="74" t="str">
        <v>唯品会</v>
      </c>
      <c r="X98" s="74" t="str">
        <v>DP029-WPH</v>
      </c>
      <c r="Y98" s="74" t="str">
        <v>唯品会-唯品常规投放</v>
      </c>
      <c r="Z98" s="74"/>
      <c r="AA98" s="74" t="str">
        <v>否</v>
      </c>
      <c r="AB98" s="74" t="str">
        <v>是</v>
      </c>
      <c r="AC98" s="74" t="str">
        <v>是</v>
      </c>
      <c r="AD98" s="74" t="str">
        <v>是</v>
      </c>
      <c r="AE98" s="74"/>
      <c r="AF98" s="74"/>
      <c r="AG98" s="74"/>
      <c r="AH98" s="74"/>
      <c r="AI98" s="74"/>
      <c r="AJ98" s="74" t="str">
        <v>杭州匠泽电子商务有限公司</v>
      </c>
      <c r="AK98" s="74"/>
      <c r="AL98" s="74"/>
      <c r="AM98" s="74"/>
      <c r="AN98" s="74" t="str">
        <v>自投</v>
      </c>
      <c r="AO98" s="131">
        <v>36526</v>
      </c>
      <c r="AP98" s="74" t="str">
        <v>站内</v>
      </c>
      <c r="AQ98" s="74" t="str">
        <v>DP029-WPH</v>
      </c>
      <c r="AR98" s="74"/>
      <c r="AS98" s="74" t="str">
        <v>唯品会花西子自营店</v>
      </c>
      <c r="AT98" s="74" t="str">
        <v>花西子</v>
      </c>
    </row>
    <row r="99">
      <c r="A99" s="132" t="str">
        <v>0314402349f8ffcff3f0d6cfb2be0001</v>
      </c>
      <c r="B99" s="132"/>
      <c r="C99" s="132"/>
      <c r="D99" s="132" t="str">
        <v>ycss02;</v>
      </c>
      <c r="E99" s="132"/>
      <c r="F99" s="82"/>
      <c r="G99" s="132" t="str">
        <v>0.00</v>
      </c>
      <c r="H99" s="132"/>
      <c r="I99" s="132" t="str">
        <v>0.00</v>
      </c>
      <c r="J99" s="132"/>
      <c r="K99" s="132" t="str">
        <v>0.00</v>
      </c>
      <c r="L99" s="132"/>
      <c r="M99" s="132" t="str">
        <v>0.00</v>
      </c>
      <c r="N99" s="132"/>
      <c r="O99" s="132" t="str">
        <v>0.00</v>
      </c>
      <c r="P99" s="132"/>
      <c r="Q99" s="132" t="str">
        <v>0.00</v>
      </c>
      <c r="R99" s="132"/>
      <c r="S99" s="132" t="str">
        <v>未完结</v>
      </c>
      <c r="T99" s="132"/>
      <c r="U99" s="74"/>
      <c r="V99" s="74" t="str">
        <v>杭州阿里妈妈软件服务有限公司</v>
      </c>
      <c r="W99" s="74" t="str">
        <v>天猫</v>
      </c>
      <c r="X99" s="74" t="str">
        <v>DP015-017</v>
      </c>
      <c r="Y99" s="74" t="str">
        <v>天猫-万相台-超级直播</v>
      </c>
      <c r="Z99" s="74"/>
      <c r="AA99" s="74"/>
      <c r="AB99" s="74"/>
      <c r="AC99" s="74" t="str">
        <v>否</v>
      </c>
      <c r="AD99" s="74"/>
      <c r="AE99" s="74"/>
      <c r="AF99" s="74"/>
      <c r="AG99" s="74"/>
      <c r="AH99" s="74" t="str">
        <v>洛竹（程铭）</v>
      </c>
      <c r="AI99" s="74"/>
      <c r="AJ99" s="74" t="str">
        <v>杭州宜格化妆品有限公司</v>
      </c>
      <c r="AK99" s="74"/>
      <c r="AL99" s="74"/>
      <c r="AM99" s="74"/>
      <c r="AN99" s="74" t="str">
        <v>自投</v>
      </c>
      <c r="AO99" s="131">
        <v>36526</v>
      </c>
      <c r="AP99" s="74" t="str">
        <v>站内</v>
      </c>
      <c r="AQ99" s="74" t="str">
        <v>DP015-WXT</v>
      </c>
      <c r="AR99" s="74"/>
      <c r="AS99" s="74" t="str">
        <v>天猫花西子旗舰店-万相台-超级直播</v>
      </c>
      <c r="AT99" s="74" t="str">
        <v>花西子</v>
      </c>
    </row>
    <row r="100">
      <c r="A100" s="132" t="str">
        <v>031440234ae8ffcff3f0d6cfb2be0001</v>
      </c>
      <c r="B100" s="132"/>
      <c r="C100" s="132"/>
      <c r="D100" s="132" t="str">
        <v>ycss02;</v>
      </c>
      <c r="E100" s="132"/>
      <c r="F100" s="82"/>
      <c r="G100" s="132" t="str">
        <v>0.00</v>
      </c>
      <c r="H100" s="132"/>
      <c r="I100" s="132" t="str">
        <v>0.00</v>
      </c>
      <c r="J100" s="132"/>
      <c r="K100" s="132" t="str">
        <v>0.00</v>
      </c>
      <c r="L100" s="132"/>
      <c r="M100" s="132" t="str">
        <v>0.00</v>
      </c>
      <c r="N100" s="132"/>
      <c r="O100" s="132" t="str">
        <v>0.00</v>
      </c>
      <c r="P100" s="132"/>
      <c r="Q100" s="132" t="str">
        <v>0.00</v>
      </c>
      <c r="R100" s="132"/>
      <c r="S100" s="132" t="str">
        <v>未完结</v>
      </c>
      <c r="T100" s="132"/>
      <c r="U100" s="74"/>
      <c r="V100" s="74" t="str">
        <v>杭州阿里妈妈软件服务有限公司</v>
      </c>
      <c r="W100" s="74" t="str">
        <v>天猫</v>
      </c>
      <c r="X100" s="74" t="str">
        <v>DP015-021</v>
      </c>
      <c r="Y100" s="74" t="str">
        <v>天猫-万相台-超级短视频</v>
      </c>
      <c r="Z100" s="74"/>
      <c r="AA100" s="74"/>
      <c r="AB100" s="74"/>
      <c r="AC100" s="74" t="str">
        <v>否</v>
      </c>
      <c r="AD100" s="74"/>
      <c r="AE100" s="74"/>
      <c r="AF100" s="74"/>
      <c r="AG100" s="74"/>
      <c r="AH100" s="74" t="str">
        <v>洛竹（程铭）</v>
      </c>
      <c r="AI100" s="74"/>
      <c r="AJ100" s="74" t="str">
        <v>杭州宜格化妆品有限公司</v>
      </c>
      <c r="AK100" s="74"/>
      <c r="AL100" s="74"/>
      <c r="AM100" s="74"/>
      <c r="AN100" s="74" t="str">
        <v>自投</v>
      </c>
      <c r="AO100" s="131">
        <v>36526</v>
      </c>
      <c r="AP100" s="74" t="str">
        <v>站内</v>
      </c>
      <c r="AQ100" s="74" t="str">
        <v>DP015-WXT</v>
      </c>
      <c r="AR100" s="74"/>
      <c r="AS100" s="74" t="str">
        <v>天猫花西子旗舰店-万相台-超级短视频</v>
      </c>
      <c r="AT100" s="74" t="str">
        <v>花西子</v>
      </c>
    </row>
    <row r="101">
      <c r="A101" s="132" t="str">
        <v>031440234be8ffcff3f0d6cfb2be0001</v>
      </c>
      <c r="B101" s="132"/>
      <c r="C101" s="132"/>
      <c r="D101" s="132" t="str">
        <v>ycss02;</v>
      </c>
      <c r="E101" s="132"/>
      <c r="F101" s="82"/>
      <c r="G101" s="132" t="str">
        <v>0.00</v>
      </c>
      <c r="H101" s="132"/>
      <c r="I101" s="132" t="str">
        <v>0.00</v>
      </c>
      <c r="J101" s="132"/>
      <c r="K101" s="132" t="str">
        <v>0.00</v>
      </c>
      <c r="L101" s="132"/>
      <c r="M101" s="132" t="str">
        <v>0.00</v>
      </c>
      <c r="N101" s="132"/>
      <c r="O101" s="132" t="str">
        <v>0.00</v>
      </c>
      <c r="P101" s="132"/>
      <c r="Q101" s="132" t="str">
        <v>0.00</v>
      </c>
      <c r="R101" s="132"/>
      <c r="S101" s="132" t="str">
        <v>未完结</v>
      </c>
      <c r="T101" s="132"/>
      <c r="U101" s="74"/>
      <c r="V101" s="74" t="str">
        <v>杭州阿里妈妈软件服务有限公司</v>
      </c>
      <c r="W101" s="74" t="str">
        <v>天猫</v>
      </c>
      <c r="X101" s="74" t="str">
        <v>DP015-019</v>
      </c>
      <c r="Y101" s="74" t="str">
        <v>天猫-万相台-常规投放</v>
      </c>
      <c r="Z101" s="74"/>
      <c r="AA101" s="74"/>
      <c r="AB101" s="74"/>
      <c r="AC101" s="74" t="str">
        <v>否</v>
      </c>
      <c r="AD101" s="74"/>
      <c r="AE101" s="74"/>
      <c r="AF101" s="74"/>
      <c r="AG101" s="74"/>
      <c r="AH101" s="74" t="str">
        <v>洛竹（程铭）</v>
      </c>
      <c r="AI101" s="74"/>
      <c r="AJ101" s="74" t="str">
        <v>杭州宜格化妆品有限公司</v>
      </c>
      <c r="AK101" s="74"/>
      <c r="AL101" s="74"/>
      <c r="AM101" s="74"/>
      <c r="AN101" s="74" t="str">
        <v>自投</v>
      </c>
      <c r="AO101" s="131">
        <v>36526</v>
      </c>
      <c r="AP101" s="74" t="str">
        <v>站内</v>
      </c>
      <c r="AQ101" s="74" t="str">
        <v>DP015-WXT</v>
      </c>
      <c r="AR101" s="74"/>
      <c r="AS101" s="74" t="str">
        <v>天猫花西子旗舰店-万相台-拉新快</v>
      </c>
      <c r="AT101" s="74" t="str">
        <v>花西子</v>
      </c>
    </row>
    <row r="102">
      <c r="A102" s="132" t="str">
        <v>031440234cf8ffcff3f0d6cfb2be0001</v>
      </c>
      <c r="B102" s="132"/>
      <c r="C102" s="132"/>
      <c r="D102" s="132" t="str">
        <v>ycss02;</v>
      </c>
      <c r="E102" s="132"/>
      <c r="F102" s="82"/>
      <c r="G102" s="132" t="str">
        <v>0.00</v>
      </c>
      <c r="H102" s="132"/>
      <c r="I102" s="132" t="str">
        <v>0.00</v>
      </c>
      <c r="J102" s="132"/>
      <c r="K102" s="132" t="str">
        <v>0.00</v>
      </c>
      <c r="L102" s="132"/>
      <c r="M102" s="132" t="str">
        <v>0.00</v>
      </c>
      <c r="N102" s="132"/>
      <c r="O102" s="132" t="str">
        <v>0.00</v>
      </c>
      <c r="P102" s="132"/>
      <c r="Q102" s="132" t="str">
        <v>0.00</v>
      </c>
      <c r="R102" s="132"/>
      <c r="S102" s="132" t="str">
        <v>未完结</v>
      </c>
      <c r="T102" s="132"/>
      <c r="U102" s="74"/>
      <c r="V102" s="74" t="str">
        <v>杭州阿里妈妈软件服务有限公司</v>
      </c>
      <c r="W102" s="74" t="str">
        <v>天猫</v>
      </c>
      <c r="X102" s="74" t="str">
        <v>DP015-020</v>
      </c>
      <c r="Y102" s="74" t="str">
        <v>天猫-万相台-常规投放</v>
      </c>
      <c r="Z102" s="74"/>
      <c r="AA102" s="74"/>
      <c r="AB102" s="74"/>
      <c r="AC102" s="74" t="str">
        <v>否</v>
      </c>
      <c r="AD102" s="74"/>
      <c r="AE102" s="74"/>
      <c r="AF102" s="74"/>
      <c r="AG102" s="74"/>
      <c r="AH102" s="74" t="str">
        <v>洛竹（程铭）</v>
      </c>
      <c r="AI102" s="74"/>
      <c r="AJ102" s="74" t="str">
        <v>杭州宜格化妆品有限公司</v>
      </c>
      <c r="AK102" s="74"/>
      <c r="AL102" s="74"/>
      <c r="AM102" s="74"/>
      <c r="AN102" s="74" t="str">
        <v>自投</v>
      </c>
      <c r="AO102" s="131">
        <v>36526</v>
      </c>
      <c r="AP102" s="74" t="str">
        <v>站内</v>
      </c>
      <c r="AQ102" s="74" t="str">
        <v>DP015-WXT</v>
      </c>
      <c r="AR102" s="74"/>
      <c r="AS102" s="74" t="str">
        <v>天猫花西子旗舰店-万相台-上新快</v>
      </c>
      <c r="AT102" s="74" t="str">
        <v>花西子</v>
      </c>
    </row>
    <row r="103">
      <c r="A103" s="132" t="str">
        <v>031440234de8ffcff3f0d6cfb2be0001</v>
      </c>
      <c r="B103" s="132"/>
      <c r="C103" s="132"/>
      <c r="D103" s="132" t="str">
        <v>ycss02;</v>
      </c>
      <c r="E103" s="132"/>
      <c r="F103" s="82"/>
      <c r="G103" s="132" t="str">
        <v>0.00</v>
      </c>
      <c r="H103" s="132"/>
      <c r="I103" s="132" t="str">
        <v>0.00</v>
      </c>
      <c r="J103" s="132"/>
      <c r="K103" s="132" t="str">
        <v>0.00</v>
      </c>
      <c r="L103" s="132"/>
      <c r="M103" s="132" t="str">
        <v>0.00</v>
      </c>
      <c r="N103" s="132"/>
      <c r="O103" s="132" t="str">
        <v>0.00</v>
      </c>
      <c r="P103" s="132"/>
      <c r="Q103" s="132" t="str">
        <v>0.00</v>
      </c>
      <c r="R103" s="132"/>
      <c r="S103" s="132" t="str">
        <v>未完结</v>
      </c>
      <c r="T103" s="132"/>
      <c r="U103" s="74"/>
      <c r="V103" s="74" t="str">
        <v>杭州阿里妈妈软件服务有限公司</v>
      </c>
      <c r="W103" s="74" t="str">
        <v>天猫</v>
      </c>
      <c r="X103" s="74" t="str">
        <v>DP015-018</v>
      </c>
      <c r="Y103" s="74" t="str">
        <v>天猫-万相台-常规投放</v>
      </c>
      <c r="Z103" s="74"/>
      <c r="AA103" s="74"/>
      <c r="AB103" s="74"/>
      <c r="AC103" s="74" t="str">
        <v>否</v>
      </c>
      <c r="AD103" s="74"/>
      <c r="AE103" s="74"/>
      <c r="AF103" s="74"/>
      <c r="AG103" s="74"/>
      <c r="AH103" s="74" t="str">
        <v>洛竹（程铭）</v>
      </c>
      <c r="AI103" s="74"/>
      <c r="AJ103" s="74" t="str">
        <v>杭州宜格化妆品有限公司</v>
      </c>
      <c r="AK103" s="74"/>
      <c r="AL103" s="74"/>
      <c r="AM103" s="74"/>
      <c r="AN103" s="74" t="str">
        <v>自投</v>
      </c>
      <c r="AO103" s="131">
        <v>36526</v>
      </c>
      <c r="AP103" s="74" t="str">
        <v>站内</v>
      </c>
      <c r="AQ103" s="74" t="str">
        <v>DP015-WXT</v>
      </c>
      <c r="AR103" s="74"/>
      <c r="AS103" s="74" t="str">
        <v>天猫花西子旗舰店-万相台-货品加速</v>
      </c>
      <c r="AT103" s="74" t="str">
        <v>花西子</v>
      </c>
    </row>
    <row r="104">
      <c r="A104" s="132" t="str">
        <v>031440234ee8ffcff3f0d6cfb2be0001</v>
      </c>
      <c r="B104" s="132"/>
      <c r="C104" s="132"/>
      <c r="D104" s="132" t="str">
        <v>ycss02;</v>
      </c>
      <c r="E104" s="132"/>
      <c r="F104" s="82"/>
      <c r="G104" s="132" t="str">
        <v>0.00</v>
      </c>
      <c r="H104" s="132"/>
      <c r="I104" s="132" t="str">
        <v>0.00</v>
      </c>
      <c r="J104" s="132"/>
      <c r="K104" s="132" t="str">
        <v>0.00</v>
      </c>
      <c r="L104" s="132"/>
      <c r="M104" s="132" t="str">
        <v>0.00</v>
      </c>
      <c r="N104" s="132"/>
      <c r="O104" s="132" t="str">
        <v>0.00</v>
      </c>
      <c r="P104" s="132"/>
      <c r="Q104" s="132" t="str">
        <v>0.00</v>
      </c>
      <c r="R104" s="132"/>
      <c r="S104" s="132" t="str">
        <v>未完结</v>
      </c>
      <c r="T104" s="132"/>
      <c r="U104" s="74"/>
      <c r="V104" s="74" t="str">
        <v>杭州阿里妈妈软件服务有限公司</v>
      </c>
      <c r="W104" s="74" t="str">
        <v>天猫</v>
      </c>
      <c r="X104" s="74" t="str">
        <v>DP015-016</v>
      </c>
      <c r="Y104" s="74" t="str">
        <v>天猫-万相台-常规投放</v>
      </c>
      <c r="Z104" s="74"/>
      <c r="AA104" s="74"/>
      <c r="AB104" s="74"/>
      <c r="AC104" s="74" t="str">
        <v>否</v>
      </c>
      <c r="AD104" s="74"/>
      <c r="AE104" s="74"/>
      <c r="AF104" s="74"/>
      <c r="AG104" s="74"/>
      <c r="AH104" s="74" t="str">
        <v>洛竹（程铭）</v>
      </c>
      <c r="AI104" s="74"/>
      <c r="AJ104" s="74" t="str">
        <v>杭州宜格化妆品有限公司</v>
      </c>
      <c r="AK104" s="74"/>
      <c r="AL104" s="74"/>
      <c r="AM104" s="74"/>
      <c r="AN104" s="74" t="str">
        <v>自投</v>
      </c>
      <c r="AO104" s="131">
        <v>36526</v>
      </c>
      <c r="AP104" s="74" t="str">
        <v>站内</v>
      </c>
      <c r="AQ104" s="74" t="str">
        <v>DP015-WXT</v>
      </c>
      <c r="AR104" s="74"/>
      <c r="AS104" s="74" t="str">
        <v>天猫花西子旗舰店-万相台-活动加速</v>
      </c>
      <c r="AT104" s="74" t="str">
        <v>花西子</v>
      </c>
    </row>
    <row r="105">
      <c r="A105" s="132" t="str">
        <v>031440234fd8ffcff3f0d6cfb2be0001</v>
      </c>
      <c r="B105" s="132"/>
      <c r="C105" s="132"/>
      <c r="D105" s="132" t="str">
        <v>ycss02;</v>
      </c>
      <c r="E105" s="132"/>
      <c r="F105" s="82"/>
      <c r="G105" s="132" t="str">
        <v>0.00</v>
      </c>
      <c r="H105" s="132"/>
      <c r="I105" s="132" t="str">
        <v>0.00</v>
      </c>
      <c r="J105" s="132"/>
      <c r="K105" s="132" t="str">
        <v>0.00</v>
      </c>
      <c r="L105" s="132"/>
      <c r="M105" s="132" t="str">
        <v>0.00</v>
      </c>
      <c r="N105" s="132"/>
      <c r="O105" s="132" t="str">
        <v>0.00</v>
      </c>
      <c r="P105" s="132"/>
      <c r="Q105" s="132" t="str">
        <v>0.00</v>
      </c>
      <c r="R105" s="132"/>
      <c r="S105" s="132" t="str">
        <v>未完结</v>
      </c>
      <c r="T105" s="132"/>
      <c r="U105" s="74"/>
      <c r="V105" s="74" t="str">
        <v>浙江阿里巴巴通信技术有限公司</v>
      </c>
      <c r="W105" s="74" t="str">
        <v>天猫</v>
      </c>
      <c r="X105" s="74" t="str">
        <v>DP001-017</v>
      </c>
      <c r="Y105" s="74" t="str">
        <v>天猫-万相台-超级直播</v>
      </c>
      <c r="Z105" s="74"/>
      <c r="AA105" s="74"/>
      <c r="AB105" s="74"/>
      <c r="AC105" s="74" t="str">
        <v>否</v>
      </c>
      <c r="AD105" s="74"/>
      <c r="AE105" s="74"/>
      <c r="AF105" s="74"/>
      <c r="AG105" s="74"/>
      <c r="AH105" s="74" t="str">
        <v>盐首（刘如敏）</v>
      </c>
      <c r="AI105" s="74"/>
      <c r="AJ105" s="74" t="str">
        <v>杭州匠泽电子商务有限公司</v>
      </c>
      <c r="AK105" s="74"/>
      <c r="AL105" s="74"/>
      <c r="AM105" s="74"/>
      <c r="AN105" s="74" t="str">
        <v>自投</v>
      </c>
      <c r="AO105" s="131">
        <v>36526</v>
      </c>
      <c r="AP105" s="74" t="str">
        <v>站内</v>
      </c>
      <c r="AQ105" s="74" t="str">
        <v>DP001-WXT</v>
      </c>
      <c r="AR105" s="74"/>
      <c r="AS105" s="74" t="str">
        <v>天猫花西子匠泽店-万相台-超级直播</v>
      </c>
      <c r="AT105" s="74" t="str">
        <v>花西子</v>
      </c>
    </row>
    <row r="106">
      <c r="A106" s="132" t="str">
        <v>0314402350c8ffcff3f0d6cfb2be0001</v>
      </c>
      <c r="B106" s="132"/>
      <c r="C106" s="132"/>
      <c r="D106" s="132" t="str">
        <v>ycss02;</v>
      </c>
      <c r="E106" s="132"/>
      <c r="F106" s="82"/>
      <c r="G106" s="132" t="str">
        <v>0.00</v>
      </c>
      <c r="H106" s="132"/>
      <c r="I106" s="132" t="str">
        <v>0.00</v>
      </c>
      <c r="J106" s="132"/>
      <c r="K106" s="132" t="str">
        <v>0.00</v>
      </c>
      <c r="L106" s="132"/>
      <c r="M106" s="132" t="str">
        <v>0.00</v>
      </c>
      <c r="N106" s="132"/>
      <c r="O106" s="132" t="str">
        <v>0.00</v>
      </c>
      <c r="P106" s="132"/>
      <c r="Q106" s="132" t="str">
        <v>0.00</v>
      </c>
      <c r="R106" s="132"/>
      <c r="S106" s="132" t="str">
        <v>未完结</v>
      </c>
      <c r="T106" s="132"/>
      <c r="U106" s="74"/>
      <c r="V106" s="74" t="str">
        <v>浙江阿里巴巴通信技术有限公司</v>
      </c>
      <c r="W106" s="74" t="str">
        <v>天猫</v>
      </c>
      <c r="X106" s="74" t="str">
        <v>DP001-021</v>
      </c>
      <c r="Y106" s="74" t="str">
        <v>天猫-万相台-超级短视频</v>
      </c>
      <c r="Z106" s="74"/>
      <c r="AA106" s="74"/>
      <c r="AB106" s="74"/>
      <c r="AC106" s="74" t="str">
        <v>否</v>
      </c>
      <c r="AD106" s="74"/>
      <c r="AE106" s="74"/>
      <c r="AF106" s="74"/>
      <c r="AG106" s="74"/>
      <c r="AH106" s="74" t="str">
        <v>盐首（刘如敏）</v>
      </c>
      <c r="AI106" s="74"/>
      <c r="AJ106" s="74" t="str">
        <v>杭州匠泽电子商务有限公司</v>
      </c>
      <c r="AK106" s="74"/>
      <c r="AL106" s="74"/>
      <c r="AM106" s="74"/>
      <c r="AN106" s="74" t="str">
        <v>自投</v>
      </c>
      <c r="AO106" s="131">
        <v>36526</v>
      </c>
      <c r="AP106" s="74" t="str">
        <v>站内</v>
      </c>
      <c r="AQ106" s="74" t="str">
        <v>DP001-WXT</v>
      </c>
      <c r="AR106" s="74"/>
      <c r="AS106" s="74" t="str">
        <v>天猫花西子匠泽店-万相台-超级短视频</v>
      </c>
      <c r="AT106" s="74" t="str">
        <v>花西子</v>
      </c>
    </row>
    <row r="107">
      <c r="A107" s="132" t="str">
        <v>0314402351c8ffcff3f0d6cfb2be0001</v>
      </c>
      <c r="B107" s="132"/>
      <c r="C107" s="132"/>
      <c r="D107" s="132" t="str">
        <v>ycss02;</v>
      </c>
      <c r="E107" s="132"/>
      <c r="F107" s="82"/>
      <c r="G107" s="132" t="str">
        <v>0.00</v>
      </c>
      <c r="H107" s="132"/>
      <c r="I107" s="132" t="str">
        <v>0.00</v>
      </c>
      <c r="J107" s="132"/>
      <c r="K107" s="132" t="str">
        <v>0.00</v>
      </c>
      <c r="L107" s="132"/>
      <c r="M107" s="132" t="str">
        <v>0.00</v>
      </c>
      <c r="N107" s="132"/>
      <c r="O107" s="132" t="str">
        <v>0.00</v>
      </c>
      <c r="P107" s="132"/>
      <c r="Q107" s="132" t="str">
        <v>0.00</v>
      </c>
      <c r="R107" s="132"/>
      <c r="S107" s="132" t="str">
        <v>未完结</v>
      </c>
      <c r="T107" s="132"/>
      <c r="U107" s="74"/>
      <c r="V107" s="74" t="str">
        <v>浙江阿里巴巴通信技术有限公司</v>
      </c>
      <c r="W107" s="74" t="str">
        <v>天猫</v>
      </c>
      <c r="X107" s="74" t="str">
        <v>DP001-019</v>
      </c>
      <c r="Y107" s="74" t="str">
        <v>天猫-万相台-常规投放</v>
      </c>
      <c r="Z107" s="74"/>
      <c r="AA107" s="74"/>
      <c r="AB107" s="74"/>
      <c r="AC107" s="74" t="str">
        <v>否</v>
      </c>
      <c r="AD107" s="74"/>
      <c r="AE107" s="74"/>
      <c r="AF107" s="74"/>
      <c r="AG107" s="74"/>
      <c r="AH107" s="74" t="str">
        <v>盐首（刘如敏）</v>
      </c>
      <c r="AI107" s="74"/>
      <c r="AJ107" s="74" t="str">
        <v>杭州匠泽电子商务有限公司</v>
      </c>
      <c r="AK107" s="74"/>
      <c r="AL107" s="74"/>
      <c r="AM107" s="74"/>
      <c r="AN107" s="74" t="str">
        <v>自投</v>
      </c>
      <c r="AO107" s="131">
        <v>36526</v>
      </c>
      <c r="AP107" s="74" t="str">
        <v>站内</v>
      </c>
      <c r="AQ107" s="74" t="str">
        <v>DP001-WXT</v>
      </c>
      <c r="AR107" s="74"/>
      <c r="AS107" s="74" t="str">
        <v>天猫花西子匠泽店-万相台-拉新快</v>
      </c>
      <c r="AT107" s="74" t="str">
        <v>花西子</v>
      </c>
    </row>
    <row r="108">
      <c r="A108" s="132" t="str">
        <v>0314402352c8ffcff3f0d6cfb2be0001</v>
      </c>
      <c r="B108" s="132"/>
      <c r="C108" s="132"/>
      <c r="D108" s="132" t="str">
        <v>ycss02;</v>
      </c>
      <c r="E108" s="132"/>
      <c r="F108" s="82"/>
      <c r="G108" s="132" t="str">
        <v>0.00</v>
      </c>
      <c r="H108" s="132"/>
      <c r="I108" s="132" t="str">
        <v>0.00</v>
      </c>
      <c r="J108" s="132"/>
      <c r="K108" s="132" t="str">
        <v>0.00</v>
      </c>
      <c r="L108" s="132"/>
      <c r="M108" s="132" t="str">
        <v>0.00</v>
      </c>
      <c r="N108" s="132"/>
      <c r="O108" s="132" t="str">
        <v>0.00</v>
      </c>
      <c r="P108" s="132"/>
      <c r="Q108" s="132" t="str">
        <v>0.00</v>
      </c>
      <c r="R108" s="132"/>
      <c r="S108" s="132" t="str">
        <v>未完结</v>
      </c>
      <c r="T108" s="132"/>
      <c r="U108" s="74"/>
      <c r="V108" s="74" t="str">
        <v>浙江阿里巴巴通信技术有限公司</v>
      </c>
      <c r="W108" s="74" t="str">
        <v>天猫</v>
      </c>
      <c r="X108" s="74" t="str">
        <v>DP001-020</v>
      </c>
      <c r="Y108" s="74" t="str">
        <v>天猫-万相台-常规投放</v>
      </c>
      <c r="Z108" s="74"/>
      <c r="AA108" s="74"/>
      <c r="AB108" s="74"/>
      <c r="AC108" s="74" t="str">
        <v>否</v>
      </c>
      <c r="AD108" s="74"/>
      <c r="AE108" s="74"/>
      <c r="AF108" s="74"/>
      <c r="AG108" s="74"/>
      <c r="AH108" s="74" t="str">
        <v>盐首（刘如敏）</v>
      </c>
      <c r="AI108" s="74"/>
      <c r="AJ108" s="74" t="str">
        <v>杭州匠泽电子商务有限公司</v>
      </c>
      <c r="AK108" s="74"/>
      <c r="AL108" s="74"/>
      <c r="AM108" s="74"/>
      <c r="AN108" s="74" t="str">
        <v>自投</v>
      </c>
      <c r="AO108" s="131">
        <v>36526</v>
      </c>
      <c r="AP108" s="74" t="str">
        <v>站内</v>
      </c>
      <c r="AQ108" s="74" t="str">
        <v>DP001-WXT</v>
      </c>
      <c r="AR108" s="74"/>
      <c r="AS108" s="74" t="str">
        <v>天猫花西子匠泽店-万相台-上新快</v>
      </c>
      <c r="AT108" s="74" t="str">
        <v>花西子</v>
      </c>
    </row>
    <row r="109">
      <c r="A109" s="132" t="str">
        <v>0314402353c8ffcff3f0d6cfb2be0001</v>
      </c>
      <c r="B109" s="132"/>
      <c r="C109" s="132"/>
      <c r="D109" s="132" t="str">
        <v>ycss02;</v>
      </c>
      <c r="E109" s="132"/>
      <c r="F109" s="82"/>
      <c r="G109" s="132" t="str">
        <v>0.00</v>
      </c>
      <c r="H109" s="132"/>
      <c r="I109" s="132" t="str">
        <v>0.00</v>
      </c>
      <c r="J109" s="132"/>
      <c r="K109" s="132" t="str">
        <v>0.00</v>
      </c>
      <c r="L109" s="132"/>
      <c r="M109" s="132" t="str">
        <v>0.00</v>
      </c>
      <c r="N109" s="132"/>
      <c r="O109" s="132" t="str">
        <v>0.00</v>
      </c>
      <c r="P109" s="132"/>
      <c r="Q109" s="132" t="str">
        <v>0.00</v>
      </c>
      <c r="R109" s="132"/>
      <c r="S109" s="132" t="str">
        <v>未完结</v>
      </c>
      <c r="T109" s="132"/>
      <c r="U109" s="74"/>
      <c r="V109" s="74" t="str">
        <v>浙江阿里巴巴通信技术有限公司</v>
      </c>
      <c r="W109" s="74" t="str">
        <v>天猫</v>
      </c>
      <c r="X109" s="74" t="str">
        <v>DP001-018</v>
      </c>
      <c r="Y109" s="74" t="str">
        <v>天猫-万相台-常规投放</v>
      </c>
      <c r="Z109" s="74"/>
      <c r="AA109" s="74"/>
      <c r="AB109" s="74"/>
      <c r="AC109" s="74" t="str">
        <v>否</v>
      </c>
      <c r="AD109" s="74"/>
      <c r="AE109" s="74"/>
      <c r="AF109" s="74"/>
      <c r="AG109" s="74"/>
      <c r="AH109" s="74" t="str">
        <v>盐首（刘如敏）</v>
      </c>
      <c r="AI109" s="74"/>
      <c r="AJ109" s="74" t="str">
        <v>杭州匠泽电子商务有限公司</v>
      </c>
      <c r="AK109" s="74"/>
      <c r="AL109" s="74"/>
      <c r="AM109" s="74"/>
      <c r="AN109" s="74" t="str">
        <v>自投</v>
      </c>
      <c r="AO109" s="131">
        <v>36526</v>
      </c>
      <c r="AP109" s="74" t="str">
        <v>站内</v>
      </c>
      <c r="AQ109" s="74" t="str">
        <v>DP001-WXT</v>
      </c>
      <c r="AR109" s="74"/>
      <c r="AS109" s="74" t="str">
        <v>天猫花西子匠泽店-万相台-货品加速</v>
      </c>
      <c r="AT109" s="74" t="str">
        <v>花西子</v>
      </c>
    </row>
    <row r="110">
      <c r="A110" s="132" t="str">
        <v>0314402354c8ffcff3f0d6cfb2be0001</v>
      </c>
      <c r="B110" s="132"/>
      <c r="C110" s="132"/>
      <c r="D110" s="132" t="str">
        <v>ycss02;</v>
      </c>
      <c r="E110" s="132"/>
      <c r="F110" s="82"/>
      <c r="G110" s="132" t="str">
        <v>0.00</v>
      </c>
      <c r="H110" s="132"/>
      <c r="I110" s="132" t="str">
        <v>0.00</v>
      </c>
      <c r="J110" s="132"/>
      <c r="K110" s="132" t="str">
        <v>0.00</v>
      </c>
      <c r="L110" s="132"/>
      <c r="M110" s="132" t="str">
        <v>0.00</v>
      </c>
      <c r="N110" s="132"/>
      <c r="O110" s="132" t="str">
        <v>0.00</v>
      </c>
      <c r="P110" s="132"/>
      <c r="Q110" s="132" t="str">
        <v>0.00</v>
      </c>
      <c r="R110" s="132"/>
      <c r="S110" s="132" t="str">
        <v>未完结</v>
      </c>
      <c r="T110" s="132"/>
      <c r="U110" s="74"/>
      <c r="V110" s="74" t="str">
        <v>浙江阿里巴巴通信技术有限公司</v>
      </c>
      <c r="W110" s="74" t="str">
        <v>天猫</v>
      </c>
      <c r="X110" s="74" t="str">
        <v>DP001-016</v>
      </c>
      <c r="Y110" s="74" t="str">
        <v>天猫-万相台-常规投放</v>
      </c>
      <c r="Z110" s="74"/>
      <c r="AA110" s="74"/>
      <c r="AB110" s="74"/>
      <c r="AC110" s="74" t="str">
        <v>否</v>
      </c>
      <c r="AD110" s="74"/>
      <c r="AE110" s="74"/>
      <c r="AF110" s="74"/>
      <c r="AG110" s="74"/>
      <c r="AH110" s="74" t="str">
        <v>盐首（刘如敏）</v>
      </c>
      <c r="AI110" s="74"/>
      <c r="AJ110" s="74" t="str">
        <v>杭州匠泽电子商务有限公司</v>
      </c>
      <c r="AK110" s="74"/>
      <c r="AL110" s="74"/>
      <c r="AM110" s="74"/>
      <c r="AN110" s="74" t="str">
        <v>自投</v>
      </c>
      <c r="AO110" s="131">
        <v>36526</v>
      </c>
      <c r="AP110" s="74" t="str">
        <v>站内</v>
      </c>
      <c r="AQ110" s="74" t="str">
        <v>DP001-WXT</v>
      </c>
      <c r="AR110" s="74"/>
      <c r="AS110" s="74" t="str">
        <v>天猫花西子匠泽店-万相台-活动加速</v>
      </c>
      <c r="AT110" s="74" t="str">
        <v>花西子</v>
      </c>
    </row>
    <row r="111">
      <c r="A111" s="132" t="str">
        <v>0314402355b8ffcff3f0d6cfb2be0001</v>
      </c>
      <c r="B111" s="132"/>
      <c r="C111" s="132"/>
      <c r="D111" s="132" t="str">
        <v>ycss02;</v>
      </c>
      <c r="E111" s="132"/>
      <c r="F111" s="82"/>
      <c r="G111" s="132" t="str">
        <v>0.00</v>
      </c>
      <c r="H111" s="132"/>
      <c r="I111" s="132" t="str">
        <v>0.00</v>
      </c>
      <c r="J111" s="132"/>
      <c r="K111" s="132" t="str">
        <v>0.00</v>
      </c>
      <c r="L111" s="132"/>
      <c r="M111" s="132" t="str">
        <v>0.00</v>
      </c>
      <c r="N111" s="132"/>
      <c r="O111" s="132" t="str">
        <v>0.00</v>
      </c>
      <c r="P111" s="132"/>
      <c r="Q111" s="132" t="str">
        <v>0.00</v>
      </c>
      <c r="R111" s="132"/>
      <c r="S111" s="132" t="str">
        <v>未完结</v>
      </c>
      <c r="T111" s="132"/>
      <c r="U111" s="74"/>
      <c r="V111" s="74" t="str">
        <v>重庆京东海嘉电子商务有限公司</v>
      </c>
      <c r="W111" s="74" t="str">
        <v>京东</v>
      </c>
      <c r="X111" s="74" t="str">
        <v>DP033-005</v>
      </c>
      <c r="Y111" s="74" t="str">
        <v>京东自营-京准通常规投放</v>
      </c>
      <c r="Z111" s="74"/>
      <c r="AA111" s="74"/>
      <c r="AB111" s="74"/>
      <c r="AC111" s="74" t="str">
        <v>否</v>
      </c>
      <c r="AD111" s="74"/>
      <c r="AE111" s="74"/>
      <c r="AF111" s="74"/>
      <c r="AG111" s="74"/>
      <c r="AH111" s="74" t="str">
        <v>大阳（徐庄南）</v>
      </c>
      <c r="AI111" s="74"/>
      <c r="AJ111" s="74" t="str">
        <v>杭州匠泽电子商务有限公司</v>
      </c>
      <c r="AK111" s="74"/>
      <c r="AL111" s="74"/>
      <c r="AM111" s="74"/>
      <c r="AN111" s="74" t="str">
        <v>自投</v>
      </c>
      <c r="AO111" s="131">
        <v>36526</v>
      </c>
      <c r="AP111" s="74" t="str">
        <v>站内</v>
      </c>
      <c r="AQ111" s="74" t="str">
        <v>DP033-JDZY</v>
      </c>
      <c r="AR111" s="74"/>
      <c r="AS111" s="74" t="str">
        <v>京东花西子自营店-互动广告</v>
      </c>
      <c r="AT111" s="74" t="str">
        <v>花西子</v>
      </c>
    </row>
    <row r="112">
      <c r="A112" s="132" t="str">
        <v>0314402356b8ffcff3f0d6cfb2be0001</v>
      </c>
      <c r="B112" s="132"/>
      <c r="C112" s="132"/>
      <c r="D112" s="132" t="str">
        <v>ycss02;</v>
      </c>
      <c r="E112" s="132"/>
      <c r="F112" s="82"/>
      <c r="G112" s="132" t="str">
        <v>0.00</v>
      </c>
      <c r="H112" s="132"/>
      <c r="I112" s="132" t="str">
        <v>0.00</v>
      </c>
      <c r="J112" s="132"/>
      <c r="K112" s="132" t="str">
        <v>0.00</v>
      </c>
      <c r="L112" s="132"/>
      <c r="M112" s="132" t="str">
        <v>0.00</v>
      </c>
      <c r="N112" s="132"/>
      <c r="O112" s="132" t="str">
        <v>0.00</v>
      </c>
      <c r="P112" s="132"/>
      <c r="Q112" s="132" t="str">
        <v>0.00</v>
      </c>
      <c r="R112" s="132"/>
      <c r="S112" s="132" t="str">
        <v>未完结</v>
      </c>
      <c r="T112" s="132"/>
      <c r="U112" s="74"/>
      <c r="V112" s="74" t="str">
        <v>重庆京东海嘉电子商务有限公司</v>
      </c>
      <c r="W112" s="74" t="str">
        <v>京东</v>
      </c>
      <c r="X112" s="74" t="str">
        <v>DP033-006</v>
      </c>
      <c r="Y112" s="74" t="str">
        <v>京东自营-京准通常规投放</v>
      </c>
      <c r="Z112" s="74"/>
      <c r="AA112" s="74"/>
      <c r="AB112" s="74"/>
      <c r="AC112" s="74" t="str">
        <v>否</v>
      </c>
      <c r="AD112" s="74"/>
      <c r="AE112" s="74"/>
      <c r="AF112" s="74"/>
      <c r="AG112" s="74"/>
      <c r="AH112" s="74" t="str">
        <v>大阳（徐庄南）</v>
      </c>
      <c r="AI112" s="74"/>
      <c r="AJ112" s="74" t="str">
        <v>杭州匠泽电子商务有限公司</v>
      </c>
      <c r="AK112" s="74"/>
      <c r="AL112" s="74"/>
      <c r="AM112" s="74"/>
      <c r="AN112" s="74" t="str">
        <v>自投</v>
      </c>
      <c r="AO112" s="131">
        <v>36526</v>
      </c>
      <c r="AP112" s="74" t="str">
        <v>站内</v>
      </c>
      <c r="AQ112" s="74" t="str">
        <v>DP033-JDZY</v>
      </c>
      <c r="AR112" s="74"/>
      <c r="AS112" s="74" t="str">
        <v>京东花西子自营店-快车</v>
      </c>
      <c r="AT112" s="74" t="str">
        <v>花西子</v>
      </c>
    </row>
    <row r="113">
      <c r="A113" s="132" t="str">
        <v>0314402357a8ffcff3f0d6cfb2be0001</v>
      </c>
      <c r="B113" s="132"/>
      <c r="C113" s="132"/>
      <c r="D113" s="132" t="str">
        <v>ycss02;</v>
      </c>
      <c r="E113" s="132"/>
      <c r="F113" s="82"/>
      <c r="G113" s="132" t="str">
        <v>0.00</v>
      </c>
      <c r="H113" s="132"/>
      <c r="I113" s="132" t="str">
        <v>0.00</v>
      </c>
      <c r="J113" s="132"/>
      <c r="K113" s="132" t="str">
        <v>0.00</v>
      </c>
      <c r="L113" s="132"/>
      <c r="M113" s="132" t="str">
        <v>0.00</v>
      </c>
      <c r="N113" s="132"/>
      <c r="O113" s="132" t="str">
        <v>0.00</v>
      </c>
      <c r="P113" s="132"/>
      <c r="Q113" s="132" t="str">
        <v>0.00</v>
      </c>
      <c r="R113" s="132"/>
      <c r="S113" s="132" t="str">
        <v>未完结</v>
      </c>
      <c r="T113" s="132"/>
      <c r="U113" s="74"/>
      <c r="V113" s="74" t="str">
        <v>重庆京东海嘉电子商务有限公司</v>
      </c>
      <c r="W113" s="74" t="str">
        <v>京东</v>
      </c>
      <c r="X113" s="74" t="str">
        <v>DP033-007</v>
      </c>
      <c r="Y113" s="74" t="str">
        <v>京东自营-京准通常规投放</v>
      </c>
      <c r="Z113" s="74"/>
      <c r="AA113" s="74"/>
      <c r="AB113" s="74"/>
      <c r="AC113" s="74" t="str">
        <v>否</v>
      </c>
      <c r="AD113" s="74"/>
      <c r="AE113" s="74"/>
      <c r="AF113" s="74"/>
      <c r="AG113" s="74"/>
      <c r="AH113" s="74" t="str">
        <v>大阳（徐庄南）</v>
      </c>
      <c r="AI113" s="74"/>
      <c r="AJ113" s="74" t="str">
        <v>杭州匠泽电子商务有限公司</v>
      </c>
      <c r="AK113" s="74"/>
      <c r="AL113" s="74"/>
      <c r="AM113" s="74"/>
      <c r="AN113" s="74" t="str">
        <v>自投</v>
      </c>
      <c r="AO113" s="131">
        <v>36526</v>
      </c>
      <c r="AP113" s="74" t="str">
        <v>站内</v>
      </c>
      <c r="AQ113" s="74" t="str">
        <v>DP033-JDZY</v>
      </c>
      <c r="AR113" s="74"/>
      <c r="AS113" s="74" t="str">
        <v>京东花西子自营店-站外广告</v>
      </c>
      <c r="AT113" s="74" t="str">
        <v>花西子</v>
      </c>
    </row>
    <row r="114">
      <c r="A114" s="132" t="str">
        <v>0314402358a8ffcff3f0d6cfb2be0001</v>
      </c>
      <c r="B114" s="132"/>
      <c r="C114" s="132"/>
      <c r="D114" s="132" t="str">
        <v>ycss02;</v>
      </c>
      <c r="E114" s="132"/>
      <c r="F114" s="82"/>
      <c r="G114" s="132" t="str">
        <v>0.00</v>
      </c>
      <c r="H114" s="132"/>
      <c r="I114" s="132" t="str">
        <v>0.00</v>
      </c>
      <c r="J114" s="132"/>
      <c r="K114" s="132" t="str">
        <v>0.00</v>
      </c>
      <c r="L114" s="132"/>
      <c r="M114" s="132" t="str">
        <v>0.00</v>
      </c>
      <c r="N114" s="132"/>
      <c r="O114" s="132" t="str">
        <v>0.00</v>
      </c>
      <c r="P114" s="132"/>
      <c r="Q114" s="132" t="str">
        <v>0.00</v>
      </c>
      <c r="R114" s="132"/>
      <c r="S114" s="132" t="str">
        <v>未完结</v>
      </c>
      <c r="T114" s="132"/>
      <c r="U114" s="74"/>
      <c r="V114" s="74" t="str">
        <v>重庆京东海嘉电子商务有限公司</v>
      </c>
      <c r="W114" s="74" t="str">
        <v>京东</v>
      </c>
      <c r="X114" s="74" t="str">
        <v>DP033-008</v>
      </c>
      <c r="Y114" s="74" t="str">
        <v>京东自营-京准通常规投放</v>
      </c>
      <c r="Z114" s="74"/>
      <c r="AA114" s="74"/>
      <c r="AB114" s="74"/>
      <c r="AC114" s="74" t="str">
        <v>否</v>
      </c>
      <c r="AD114" s="74"/>
      <c r="AE114" s="74"/>
      <c r="AF114" s="74"/>
      <c r="AG114" s="74"/>
      <c r="AH114" s="74" t="str">
        <v>大阳（徐庄南）</v>
      </c>
      <c r="AI114" s="74"/>
      <c r="AJ114" s="74" t="str">
        <v>杭州匠泽电子商务有限公司</v>
      </c>
      <c r="AK114" s="74"/>
      <c r="AL114" s="74"/>
      <c r="AM114" s="74"/>
      <c r="AN114" s="74" t="str">
        <v>自投</v>
      </c>
      <c r="AO114" s="131">
        <v>36526</v>
      </c>
      <c r="AP114" s="74" t="str">
        <v>站内</v>
      </c>
      <c r="AQ114" s="74" t="str">
        <v>DP033-JDZY</v>
      </c>
      <c r="AR114" s="74"/>
      <c r="AS114" s="74" t="str">
        <v>京东花西子自营店-推荐广告</v>
      </c>
      <c r="AT114" s="74" t="str">
        <v>花西子</v>
      </c>
    </row>
    <row r="115">
      <c r="A115" s="132" t="str">
        <v>031440235998ffcff3f0d6cfb2be0002</v>
      </c>
      <c r="B115" s="132"/>
      <c r="C115" s="132"/>
      <c r="D115" s="132" t="str">
        <v>ycss02;</v>
      </c>
      <c r="E115" s="132"/>
      <c r="F115" s="82"/>
      <c r="G115" s="132" t="str">
        <v>0.00</v>
      </c>
      <c r="H115" s="132"/>
      <c r="I115" s="132" t="str">
        <v>0.00</v>
      </c>
      <c r="J115" s="132"/>
      <c r="K115" s="132" t="str">
        <v>0.00</v>
      </c>
      <c r="L115" s="132"/>
      <c r="M115" s="132" t="str">
        <v>0.00</v>
      </c>
      <c r="N115" s="132"/>
      <c r="O115" s="132" t="str">
        <v>0.00</v>
      </c>
      <c r="P115" s="132"/>
      <c r="Q115" s="132" t="str">
        <v>0.00</v>
      </c>
      <c r="R115" s="132"/>
      <c r="S115" s="132" t="str">
        <v>未完结</v>
      </c>
      <c r="T115" s="132"/>
      <c r="U115" s="74"/>
      <c r="V115" s="74" t="str">
        <v>重庆京东海嘉电子商务有限公司</v>
      </c>
      <c r="W115" s="74" t="str">
        <v>京东</v>
      </c>
      <c r="X115" s="74" t="str">
        <v>DP033-009</v>
      </c>
      <c r="Y115" s="74" t="str">
        <v>京东自营-京准通常规投放</v>
      </c>
      <c r="Z115" s="74"/>
      <c r="AA115" s="74"/>
      <c r="AB115" s="74"/>
      <c r="AC115" s="74" t="str">
        <v>否</v>
      </c>
      <c r="AD115" s="74"/>
      <c r="AE115" s="74"/>
      <c r="AF115" s="74"/>
      <c r="AG115" s="74"/>
      <c r="AH115" s="74" t="str">
        <v>大阳（徐庄南）</v>
      </c>
      <c r="AI115" s="74"/>
      <c r="AJ115" s="74" t="str">
        <v>杭州匠泽电子商务有限公司</v>
      </c>
      <c r="AK115" s="74"/>
      <c r="AL115" s="74"/>
      <c r="AM115" s="74"/>
      <c r="AN115" s="74" t="str">
        <v>自投</v>
      </c>
      <c r="AO115" s="131">
        <v>36526</v>
      </c>
      <c r="AP115" s="74" t="str">
        <v>站内</v>
      </c>
      <c r="AQ115" s="74" t="str">
        <v>DP033-JDZY</v>
      </c>
      <c r="AR115" s="74"/>
      <c r="AS115" s="74" t="str">
        <v>京东花西子自营店-智能投放</v>
      </c>
      <c r="AT115" s="74" t="str">
        <v>花西子</v>
      </c>
    </row>
    <row r="116">
      <c r="A116" s="132" t="str">
        <v>031440235a88ffcff3f0d6cfb2be0002</v>
      </c>
      <c r="B116" s="132"/>
      <c r="C116" s="132"/>
      <c r="D116" s="132" t="str">
        <v>ycss02;</v>
      </c>
      <c r="E116" s="132"/>
      <c r="F116" s="82"/>
      <c r="G116" s="132" t="str">
        <v>0.00</v>
      </c>
      <c r="H116" s="132"/>
      <c r="I116" s="132" t="str">
        <v>0.00</v>
      </c>
      <c r="J116" s="132"/>
      <c r="K116" s="132" t="str">
        <v>0.00</v>
      </c>
      <c r="L116" s="132"/>
      <c r="M116" s="132" t="str">
        <v>0.00</v>
      </c>
      <c r="N116" s="132"/>
      <c r="O116" s="132" t="str">
        <v>0.00</v>
      </c>
      <c r="P116" s="132"/>
      <c r="Q116" s="132" t="str">
        <v>0.00</v>
      </c>
      <c r="R116" s="132"/>
      <c r="S116" s="132" t="str">
        <v>未完结</v>
      </c>
      <c r="T116" s="132"/>
      <c r="U116" s="74"/>
      <c r="V116" s="74" t="str">
        <v>重庆京东海嘉电子商务有限公司</v>
      </c>
      <c r="W116" s="74" t="str">
        <v>京东</v>
      </c>
      <c r="X116" s="74" t="str">
        <v>DP002-005</v>
      </c>
      <c r="Y116" s="74" t="str">
        <v>京东POP-京准通常规投放</v>
      </c>
      <c r="Z116" s="74"/>
      <c r="AA116" s="74"/>
      <c r="AB116" s="74"/>
      <c r="AC116" s="74" t="str">
        <v>否</v>
      </c>
      <c r="AD116" s="74"/>
      <c r="AE116" s="74"/>
      <c r="AF116" s="74"/>
      <c r="AG116" s="74"/>
      <c r="AH116" s="74" t="str">
        <v>大阳（徐庄南）</v>
      </c>
      <c r="AI116" s="74"/>
      <c r="AJ116" s="74" t="str">
        <v>杭州匠泽电子商务有限公司</v>
      </c>
      <c r="AK116" s="74"/>
      <c r="AL116" s="74"/>
      <c r="AM116" s="74"/>
      <c r="AN116" s="74" t="str">
        <v>自投</v>
      </c>
      <c r="AO116" s="131">
        <v>36526</v>
      </c>
      <c r="AP116" s="74" t="str">
        <v>站内</v>
      </c>
      <c r="AQ116" s="74" t="str">
        <v>DP002-JD</v>
      </c>
      <c r="AR116" s="74"/>
      <c r="AS116" s="74" t="str">
        <v>京东花西子旗舰店-互动广告</v>
      </c>
      <c r="AT116" s="74" t="str">
        <v>花西子</v>
      </c>
    </row>
    <row r="117">
      <c r="A117" s="132" t="str">
        <v>031440235b78ffcff3f0d6cfb2be0002</v>
      </c>
      <c r="B117" s="132"/>
      <c r="C117" s="132"/>
      <c r="D117" s="132" t="str">
        <v>ycss02;</v>
      </c>
      <c r="E117" s="132"/>
      <c r="F117" s="82"/>
      <c r="G117" s="132" t="str">
        <v>0.00</v>
      </c>
      <c r="H117" s="132"/>
      <c r="I117" s="132" t="str">
        <v>0.00</v>
      </c>
      <c r="J117" s="132"/>
      <c r="K117" s="132" t="str">
        <v>0.00</v>
      </c>
      <c r="L117" s="132"/>
      <c r="M117" s="132" t="str">
        <v>0.00</v>
      </c>
      <c r="N117" s="132"/>
      <c r="O117" s="132" t="str">
        <v>0.00</v>
      </c>
      <c r="P117" s="132"/>
      <c r="Q117" s="132" t="str">
        <v>0.00</v>
      </c>
      <c r="R117" s="132"/>
      <c r="S117" s="132" t="str">
        <v>未完结</v>
      </c>
      <c r="T117" s="132"/>
      <c r="U117" s="74"/>
      <c r="V117" s="74" t="str">
        <v>重庆京东海嘉电子商务有限公司</v>
      </c>
      <c r="W117" s="74" t="str">
        <v>京东</v>
      </c>
      <c r="X117" s="74" t="str">
        <v>DP002-006</v>
      </c>
      <c r="Y117" s="74" t="str">
        <v>京东POP-京准通常规投放</v>
      </c>
      <c r="Z117" s="74"/>
      <c r="AA117" s="74"/>
      <c r="AB117" s="74"/>
      <c r="AC117" s="74" t="str">
        <v>否</v>
      </c>
      <c r="AD117" s="74"/>
      <c r="AE117" s="74"/>
      <c r="AF117" s="74"/>
      <c r="AG117" s="74"/>
      <c r="AH117" s="74" t="str">
        <v>大阳（徐庄南）</v>
      </c>
      <c r="AI117" s="74"/>
      <c r="AJ117" s="74" t="str">
        <v>杭州匠泽电子商务有限公司</v>
      </c>
      <c r="AK117" s="74"/>
      <c r="AL117" s="74"/>
      <c r="AM117" s="74"/>
      <c r="AN117" s="74" t="str">
        <v>自投</v>
      </c>
      <c r="AO117" s="131">
        <v>36526</v>
      </c>
      <c r="AP117" s="74" t="str">
        <v>站内</v>
      </c>
      <c r="AQ117" s="74" t="str">
        <v>DP002-JD</v>
      </c>
      <c r="AR117" s="74"/>
      <c r="AS117" s="74" t="str">
        <v>京东花西子旗舰店-快车</v>
      </c>
      <c r="AT117" s="74" t="str">
        <v>花西子</v>
      </c>
    </row>
    <row r="118">
      <c r="A118" s="132" t="str">
        <v>031440235c78ffcff3f0d6cfb2be0002</v>
      </c>
      <c r="B118" s="132"/>
      <c r="C118" s="132"/>
      <c r="D118" s="132" t="str">
        <v>ycss02;</v>
      </c>
      <c r="E118" s="132"/>
      <c r="F118" s="82"/>
      <c r="G118" s="132" t="str">
        <v>0.00</v>
      </c>
      <c r="H118" s="132"/>
      <c r="I118" s="132" t="str">
        <v>0.00</v>
      </c>
      <c r="J118" s="132"/>
      <c r="K118" s="132" t="str">
        <v>0.00</v>
      </c>
      <c r="L118" s="132"/>
      <c r="M118" s="132" t="str">
        <v>0.00</v>
      </c>
      <c r="N118" s="132"/>
      <c r="O118" s="132" t="str">
        <v>0.00</v>
      </c>
      <c r="P118" s="132"/>
      <c r="Q118" s="132" t="str">
        <v>0.00</v>
      </c>
      <c r="R118" s="132"/>
      <c r="S118" s="132" t="str">
        <v>未完结</v>
      </c>
      <c r="T118" s="132"/>
      <c r="U118" s="74"/>
      <c r="V118" s="74" t="str">
        <v>重庆京东海嘉电子商务有限公司</v>
      </c>
      <c r="W118" s="74" t="str">
        <v>京东</v>
      </c>
      <c r="X118" s="74" t="str">
        <v>DP002-007</v>
      </c>
      <c r="Y118" s="74" t="str">
        <v>京东POP-京准通常规投放</v>
      </c>
      <c r="Z118" s="74"/>
      <c r="AA118" s="74"/>
      <c r="AB118" s="74"/>
      <c r="AC118" s="74" t="str">
        <v>否</v>
      </c>
      <c r="AD118" s="74"/>
      <c r="AE118" s="74"/>
      <c r="AF118" s="74"/>
      <c r="AG118" s="74"/>
      <c r="AH118" s="74" t="str">
        <v>大阳（徐庄南）</v>
      </c>
      <c r="AI118" s="74"/>
      <c r="AJ118" s="74" t="str">
        <v>杭州匠泽电子商务有限公司</v>
      </c>
      <c r="AK118" s="74"/>
      <c r="AL118" s="74"/>
      <c r="AM118" s="74"/>
      <c r="AN118" s="74" t="str">
        <v>自投</v>
      </c>
      <c r="AO118" s="131">
        <v>36526</v>
      </c>
      <c r="AP118" s="74" t="str">
        <v>站内</v>
      </c>
      <c r="AQ118" s="74" t="str">
        <v>DP002-JD</v>
      </c>
      <c r="AR118" s="74"/>
      <c r="AS118" s="74" t="str">
        <v>京东花西子旗舰店-站外广告</v>
      </c>
      <c r="AT118" s="74" t="str">
        <v>花西子</v>
      </c>
    </row>
    <row r="119">
      <c r="A119" s="132" t="str">
        <v>031440235d68ffcff3f0d6cfb2be0002</v>
      </c>
      <c r="B119" s="132"/>
      <c r="C119" s="132"/>
      <c r="D119" s="132" t="str">
        <v>ycss02;</v>
      </c>
      <c r="E119" s="132"/>
      <c r="F119" s="82"/>
      <c r="G119" s="132" t="str">
        <v>0.00</v>
      </c>
      <c r="H119" s="132"/>
      <c r="I119" s="132" t="str">
        <v>0.00</v>
      </c>
      <c r="J119" s="132"/>
      <c r="K119" s="132" t="str">
        <v>0.00</v>
      </c>
      <c r="L119" s="132"/>
      <c r="M119" s="132" t="str">
        <v>0.00</v>
      </c>
      <c r="N119" s="132"/>
      <c r="O119" s="132" t="str">
        <v>0.00</v>
      </c>
      <c r="P119" s="132"/>
      <c r="Q119" s="132" t="str">
        <v>0.00</v>
      </c>
      <c r="R119" s="132"/>
      <c r="S119" s="132" t="str">
        <v>未完结</v>
      </c>
      <c r="T119" s="132"/>
      <c r="U119" s="74"/>
      <c r="V119" s="74" t="str">
        <v>重庆京东海嘉电子商务有限公司</v>
      </c>
      <c r="W119" s="74" t="str">
        <v>京东</v>
      </c>
      <c r="X119" s="74" t="str">
        <v>DP002-008</v>
      </c>
      <c r="Y119" s="74" t="str">
        <v>京东POP-京准通常规投放</v>
      </c>
      <c r="Z119" s="74"/>
      <c r="AA119" s="74"/>
      <c r="AB119" s="74"/>
      <c r="AC119" s="74" t="str">
        <v>否</v>
      </c>
      <c r="AD119" s="74"/>
      <c r="AE119" s="74"/>
      <c r="AF119" s="74"/>
      <c r="AG119" s="74"/>
      <c r="AH119" s="74" t="str">
        <v>大阳（徐庄南）</v>
      </c>
      <c r="AI119" s="74"/>
      <c r="AJ119" s="74" t="str">
        <v>杭州匠泽电子商务有限公司</v>
      </c>
      <c r="AK119" s="74"/>
      <c r="AL119" s="74"/>
      <c r="AM119" s="74"/>
      <c r="AN119" s="74" t="str">
        <v>自投</v>
      </c>
      <c r="AO119" s="131">
        <v>36526</v>
      </c>
      <c r="AP119" s="74" t="str">
        <v>站内</v>
      </c>
      <c r="AQ119" s="74" t="str">
        <v>DP002-JD</v>
      </c>
      <c r="AR119" s="74"/>
      <c r="AS119" s="74" t="str">
        <v>京东花西子旗舰店-推荐广告</v>
      </c>
      <c r="AT119" s="74" t="str">
        <v>花西子</v>
      </c>
    </row>
    <row r="120">
      <c r="A120" s="132" t="str">
        <v>031440235e88ffcff3f0d6cfb2be0002</v>
      </c>
      <c r="B120" s="132"/>
      <c r="C120" s="132"/>
      <c r="D120" s="132" t="str">
        <v>ycss02;</v>
      </c>
      <c r="E120" s="132"/>
      <c r="F120" s="82"/>
      <c r="G120" s="132" t="str">
        <v>0.00</v>
      </c>
      <c r="H120" s="132"/>
      <c r="I120" s="132" t="str">
        <v>0.00</v>
      </c>
      <c r="J120" s="132"/>
      <c r="K120" s="132" t="str">
        <v>0.00</v>
      </c>
      <c r="L120" s="132"/>
      <c r="M120" s="132" t="str">
        <v>0.00</v>
      </c>
      <c r="N120" s="132"/>
      <c r="O120" s="132" t="str">
        <v>0.00</v>
      </c>
      <c r="P120" s="132"/>
      <c r="Q120" s="132" t="str">
        <v>0.00</v>
      </c>
      <c r="R120" s="132"/>
      <c r="S120" s="132" t="str">
        <v>未完结</v>
      </c>
      <c r="T120" s="132"/>
      <c r="U120" s="74"/>
      <c r="V120" s="74" t="str">
        <v>重庆京东海嘉电子商务有限公司</v>
      </c>
      <c r="W120" s="74" t="str">
        <v>京东</v>
      </c>
      <c r="X120" s="74" t="str">
        <v>DP002-009</v>
      </c>
      <c r="Y120" s="74" t="str">
        <v>京东POP-京准通常规投放</v>
      </c>
      <c r="Z120" s="74"/>
      <c r="AA120" s="74"/>
      <c r="AB120" s="74"/>
      <c r="AC120" s="74" t="str">
        <v>否</v>
      </c>
      <c r="AD120" s="74"/>
      <c r="AE120" s="74"/>
      <c r="AF120" s="74"/>
      <c r="AG120" s="74"/>
      <c r="AH120" s="74" t="str">
        <v>大阳（徐庄南）</v>
      </c>
      <c r="AI120" s="74"/>
      <c r="AJ120" s="74" t="str">
        <v>杭州匠泽电子商务有限公司</v>
      </c>
      <c r="AK120" s="74"/>
      <c r="AL120" s="74"/>
      <c r="AM120" s="74"/>
      <c r="AN120" s="74" t="str">
        <v>自投</v>
      </c>
      <c r="AO120" s="131">
        <v>36526</v>
      </c>
      <c r="AP120" s="74" t="str">
        <v>站内</v>
      </c>
      <c r="AQ120" s="74" t="str">
        <v>DP002-JD</v>
      </c>
      <c r="AR120" s="74"/>
      <c r="AS120" s="74" t="str">
        <v>京东花西子旗舰店-智能投放</v>
      </c>
      <c r="AT120" s="74" t="str">
        <v>花西子</v>
      </c>
    </row>
    <row r="121">
      <c r="A121" s="132" t="str">
        <v>031440235f78ffcff3f0d6cfb2be0002</v>
      </c>
      <c r="B121" s="132"/>
      <c r="C121" s="132"/>
      <c r="D121" s="132" t="str">
        <v>ycss02;</v>
      </c>
      <c r="E121" s="132"/>
      <c r="F121" s="82"/>
      <c r="G121" s="132" t="str">
        <v>0.00</v>
      </c>
      <c r="H121" s="132"/>
      <c r="I121" s="132" t="str">
        <v>0.00</v>
      </c>
      <c r="J121" s="132"/>
      <c r="K121" s="132" t="str">
        <v>0.00</v>
      </c>
      <c r="L121" s="132"/>
      <c r="M121" s="132" t="str">
        <v>0.00</v>
      </c>
      <c r="N121" s="132"/>
      <c r="O121" s="132" t="str">
        <v>0.00</v>
      </c>
      <c r="P121" s="132"/>
      <c r="Q121" s="132" t="str">
        <v>0.00</v>
      </c>
      <c r="R121" s="132"/>
      <c r="S121" s="132" t="str">
        <v>未完结</v>
      </c>
      <c r="T121" s="132"/>
      <c r="U121" s="74"/>
      <c r="V121" s="74" t="str">
        <v>广州海珠品唯信息服务有限公司</v>
      </c>
      <c r="W121" s="74" t="str">
        <v>唯品会</v>
      </c>
      <c r="X121" s="74" t="str">
        <v>DP029-030</v>
      </c>
      <c r="Y121" s="74" t="str">
        <v>唯品会-唯品常规投放</v>
      </c>
      <c r="Z121" s="74"/>
      <c r="AA121" s="74"/>
      <c r="AB121" s="74"/>
      <c r="AC121" s="74" t="str">
        <v>否</v>
      </c>
      <c r="AD121" s="74"/>
      <c r="AE121" s="74"/>
      <c r="AF121" s="74"/>
      <c r="AG121" s="74"/>
      <c r="AH121" s="74" t="str">
        <v>立立夏（武雨环）</v>
      </c>
      <c r="AI121" s="74"/>
      <c r="AJ121" s="74" t="str">
        <v>杭州匠泽电子商务有限公司</v>
      </c>
      <c r="AK121" s="74"/>
      <c r="AL121" s="74"/>
      <c r="AM121" s="74"/>
      <c r="AN121" s="74" t="str">
        <v>自投</v>
      </c>
      <c r="AO121" s="131">
        <v>36526</v>
      </c>
      <c r="AP121" s="74" t="str">
        <v>站内</v>
      </c>
      <c r="AQ121" s="74" t="str">
        <v>DP029-WPH</v>
      </c>
      <c r="AR121" s="74"/>
      <c r="AS121" s="74" t="str">
        <v>唯品会花西子自营店-唯智展</v>
      </c>
      <c r="AT121" s="74" t="str">
        <v>花西子</v>
      </c>
    </row>
    <row r="122">
      <c r="A122" s="132" t="str">
        <v>031440236078ffcff3f0d6cfb2be0002</v>
      </c>
      <c r="B122" s="132"/>
      <c r="C122" s="132"/>
      <c r="D122" s="132" t="str">
        <v>ycss02;</v>
      </c>
      <c r="E122" s="132"/>
      <c r="F122" s="82"/>
      <c r="G122" s="132" t="str">
        <v>0.00</v>
      </c>
      <c r="H122" s="132"/>
      <c r="I122" s="132" t="str">
        <v>0.00</v>
      </c>
      <c r="J122" s="132"/>
      <c r="K122" s="132" t="str">
        <v>0.00</v>
      </c>
      <c r="L122" s="132"/>
      <c r="M122" s="132" t="str">
        <v>0.00</v>
      </c>
      <c r="N122" s="132"/>
      <c r="O122" s="132" t="str">
        <v>0.00</v>
      </c>
      <c r="P122" s="132"/>
      <c r="Q122" s="132" t="str">
        <v>0.00</v>
      </c>
      <c r="R122" s="132"/>
      <c r="S122" s="132" t="str">
        <v>未完结</v>
      </c>
      <c r="T122" s="132"/>
      <c r="U122" s="74"/>
      <c r="V122" s="74" t="str">
        <v>广州海珠品唯信息服务有限公司</v>
      </c>
      <c r="W122" s="74" t="str">
        <v>唯品会</v>
      </c>
      <c r="X122" s="74" t="str">
        <v>DP029-027</v>
      </c>
      <c r="Y122" s="74" t="str">
        <v>唯品会-唯品常规投放</v>
      </c>
      <c r="Z122" s="74"/>
      <c r="AA122" s="74"/>
      <c r="AB122" s="74"/>
      <c r="AC122" s="74" t="str">
        <v>否</v>
      </c>
      <c r="AD122" s="74"/>
      <c r="AE122" s="74"/>
      <c r="AF122" s="74"/>
      <c r="AG122" s="74"/>
      <c r="AH122" s="74" t="str">
        <v>立立夏（武雨环）</v>
      </c>
      <c r="AI122" s="74"/>
      <c r="AJ122" s="74" t="str">
        <v>杭州匠泽电子商务有限公司</v>
      </c>
      <c r="AK122" s="74"/>
      <c r="AL122" s="74"/>
      <c r="AM122" s="74"/>
      <c r="AN122" s="74" t="str">
        <v>自投</v>
      </c>
      <c r="AO122" s="131">
        <v>36526</v>
      </c>
      <c r="AP122" s="74" t="str">
        <v>站内</v>
      </c>
      <c r="AQ122" s="74" t="str">
        <v>DP029-WPH</v>
      </c>
      <c r="AR122" s="74"/>
      <c r="AS122" s="74" t="str">
        <v>唯品会花西子自营店-唯直达</v>
      </c>
      <c r="AT122" s="74" t="str">
        <v>花西子</v>
      </c>
    </row>
    <row r="123">
      <c r="A123" s="132" t="str">
        <v>031440236168ffcff3f0d6cfb2be0002</v>
      </c>
      <c r="B123" s="132"/>
      <c r="C123" s="132"/>
      <c r="D123" s="132" t="str">
        <v>ycss02;</v>
      </c>
      <c r="E123" s="132"/>
      <c r="F123" s="82"/>
      <c r="G123" s="132" t="str">
        <v>0.00</v>
      </c>
      <c r="H123" s="132"/>
      <c r="I123" s="132" t="str">
        <v>0.00</v>
      </c>
      <c r="J123" s="132"/>
      <c r="K123" s="132" t="str">
        <v>0.00</v>
      </c>
      <c r="L123" s="132"/>
      <c r="M123" s="132" t="str">
        <v>0.00</v>
      </c>
      <c r="N123" s="132"/>
      <c r="O123" s="132" t="str">
        <v>0.00</v>
      </c>
      <c r="P123" s="132"/>
      <c r="Q123" s="132" t="str">
        <v>0.00</v>
      </c>
      <c r="R123" s="132"/>
      <c r="S123" s="132" t="str">
        <v>未完结</v>
      </c>
      <c r="T123" s="132"/>
      <c r="U123" s="74"/>
      <c r="V123" s="74" t="str">
        <v>广州海珠品唯信息服务有限公司</v>
      </c>
      <c r="W123" s="74" t="str">
        <v>唯品会</v>
      </c>
      <c r="X123" s="74" t="str">
        <v>DP029-029</v>
      </c>
      <c r="Y123" s="74" t="str">
        <v>唯品会-唯品常规投放</v>
      </c>
      <c r="Z123" s="74"/>
      <c r="AA123" s="74"/>
      <c r="AB123" s="74"/>
      <c r="AC123" s="74" t="str">
        <v>否</v>
      </c>
      <c r="AD123" s="74"/>
      <c r="AE123" s="74"/>
      <c r="AF123" s="74"/>
      <c r="AG123" s="74"/>
      <c r="AH123" s="74" t="str">
        <v>立立夏（武雨环）</v>
      </c>
      <c r="AI123" s="74"/>
      <c r="AJ123" s="74" t="str">
        <v>杭州匠泽电子商务有限公司</v>
      </c>
      <c r="AK123" s="74"/>
      <c r="AL123" s="74"/>
      <c r="AM123" s="74"/>
      <c r="AN123" s="74" t="str">
        <v>自投</v>
      </c>
      <c r="AO123" s="131">
        <v>36526</v>
      </c>
      <c r="AP123" s="74" t="str">
        <v>站内</v>
      </c>
      <c r="AQ123" s="74" t="str">
        <v>DP029-WPH</v>
      </c>
      <c r="AR123" s="74"/>
      <c r="AS123" s="74" t="str">
        <v>唯品会花西子自营店-移动精选</v>
      </c>
      <c r="AT123" s="74" t="str">
        <v>花西子</v>
      </c>
    </row>
    <row r="124">
      <c r="A124" s="132" t="str">
        <v>031440236268ffcff3f0d6cfb2be0002</v>
      </c>
      <c r="B124" s="132"/>
      <c r="C124" s="132"/>
      <c r="D124" s="132" t="str">
        <v>ycss02;</v>
      </c>
      <c r="E124" s="132"/>
      <c r="F124" s="82"/>
      <c r="G124" s="132" t="str">
        <v>0.00</v>
      </c>
      <c r="H124" s="132"/>
      <c r="I124" s="132" t="str">
        <v>0.00</v>
      </c>
      <c r="J124" s="132"/>
      <c r="K124" s="132" t="str">
        <v>0.00</v>
      </c>
      <c r="L124" s="132"/>
      <c r="M124" s="132" t="str">
        <v>0.00</v>
      </c>
      <c r="N124" s="132"/>
      <c r="O124" s="132" t="str">
        <v>0.00</v>
      </c>
      <c r="P124" s="132"/>
      <c r="Q124" s="132" t="str">
        <v>0.00</v>
      </c>
      <c r="R124" s="132"/>
      <c r="S124" s="132" t="str">
        <v>未完结</v>
      </c>
      <c r="T124" s="132"/>
      <c r="U124" s="74"/>
      <c r="V124" s="74" t="str">
        <v>广州海珠品唯信息服务有限公司</v>
      </c>
      <c r="W124" s="74" t="str">
        <v>唯品会</v>
      </c>
      <c r="X124" s="74" t="str">
        <v>DP029-026</v>
      </c>
      <c r="Y124" s="74" t="str">
        <v>唯品会-唯品常规投放</v>
      </c>
      <c r="Z124" s="74"/>
      <c r="AA124" s="74"/>
      <c r="AB124" s="74"/>
      <c r="AC124" s="74" t="str">
        <v>否</v>
      </c>
      <c r="AD124" s="74"/>
      <c r="AE124" s="74"/>
      <c r="AF124" s="74"/>
      <c r="AG124" s="74"/>
      <c r="AH124" s="74" t="str">
        <v>立立夏（武雨环）</v>
      </c>
      <c r="AI124" s="74"/>
      <c r="AJ124" s="74" t="str">
        <v>杭州匠泽电子商务有限公司</v>
      </c>
      <c r="AK124" s="74"/>
      <c r="AL124" s="74"/>
      <c r="AM124" s="74"/>
      <c r="AN124" s="74" t="str">
        <v>自投</v>
      </c>
      <c r="AO124" s="131">
        <v>36526</v>
      </c>
      <c r="AP124" s="74" t="str">
        <v>站内</v>
      </c>
      <c r="AQ124" s="74" t="str">
        <v>DP029-WPH</v>
      </c>
      <c r="AR124" s="74"/>
      <c r="AS124" s="74" t="str">
        <v>唯品会花西子自营店-唯触点</v>
      </c>
      <c r="AT124" s="74" t="str">
        <v>花西子</v>
      </c>
    </row>
    <row r="125">
      <c r="A125" s="132" t="str">
        <v>031440236368ffcff3f0d6cfb2be0002</v>
      </c>
      <c r="B125" s="132"/>
      <c r="C125" s="132"/>
      <c r="D125" s="132" t="str">
        <v>ycss02;</v>
      </c>
      <c r="E125" s="132"/>
      <c r="F125" s="82"/>
      <c r="G125" s="132" t="str">
        <v>0.00</v>
      </c>
      <c r="H125" s="132"/>
      <c r="I125" s="132" t="str">
        <v>0.00</v>
      </c>
      <c r="J125" s="132"/>
      <c r="K125" s="132" t="str">
        <v>0.00</v>
      </c>
      <c r="L125" s="132"/>
      <c r="M125" s="132" t="str">
        <v>0.00</v>
      </c>
      <c r="N125" s="132"/>
      <c r="O125" s="132" t="str">
        <v>0.00</v>
      </c>
      <c r="P125" s="132"/>
      <c r="Q125" s="132" t="str">
        <v>0.00</v>
      </c>
      <c r="R125" s="132"/>
      <c r="S125" s="132" t="str">
        <v>未完结</v>
      </c>
      <c r="T125" s="132"/>
      <c r="U125" s="74"/>
      <c r="V125" s="74" t="str">
        <v>广州海珠品唯信息服务有限公司</v>
      </c>
      <c r="W125" s="74" t="str">
        <v>唯品会</v>
      </c>
      <c r="X125" s="74" t="str">
        <v>DP029-032</v>
      </c>
      <c r="Y125" s="74" t="str">
        <v>唯品会-唯品常规投放</v>
      </c>
      <c r="Z125" s="74"/>
      <c r="AA125" s="74"/>
      <c r="AB125" s="74"/>
      <c r="AC125" s="74" t="str">
        <v>否</v>
      </c>
      <c r="AD125" s="74"/>
      <c r="AE125" s="74"/>
      <c r="AF125" s="74"/>
      <c r="AG125" s="74"/>
      <c r="AH125" s="74" t="str">
        <v>立立夏（武雨环）</v>
      </c>
      <c r="AI125" s="74"/>
      <c r="AJ125" s="74" t="str">
        <v>杭州匠泽电子商务有限公司</v>
      </c>
      <c r="AK125" s="74"/>
      <c r="AL125" s="74"/>
      <c r="AM125" s="74"/>
      <c r="AN125" s="74" t="str">
        <v>自投</v>
      </c>
      <c r="AO125" s="131">
        <v>36526</v>
      </c>
      <c r="AP125" s="74" t="str">
        <v>站内</v>
      </c>
      <c r="AQ125" s="74" t="str">
        <v>DP029-WPH</v>
      </c>
      <c r="AR125" s="74"/>
      <c r="AS125" s="74" t="str">
        <v>唯品会花西子自营店-腾讯广告</v>
      </c>
      <c r="AT125" s="74" t="str">
        <v>花西子</v>
      </c>
    </row>
    <row r="126">
      <c r="A126" s="132" t="str">
        <v>031440236468ffcff3f0d6cfb2be0002</v>
      </c>
      <c r="B126" s="132"/>
      <c r="C126" s="132"/>
      <c r="D126" s="132" t="str">
        <v>ycss02;</v>
      </c>
      <c r="E126" s="132"/>
      <c r="F126" s="82"/>
      <c r="G126" s="132" t="str">
        <v>0.00</v>
      </c>
      <c r="H126" s="132"/>
      <c r="I126" s="132" t="str">
        <v>0.00</v>
      </c>
      <c r="J126" s="132"/>
      <c r="K126" s="132" t="str">
        <v>0.00</v>
      </c>
      <c r="L126" s="132"/>
      <c r="M126" s="132" t="str">
        <v>0.00</v>
      </c>
      <c r="N126" s="132"/>
      <c r="O126" s="132" t="str">
        <v>0.00</v>
      </c>
      <c r="P126" s="132"/>
      <c r="Q126" s="132" t="str">
        <v>0.00</v>
      </c>
      <c r="R126" s="132"/>
      <c r="S126" s="132" t="str">
        <v>未完结</v>
      </c>
      <c r="T126" s="132"/>
      <c r="U126" s="74"/>
      <c r="V126" s="74" t="str">
        <v>广州海珠品唯信息服务有限公司</v>
      </c>
      <c r="W126" s="74" t="str">
        <v>唯品会</v>
      </c>
      <c r="X126" s="74" t="str">
        <v>DP029-031</v>
      </c>
      <c r="Y126" s="74" t="str">
        <v>唯品会-唯品常规投放</v>
      </c>
      <c r="Z126" s="74"/>
      <c r="AA126" s="74"/>
      <c r="AB126" s="74"/>
      <c r="AC126" s="74" t="str">
        <v>否</v>
      </c>
      <c r="AD126" s="74"/>
      <c r="AE126" s="74"/>
      <c r="AF126" s="74"/>
      <c r="AG126" s="74"/>
      <c r="AH126" s="74" t="str">
        <v>立立夏（武雨环）</v>
      </c>
      <c r="AI126" s="74"/>
      <c r="AJ126" s="74" t="str">
        <v>杭州匠泽电子商务有限公司</v>
      </c>
      <c r="AK126" s="74"/>
      <c r="AL126" s="74"/>
      <c r="AM126" s="74"/>
      <c r="AN126" s="74" t="str">
        <v>自投</v>
      </c>
      <c r="AO126" s="131">
        <v>36526</v>
      </c>
      <c r="AP126" s="74" t="str">
        <v>站内</v>
      </c>
      <c r="AQ126" s="74" t="str">
        <v>DP029-WPH</v>
      </c>
      <c r="AR126" s="74"/>
      <c r="AS126" s="74" t="str">
        <v>唯品会花西子自营店-Target-Max</v>
      </c>
      <c r="AT126" s="74" t="str">
        <v>花西子</v>
      </c>
    </row>
    <row r="127">
      <c r="A127" s="132" t="str">
        <v>031440236568ffcff3f0d6cfb2be0002</v>
      </c>
      <c r="B127" s="132"/>
      <c r="C127" s="132"/>
      <c r="D127" s="132" t="str">
        <v>ycss02;</v>
      </c>
      <c r="E127" s="132"/>
      <c r="F127" s="82"/>
      <c r="G127" s="132" t="str">
        <v>0.00</v>
      </c>
      <c r="H127" s="132"/>
      <c r="I127" s="132" t="str">
        <v>0.00</v>
      </c>
      <c r="J127" s="132"/>
      <c r="K127" s="132" t="str">
        <v>0.00</v>
      </c>
      <c r="L127" s="132"/>
      <c r="M127" s="132" t="str">
        <v>0.00</v>
      </c>
      <c r="N127" s="132"/>
      <c r="O127" s="132" t="str">
        <v>0.00</v>
      </c>
      <c r="P127" s="132"/>
      <c r="Q127" s="132" t="str">
        <v>0.00</v>
      </c>
      <c r="R127" s="132"/>
      <c r="S127" s="132" t="str">
        <v>未完结</v>
      </c>
      <c r="T127" s="132"/>
      <c r="U127" s="74"/>
      <c r="V127" s="74" t="str">
        <v>广州海珠品唯信息服务有限公司</v>
      </c>
      <c r="W127" s="74" t="str">
        <v>唯品会</v>
      </c>
      <c r="X127" s="74" t="str">
        <v>DP029-028</v>
      </c>
      <c r="Y127" s="74" t="str">
        <v>唯品会-唯品常规投放</v>
      </c>
      <c r="Z127" s="74"/>
      <c r="AA127" s="74"/>
      <c r="AB127" s="74"/>
      <c r="AC127" s="74" t="str">
        <v>否</v>
      </c>
      <c r="AD127" s="74"/>
      <c r="AE127" s="74"/>
      <c r="AF127" s="74"/>
      <c r="AG127" s="74"/>
      <c r="AH127" s="74" t="str">
        <v>立立夏（武雨环）</v>
      </c>
      <c r="AI127" s="74"/>
      <c r="AJ127" s="74" t="str">
        <v>杭州匠泽电子商务有限公司</v>
      </c>
      <c r="AK127" s="74"/>
      <c r="AL127" s="74"/>
      <c r="AM127" s="74"/>
      <c r="AN127" s="74" t="str">
        <v>自投</v>
      </c>
      <c r="AO127" s="131">
        <v>36526</v>
      </c>
      <c r="AP127" s="74" t="str">
        <v>站内</v>
      </c>
      <c r="AQ127" s="74" t="str">
        <v>DP029-WPH</v>
      </c>
      <c r="AR127" s="74"/>
      <c r="AS127" s="74" t="str">
        <v>唯品会花西子自营店-巨量引擎</v>
      </c>
      <c r="AT127" s="74" t="str">
        <v>花西子</v>
      </c>
    </row>
    <row r="128">
      <c r="A128" s="132" t="str">
        <v>031440236658ffcff3f0d6cfb2be0002</v>
      </c>
      <c r="B128" s="132"/>
      <c r="C128" s="132"/>
      <c r="D128" s="132" t="str">
        <v>ycss02;</v>
      </c>
      <c r="E128" s="132"/>
      <c r="F128" s="82"/>
      <c r="G128" s="132" t="str">
        <v>0.00</v>
      </c>
      <c r="H128" s="132"/>
      <c r="I128" s="132" t="str">
        <v>0.00</v>
      </c>
      <c r="J128" s="132"/>
      <c r="K128" s="132" t="str">
        <v>0.00</v>
      </c>
      <c r="L128" s="132"/>
      <c r="M128" s="132" t="str">
        <v>0.00</v>
      </c>
      <c r="N128" s="132"/>
      <c r="O128" s="132" t="str">
        <v>0.00</v>
      </c>
      <c r="P128" s="132"/>
      <c r="Q128" s="132" t="str">
        <v>0.00</v>
      </c>
      <c r="R128" s="132"/>
      <c r="S128" s="132" t="str">
        <v>未完结</v>
      </c>
      <c r="T128" s="132"/>
      <c r="U128" s="74"/>
      <c r="V128" s="74" t="str">
        <v>广州海珠品唯信息服务有限公司</v>
      </c>
      <c r="W128" s="74" t="str">
        <v>唯品会</v>
      </c>
      <c r="X128" s="74" t="str">
        <v>DP029-033</v>
      </c>
      <c r="Y128" s="74" t="str">
        <v>唯品会-达人卖货</v>
      </c>
      <c r="Z128" s="74"/>
      <c r="AA128" s="74"/>
      <c r="AB128" s="74"/>
      <c r="AC128" s="74" t="str">
        <v>否</v>
      </c>
      <c r="AD128" s="74"/>
      <c r="AE128" s="74"/>
      <c r="AF128" s="74"/>
      <c r="AG128" s="74"/>
      <c r="AH128" s="74" t="str">
        <v>立立夏（武雨环）</v>
      </c>
      <c r="AI128" s="74"/>
      <c r="AJ128" s="74" t="str">
        <v>杭州匠泽电子商务有限公司</v>
      </c>
      <c r="AK128" s="74"/>
      <c r="AL128" s="74"/>
      <c r="AM128" s="74"/>
      <c r="AN128" s="74" t="str">
        <v>自投</v>
      </c>
      <c r="AO128" s="131">
        <v>36526</v>
      </c>
      <c r="AP128" s="74" t="str">
        <v>站内</v>
      </c>
      <c r="AQ128" s="74" t="str">
        <v>DP029-WPH</v>
      </c>
      <c r="AR128" s="74"/>
      <c r="AS128" s="74" t="str">
        <v>唯品会花西子自营店-达人卖货</v>
      </c>
      <c r="AT128" s="74" t="str">
        <v>花西子</v>
      </c>
    </row>
    <row r="129">
      <c r="A129" s="132" t="str">
        <v>031440236748ffcff3f0d6cfb2be0002</v>
      </c>
      <c r="B129" s="132"/>
      <c r="C129" s="132"/>
      <c r="D129" s="132" t="str">
        <v>ycss02;</v>
      </c>
      <c r="E129" s="132"/>
      <c r="F129" s="82"/>
      <c r="G129" s="132" t="str">
        <v>0.00</v>
      </c>
      <c r="H129" s="132"/>
      <c r="I129" s="132" t="str">
        <v>0.00</v>
      </c>
      <c r="J129" s="132"/>
      <c r="K129" s="132" t="str">
        <v>0.00</v>
      </c>
      <c r="L129" s="132"/>
      <c r="M129" s="132" t="str">
        <v>0.00</v>
      </c>
      <c r="N129" s="132"/>
      <c r="O129" s="132" t="str">
        <v>0.00</v>
      </c>
      <c r="P129" s="132"/>
      <c r="Q129" s="132" t="str">
        <v>0.00</v>
      </c>
      <c r="R129" s="132"/>
      <c r="S129" s="132" t="str">
        <v>未完结</v>
      </c>
      <c r="T129" s="132"/>
      <c r="U129" s="74"/>
      <c r="V129" s="74" t="str">
        <v>考拉海购（杭州）科技有限公司</v>
      </c>
      <c r="W129" s="74" t="str">
        <v>考拉</v>
      </c>
      <c r="X129" s="74">
        <v>18069829269</v>
      </c>
      <c r="Y129" s="74" t="str">
        <v>考拉-常规投放</v>
      </c>
      <c r="Z129" s="74"/>
      <c r="AA129" s="74" t="str">
        <v>否</v>
      </c>
      <c r="AB129" s="74" t="str">
        <v>否</v>
      </c>
      <c r="AC129" s="74" t="str">
        <v>否</v>
      </c>
      <c r="AD129" s="74" t="str">
        <v>是</v>
      </c>
      <c r="AE129" s="74"/>
      <c r="AF129" s="74"/>
      <c r="AG129" s="74"/>
      <c r="AH129" s="74" t="str">
        <v>羽阳（杨雨晨）</v>
      </c>
      <c r="AI129" s="74"/>
      <c r="AJ129" s="74" t="str">
        <v>杭州匠泽电子商务有限公司</v>
      </c>
      <c r="AK129" s="74"/>
      <c r="AL129" s="74"/>
      <c r="AM129" s="74"/>
      <c r="AN129" s="74" t="str">
        <v>自投</v>
      </c>
      <c r="AO129" s="131">
        <v>36526</v>
      </c>
      <c r="AP129" s="74" t="str">
        <v>站内</v>
      </c>
      <c r="AQ129" s="74">
        <v>18069829269</v>
      </c>
      <c r="AR129" s="74"/>
      <c r="AS129" s="74">
        <v>18069829269</v>
      </c>
      <c r="AT129" s="74" t="str">
        <v>花西子</v>
      </c>
    </row>
    <row r="130">
      <c r="A130" s="132" t="str">
        <v>031440236848ffcff3f0d6cfb2be0002</v>
      </c>
      <c r="B130" s="132"/>
      <c r="C130" s="132"/>
      <c r="D130" s="132" t="str">
        <v>ycss02;</v>
      </c>
      <c r="E130" s="132"/>
      <c r="F130" s="82"/>
      <c r="G130" s="132" t="str">
        <v>0.00</v>
      </c>
      <c r="H130" s="132"/>
      <c r="I130" s="132" t="str">
        <v>0.00</v>
      </c>
      <c r="J130" s="132"/>
      <c r="K130" s="132" t="str">
        <v>0.00</v>
      </c>
      <c r="L130" s="132"/>
      <c r="M130" s="132" t="str">
        <v>0.00</v>
      </c>
      <c r="N130" s="132"/>
      <c r="O130" s="132" t="str">
        <v>0.00</v>
      </c>
      <c r="P130" s="132"/>
      <c r="Q130" s="132" t="str">
        <v>0.00</v>
      </c>
      <c r="R130" s="132"/>
      <c r="S130" s="132" t="str">
        <v>未完结</v>
      </c>
      <c r="T130" s="132"/>
      <c r="U130" s="74"/>
      <c r="V130" s="74" t="str">
        <v>广东省广告集团股份有限公司</v>
      </c>
      <c r="W130" s="74" t="str">
        <v>抖音</v>
      </c>
      <c r="X130" s="74" t="s">
        <v>86</v>
      </c>
      <c r="Y130" s="74" t="str">
        <v>AD信息流</v>
      </c>
      <c r="Z130" s="74"/>
      <c r="AA130" s="74" t="str">
        <v>是</v>
      </c>
      <c r="AB130" s="74" t="str">
        <v>是</v>
      </c>
      <c r="AC130" s="74" t="str">
        <v>否</v>
      </c>
      <c r="AD130" s="74" t="str">
        <v>是</v>
      </c>
      <c r="AE130" s="74"/>
      <c r="AF130" s="74"/>
      <c r="AG130" s="74"/>
      <c r="AH130" s="74" t="str">
        <v>大阳（徐庄南）</v>
      </c>
      <c r="AI130" s="74"/>
      <c r="AJ130" s="74" t="str">
        <v>杭州宜格化妆品有限公司</v>
      </c>
      <c r="AK130" s="74"/>
      <c r="AL130" s="74"/>
      <c r="AM130" s="74"/>
      <c r="AN130" s="74" t="str">
        <v>自投</v>
      </c>
      <c r="AO130" s="131">
        <v>36526</v>
      </c>
      <c r="AP130" s="74" t="str">
        <v>站外</v>
      </c>
      <c r="AQ130" s="74" t="s">
        <v>86</v>
      </c>
      <c r="AR130" s="74"/>
      <c r="AS130" s="74" t="s">
        <v>86</v>
      </c>
      <c r="AT130" s="74" t="str">
        <v>花西子</v>
      </c>
    </row>
    <row r="131">
      <c r="A131" s="132" t="str">
        <v>0314402371f8ffcff3f0d6cfb2be0002</v>
      </c>
      <c r="B131" s="132"/>
      <c r="C131" s="132"/>
      <c r="D131" s="132" t="str">
        <v>ycss02;</v>
      </c>
      <c r="E131" s="132"/>
      <c r="F131" s="82"/>
      <c r="G131" s="132" t="str">
        <v>0.00</v>
      </c>
      <c r="H131" s="132"/>
      <c r="I131" s="132" t="str">
        <v>0.00</v>
      </c>
      <c r="J131" s="132"/>
      <c r="K131" s="132" t="str">
        <v>0.00</v>
      </c>
      <c r="L131" s="132"/>
      <c r="M131" s="132" t="str">
        <v>0.00</v>
      </c>
      <c r="N131" s="132"/>
      <c r="O131" s="132" t="str">
        <v>0.00</v>
      </c>
      <c r="P131" s="132"/>
      <c r="Q131" s="132" t="str">
        <v>0.00</v>
      </c>
      <c r="R131" s="132"/>
      <c r="S131" s="132" t="str">
        <v>未完结</v>
      </c>
      <c r="T131" s="132"/>
      <c r="U131" s="74"/>
      <c r="V131" s="74" t="str">
        <v>杭州羽联信息科技有限公司</v>
      </c>
      <c r="W131" s="74" t="str">
        <v>B站</v>
      </c>
      <c r="X131" s="74" t="s">
        <v>96</v>
      </c>
      <c r="Y131" s="74" t="str">
        <v>B站起飞加热</v>
      </c>
      <c r="Z131" s="74"/>
      <c r="AA131" s="74" t="str">
        <v>是</v>
      </c>
      <c r="AB131" s="74" t="str">
        <v>是</v>
      </c>
      <c r="AC131" s="74" t="str">
        <v>否</v>
      </c>
      <c r="AD131" s="74" t="str">
        <v>否</v>
      </c>
      <c r="AE131" s="74"/>
      <c r="AF131" s="74"/>
      <c r="AG131" s="74"/>
      <c r="AH131" s="74" t="str">
        <v>一样（谢炀）</v>
      </c>
      <c r="AI131" s="74"/>
      <c r="AJ131" s="74" t="str">
        <v>杭州宜格化妆品有限公司</v>
      </c>
      <c r="AK131" s="74"/>
      <c r="AL131" s="74"/>
      <c r="AM131" s="74"/>
      <c r="AN131" s="74" t="str">
        <v>自投</v>
      </c>
      <c r="AO131" s="131">
        <v>36526</v>
      </c>
      <c r="AP131" s="74" t="str">
        <v>站外</v>
      </c>
      <c r="AQ131" s="74" t="s">
        <v>96</v>
      </c>
      <c r="AR131" s="74"/>
      <c r="AS131" s="74" t="s">
        <v>96</v>
      </c>
      <c r="AT131" s="74" t="str">
        <v>花西子</v>
      </c>
    </row>
    <row r="132">
      <c r="A132" s="132" t="str">
        <v>0314402372e8ffcff3f0d6cfb2be0002</v>
      </c>
      <c r="B132" s="132"/>
      <c r="C132" s="132"/>
      <c r="D132" s="132" t="str">
        <v>ycss02;</v>
      </c>
      <c r="E132" s="132"/>
      <c r="F132" s="82"/>
      <c r="G132" s="132" t="str">
        <v>0.00</v>
      </c>
      <c r="H132" s="132"/>
      <c r="I132" s="132" t="str">
        <v>0.00</v>
      </c>
      <c r="J132" s="132"/>
      <c r="K132" s="132" t="str">
        <v>0.00</v>
      </c>
      <c r="L132" s="132"/>
      <c r="M132" s="132" t="str">
        <v>0.00</v>
      </c>
      <c r="N132" s="132"/>
      <c r="O132" s="132" t="str">
        <v>0.00</v>
      </c>
      <c r="P132" s="132"/>
      <c r="Q132" s="132" t="str">
        <v>0.00</v>
      </c>
      <c r="R132" s="132"/>
      <c r="S132" s="132" t="str">
        <v>未完结</v>
      </c>
      <c r="T132" s="132"/>
      <c r="U132" s="74"/>
      <c r="V132" s="74" t="str">
        <v>上海无堂网络科技有限公司</v>
      </c>
      <c r="W132" s="74" t="str">
        <v>B站</v>
      </c>
      <c r="X132" s="74" t="s">
        <v>95</v>
      </c>
      <c r="Y132" s="74" t="str">
        <v>B站起飞加热</v>
      </c>
      <c r="Z132" s="74"/>
      <c r="AA132" s="74" t="str">
        <v>是</v>
      </c>
      <c r="AB132" s="74" t="str">
        <v>是</v>
      </c>
      <c r="AC132" s="74" t="str">
        <v>否</v>
      </c>
      <c r="AD132" s="74" t="str">
        <v>否</v>
      </c>
      <c r="AE132" s="74"/>
      <c r="AF132" s="74"/>
      <c r="AG132" s="74"/>
      <c r="AH132" s="74" t="str">
        <v>一样（谢炀）</v>
      </c>
      <c r="AI132" s="74"/>
      <c r="AJ132" s="74" t="str">
        <v>杭州宜格化妆品有限公司</v>
      </c>
      <c r="AK132" s="74"/>
      <c r="AL132" s="74"/>
      <c r="AM132" s="74"/>
      <c r="AN132" s="74" t="str">
        <v>自投</v>
      </c>
      <c r="AO132" s="131">
        <v>36526</v>
      </c>
      <c r="AP132" s="74" t="str">
        <v>站外</v>
      </c>
      <c r="AQ132" s="74" t="s">
        <v>95</v>
      </c>
      <c r="AR132" s="74"/>
      <c r="AS132" s="74" t="s">
        <v>95</v>
      </c>
      <c r="AT132" s="74" t="str">
        <v>花西子</v>
      </c>
    </row>
    <row r="133">
      <c r="A133" s="132" t="str">
        <v>0314402373e8ffcff3f0d6cfb2be0002</v>
      </c>
      <c r="B133" s="132"/>
      <c r="C133" s="132"/>
      <c r="D133" s="132" t="str">
        <v>ycss02;</v>
      </c>
      <c r="E133" s="132"/>
      <c r="F133" s="82"/>
      <c r="G133" s="132" t="str">
        <v>0.00</v>
      </c>
      <c r="H133" s="132"/>
      <c r="I133" s="132" t="str">
        <v>0.00</v>
      </c>
      <c r="J133" s="132"/>
      <c r="K133" s="132" t="str">
        <v>0.00</v>
      </c>
      <c r="L133" s="132"/>
      <c r="M133" s="132" t="str">
        <v>0.00</v>
      </c>
      <c r="N133" s="132"/>
      <c r="O133" s="132" t="str">
        <v>0.00</v>
      </c>
      <c r="P133" s="132"/>
      <c r="Q133" s="132" t="str">
        <v>0.00</v>
      </c>
      <c r="R133" s="132"/>
      <c r="S133" s="132" t="str">
        <v>未完结</v>
      </c>
      <c r="T133" s="132"/>
      <c r="U133" s="74"/>
      <c r="V133" s="74" t="str">
        <v>上海无堂网络科技有限公司</v>
      </c>
      <c r="W133" s="74" t="str">
        <v>B站</v>
      </c>
      <c r="X133" s="74" t="s">
        <v>97</v>
      </c>
      <c r="Y133" s="74" t="str">
        <v>B站起飞加热</v>
      </c>
      <c r="Z133" s="74"/>
      <c r="AA133" s="74" t="str">
        <v>是</v>
      </c>
      <c r="AB133" s="74" t="str">
        <v>是</v>
      </c>
      <c r="AC133" s="74" t="str">
        <v>否</v>
      </c>
      <c r="AD133" s="74" t="str">
        <v>否</v>
      </c>
      <c r="AE133" s="74"/>
      <c r="AF133" s="74"/>
      <c r="AG133" s="74"/>
      <c r="AH133" s="74" t="str">
        <v>一样（谢炀）</v>
      </c>
      <c r="AI133" s="74"/>
      <c r="AJ133" s="74" t="str">
        <v>杭州宜格化妆品有限公司</v>
      </c>
      <c r="AK133" s="74"/>
      <c r="AL133" s="74"/>
      <c r="AM133" s="74"/>
      <c r="AN133" s="74" t="str">
        <v>自投</v>
      </c>
      <c r="AO133" s="131">
        <v>36526</v>
      </c>
      <c r="AP133" s="74" t="str">
        <v>站外</v>
      </c>
      <c r="AQ133" s="74" t="s">
        <v>97</v>
      </c>
      <c r="AR133" s="74"/>
      <c r="AS133" s="74" t="s">
        <v>97</v>
      </c>
      <c r="AT133" s="74" t="str">
        <v>花西子</v>
      </c>
    </row>
    <row r="134">
      <c r="A134" s="132" t="str">
        <v>0314402374d8ffcff3f0d6cfb2be0002</v>
      </c>
      <c r="B134" s="132"/>
      <c r="C134" s="132"/>
      <c r="D134" s="132" t="str">
        <v>ycss02;</v>
      </c>
      <c r="E134" s="132"/>
      <c r="F134" s="82"/>
      <c r="G134" s="132" t="str">
        <v>0.00</v>
      </c>
      <c r="H134" s="132"/>
      <c r="I134" s="132" t="str">
        <v>0.00</v>
      </c>
      <c r="J134" s="132"/>
      <c r="K134" s="132" t="str">
        <v>0.00</v>
      </c>
      <c r="L134" s="132"/>
      <c r="M134" s="132" t="str">
        <v>0.00</v>
      </c>
      <c r="N134" s="132"/>
      <c r="O134" s="132" t="str">
        <v>0.00</v>
      </c>
      <c r="P134" s="132"/>
      <c r="Q134" s="132" t="str">
        <v>0.00</v>
      </c>
      <c r="R134" s="132"/>
      <c r="S134" s="132" t="str">
        <v>未完结</v>
      </c>
      <c r="T134" s="132"/>
      <c r="U134" s="74"/>
      <c r="V134" s="74" t="str">
        <v>上海无堂网络科技有限公司</v>
      </c>
      <c r="W134" s="74" t="str">
        <v>B站</v>
      </c>
      <c r="X134" s="74" t="s">
        <v>92</v>
      </c>
      <c r="Y134" s="74" t="str">
        <v>B站起飞加热</v>
      </c>
      <c r="Z134" s="74"/>
      <c r="AA134" s="74" t="str">
        <v>是</v>
      </c>
      <c r="AB134" s="74" t="str">
        <v>是</v>
      </c>
      <c r="AC134" s="74" t="str">
        <v>否</v>
      </c>
      <c r="AD134" s="74" t="str">
        <v>否</v>
      </c>
      <c r="AE134" s="74"/>
      <c r="AF134" s="74"/>
      <c r="AG134" s="74"/>
      <c r="AH134" s="74" t="str">
        <v>一样（谢炀）</v>
      </c>
      <c r="AI134" s="74"/>
      <c r="AJ134" s="74" t="str">
        <v>杭州宜格化妆品有限公司</v>
      </c>
      <c r="AK134" s="74"/>
      <c r="AL134" s="74"/>
      <c r="AM134" s="74"/>
      <c r="AN134" s="74" t="str">
        <v>自投</v>
      </c>
      <c r="AO134" s="131">
        <v>36526</v>
      </c>
      <c r="AP134" s="74" t="str">
        <v>站外</v>
      </c>
      <c r="AQ134" s="74" t="s">
        <v>92</v>
      </c>
      <c r="AR134" s="74"/>
      <c r="AS134" s="74" t="s">
        <v>92</v>
      </c>
      <c r="AT134" s="74" t="str">
        <v>花西子</v>
      </c>
    </row>
    <row r="135">
      <c r="A135" s="132" t="str">
        <v>0314402375e8ffcff3f0d6cfb2be0002</v>
      </c>
      <c r="B135" s="132"/>
      <c r="C135" s="132"/>
      <c r="D135" s="132" t="str">
        <v>ycss02;</v>
      </c>
      <c r="E135" s="132"/>
      <c r="F135" s="82"/>
      <c r="G135" s="132" t="str">
        <v>0.00</v>
      </c>
      <c r="H135" s="132"/>
      <c r="I135" s="132" t="str">
        <v>0.00</v>
      </c>
      <c r="J135" s="132"/>
      <c r="K135" s="132" t="str">
        <v>0.00</v>
      </c>
      <c r="L135" s="132"/>
      <c r="M135" s="132" t="str">
        <v>0.00</v>
      </c>
      <c r="N135" s="132"/>
      <c r="O135" s="132" t="str">
        <v>0.00</v>
      </c>
      <c r="P135" s="132"/>
      <c r="Q135" s="132" t="str">
        <v>0.00</v>
      </c>
      <c r="R135" s="132"/>
      <c r="S135" s="132" t="str">
        <v>未完结</v>
      </c>
      <c r="T135" s="132"/>
      <c r="U135" s="74"/>
      <c r="V135" s="74" t="str">
        <v>上海无堂网络科技有限公司</v>
      </c>
      <c r="W135" s="74" t="str">
        <v>B站</v>
      </c>
      <c r="X135" s="74" t="s">
        <v>87</v>
      </c>
      <c r="Y135" s="74" t="str">
        <v>B站起飞加热</v>
      </c>
      <c r="Z135" s="74"/>
      <c r="AA135" s="74" t="str">
        <v>是</v>
      </c>
      <c r="AB135" s="74" t="str">
        <v>是</v>
      </c>
      <c r="AC135" s="74" t="str">
        <v>否</v>
      </c>
      <c r="AD135" s="74" t="str">
        <v>否</v>
      </c>
      <c r="AE135" s="74"/>
      <c r="AF135" s="74"/>
      <c r="AG135" s="74"/>
      <c r="AH135" s="74" t="str">
        <v>一样（谢炀）</v>
      </c>
      <c r="AI135" s="74"/>
      <c r="AJ135" s="74" t="str">
        <v>杭州宜格化妆品有限公司</v>
      </c>
      <c r="AK135" s="74"/>
      <c r="AL135" s="74"/>
      <c r="AM135" s="74"/>
      <c r="AN135" s="74" t="str">
        <v>自投</v>
      </c>
      <c r="AO135" s="131">
        <v>36526</v>
      </c>
      <c r="AP135" s="74" t="str">
        <v>站外</v>
      </c>
      <c r="AQ135" s="74" t="s">
        <v>87</v>
      </c>
      <c r="AR135" s="74"/>
      <c r="AS135" s="74" t="s">
        <v>87</v>
      </c>
      <c r="AT135" s="74" t="str">
        <v>花西子</v>
      </c>
    </row>
    <row r="136">
      <c r="A136" s="132" t="str">
        <v>0314402376d8ffcff3f0d6cfb2be0002</v>
      </c>
      <c r="B136" s="132"/>
      <c r="C136" s="132"/>
      <c r="D136" s="132" t="str">
        <v>ycss02;</v>
      </c>
      <c r="E136" s="132"/>
      <c r="F136" s="82"/>
      <c r="G136" s="132" t="str">
        <v>0.00</v>
      </c>
      <c r="H136" s="132"/>
      <c r="I136" s="132" t="str">
        <v>0.00</v>
      </c>
      <c r="J136" s="132"/>
      <c r="K136" s="132" t="str">
        <v>0.00</v>
      </c>
      <c r="L136" s="132"/>
      <c r="M136" s="132" t="str">
        <v>0.00</v>
      </c>
      <c r="N136" s="132"/>
      <c r="O136" s="132" t="str">
        <v>0.00</v>
      </c>
      <c r="P136" s="132"/>
      <c r="Q136" s="132" t="str">
        <v>0.00</v>
      </c>
      <c r="R136" s="132"/>
      <c r="S136" s="132" t="str">
        <v>未完结</v>
      </c>
      <c r="T136" s="132"/>
      <c r="U136" s="74"/>
      <c r="V136" s="74" t="str">
        <v>北京新线中视文化传播有限公司</v>
      </c>
      <c r="W136" s="74" t="str">
        <v>B站</v>
      </c>
      <c r="X136" s="74" t="s">
        <v>90</v>
      </c>
      <c r="Y136" s="74" t="str">
        <v>B站起飞加热</v>
      </c>
      <c r="Z136" s="74"/>
      <c r="AA136" s="74" t="str">
        <v>是</v>
      </c>
      <c r="AB136" s="74" t="str">
        <v>是</v>
      </c>
      <c r="AC136" s="74" t="str">
        <v>否</v>
      </c>
      <c r="AD136" s="74" t="str">
        <v>否</v>
      </c>
      <c r="AE136" s="74"/>
      <c r="AF136" s="74"/>
      <c r="AG136" s="74"/>
      <c r="AH136" s="74" t="str">
        <v>一样（谢炀）</v>
      </c>
      <c r="AI136" s="74"/>
      <c r="AJ136" s="74" t="str">
        <v>杭州宜格化妆品有限公司</v>
      </c>
      <c r="AK136" s="74"/>
      <c r="AL136" s="74"/>
      <c r="AM136" s="74"/>
      <c r="AN136" s="74" t="str">
        <v>自投</v>
      </c>
      <c r="AO136" s="131">
        <v>36526</v>
      </c>
      <c r="AP136" s="74" t="str">
        <v>站外</v>
      </c>
      <c r="AQ136" s="74" t="s">
        <v>90</v>
      </c>
      <c r="AR136" s="74"/>
      <c r="AS136" s="74" t="s">
        <v>90</v>
      </c>
      <c r="AT136" s="74" t="str">
        <v>花西子</v>
      </c>
    </row>
    <row r="137">
      <c r="A137" s="132" t="str">
        <v>0314402377d8ffcff3f0d6cfb2be0002</v>
      </c>
      <c r="B137" s="132"/>
      <c r="C137" s="132"/>
      <c r="D137" s="132" t="str">
        <v>ycss02;</v>
      </c>
      <c r="E137" s="132"/>
      <c r="F137" s="82"/>
      <c r="G137" s="132" t="str">
        <v>0.00</v>
      </c>
      <c r="H137" s="132"/>
      <c r="I137" s="132" t="str">
        <v>0.00</v>
      </c>
      <c r="J137" s="132"/>
      <c r="K137" s="132" t="str">
        <v>0.00</v>
      </c>
      <c r="L137" s="132"/>
      <c r="M137" s="132" t="str">
        <v>0.00</v>
      </c>
      <c r="N137" s="132"/>
      <c r="O137" s="132" t="str">
        <v>0.00</v>
      </c>
      <c r="P137" s="132"/>
      <c r="Q137" s="132" t="str">
        <v>0.00</v>
      </c>
      <c r="R137" s="132"/>
      <c r="S137" s="132" t="str">
        <v>未完结</v>
      </c>
      <c r="T137" s="132"/>
      <c r="U137" s="74"/>
      <c r="V137" s="74" t="str">
        <v>上海宇枫电子商务有限公司</v>
      </c>
      <c r="W137" s="74" t="str">
        <v>微博</v>
      </c>
      <c r="X137" s="74">
        <v>6336556296</v>
      </c>
      <c r="Y137" s="74" t="str">
        <v>微博推广</v>
      </c>
      <c r="Z137" s="74"/>
      <c r="AA137" s="74" t="str">
        <v>是</v>
      </c>
      <c r="AB137" s="74" t="str">
        <v>否</v>
      </c>
      <c r="AC137" s="74" t="str">
        <v>否</v>
      </c>
      <c r="AD137" s="74" t="str">
        <v>否</v>
      </c>
      <c r="AE137" s="74"/>
      <c r="AF137" s="74"/>
      <c r="AG137" s="74"/>
      <c r="AH137" s="74" t="str">
        <v>白纸（张浩霖）</v>
      </c>
      <c r="AI137" s="74"/>
      <c r="AJ137" s="74" t="str">
        <v>杭州宜格化妆品有限公司</v>
      </c>
      <c r="AK137" s="74"/>
      <c r="AL137" s="74"/>
      <c r="AM137" s="74"/>
      <c r="AN137" s="74" t="str">
        <v>自投</v>
      </c>
      <c r="AO137" s="131">
        <v>36526</v>
      </c>
      <c r="AP137" s="74" t="str">
        <v>站外</v>
      </c>
      <c r="AQ137" s="74">
        <v>6336556296</v>
      </c>
      <c r="AR137" s="74"/>
      <c r="AS137" s="74" t="str">
        <v>花西子Florasis</v>
      </c>
      <c r="AT137" s="74" t="str">
        <v>花西子</v>
      </c>
    </row>
    <row r="138">
      <c r="A138" s="132" t="str">
        <v>0314402378d8ffcff3f0d6cfb2be0002</v>
      </c>
      <c r="B138" s="132"/>
      <c r="C138" s="132"/>
      <c r="D138" s="132" t="str">
        <v>ycss02;</v>
      </c>
      <c r="E138" s="132"/>
      <c r="F138" s="82"/>
      <c r="G138" s="132" t="str">
        <v>0.00</v>
      </c>
      <c r="H138" s="132"/>
      <c r="I138" s="132" t="str">
        <v>0.00</v>
      </c>
      <c r="J138" s="132"/>
      <c r="K138" s="132" t="str">
        <v>0.00</v>
      </c>
      <c r="L138" s="132"/>
      <c r="M138" s="132" t="str">
        <v>0.00</v>
      </c>
      <c r="N138" s="132"/>
      <c r="O138" s="132" t="str">
        <v>0.00</v>
      </c>
      <c r="P138" s="132"/>
      <c r="Q138" s="132" t="str">
        <v>0.00</v>
      </c>
      <c r="R138" s="132"/>
      <c r="S138" s="132" t="str">
        <v>未完结</v>
      </c>
      <c r="T138" s="132"/>
      <c r="U138" s="74"/>
      <c r="V138" s="74" t="str">
        <v>广东省广告集团股份有限公司</v>
      </c>
      <c r="W138" s="74" t="str">
        <v>抖音-巨量纵横</v>
      </c>
      <c r="X138" s="74" t="s">
        <v>93</v>
      </c>
      <c r="Y138" s="74" t="str">
        <v>AD信息流</v>
      </c>
      <c r="Z138" s="74"/>
      <c r="AA138" s="74" t="str">
        <v>是</v>
      </c>
      <c r="AB138" s="74" t="str">
        <v>是</v>
      </c>
      <c r="AC138" s="74" t="str">
        <v>否</v>
      </c>
      <c r="AD138" s="74" t="str">
        <v>是</v>
      </c>
      <c r="AE138" s="74"/>
      <c r="AF138" s="74"/>
      <c r="AG138" s="74"/>
      <c r="AH138" s="74" t="str">
        <v>白纸（张浩霖）</v>
      </c>
      <c r="AI138" s="74"/>
      <c r="AJ138" s="74" t="str">
        <v>杭州宜格化妆品有限公司</v>
      </c>
      <c r="AK138" s="74"/>
      <c r="AL138" s="74"/>
      <c r="AM138" s="74"/>
      <c r="AN138" s="74" t="str">
        <v>自投</v>
      </c>
      <c r="AO138" s="131">
        <v>36526</v>
      </c>
      <c r="AP138" s="74" t="str">
        <v>站外</v>
      </c>
      <c r="AQ138" s="74" t="s">
        <v>93</v>
      </c>
      <c r="AR138" s="74"/>
      <c r="AS138" s="74" t="s">
        <v>93</v>
      </c>
      <c r="AT138" s="74" t="str">
        <v>花西子</v>
      </c>
    </row>
    <row r="139">
      <c r="A139" s="132" t="str">
        <v>03144022fe58ffcff3f0d6cfb2be0001</v>
      </c>
      <c r="B139" s="132"/>
      <c r="C139" s="132"/>
      <c r="D139" s="132" t="str">
        <v>ycss02;</v>
      </c>
      <c r="E139" s="132"/>
      <c r="F139" s="82"/>
      <c r="G139" s="132" t="str">
        <v>0.00</v>
      </c>
      <c r="H139" s="132"/>
      <c r="I139" s="132" t="str">
        <v>0.00</v>
      </c>
      <c r="J139" s="132"/>
      <c r="K139" s="132" t="str">
        <v>0.00</v>
      </c>
      <c r="L139" s="132"/>
      <c r="M139" s="132" t="str">
        <v>0.00</v>
      </c>
      <c r="N139" s="132"/>
      <c r="O139" s="132" t="str">
        <v>0.00</v>
      </c>
      <c r="P139" s="132"/>
      <c r="Q139" s="132" t="str">
        <v>0.00</v>
      </c>
      <c r="R139" s="132"/>
      <c r="S139" s="132" t="str">
        <v>未完结</v>
      </c>
      <c r="T139" s="132"/>
      <c r="U139" s="74"/>
      <c r="V139" s="74" t="str">
        <v>北京起量文化传媒有限公司</v>
      </c>
      <c r="W139" s="74" t="str">
        <v>快手</v>
      </c>
      <c r="X139" s="74">
        <v>17230613</v>
      </c>
      <c r="Y139" s="74" t="str">
        <v>磁力金牛</v>
      </c>
      <c r="Z139" s="74"/>
      <c r="AA139" s="74"/>
      <c r="AB139" s="74"/>
      <c r="AC139" s="74" t="str">
        <v>否</v>
      </c>
      <c r="AD139" s="74"/>
      <c r="AE139" s="74"/>
      <c r="AF139" s="74"/>
      <c r="AG139" s="74"/>
      <c r="AH139" s="74" t="str">
        <v>难却（楼俞成达）</v>
      </c>
      <c r="AI139" s="74"/>
      <c r="AJ139" s="74" t="str">
        <v>杭州宜格化妆品有限公司</v>
      </c>
      <c r="AK139" s="74"/>
      <c r="AL139" s="74"/>
      <c r="AM139" s="74"/>
      <c r="AN139" s="74" t="str">
        <v>自投</v>
      </c>
      <c r="AO139" s="131">
        <v>36526</v>
      </c>
      <c r="AP139" s="74" t="str">
        <v>站外</v>
      </c>
      <c r="AQ139" s="74">
        <v>17230613</v>
      </c>
      <c r="AR139" s="74"/>
      <c r="AS139" s="74" t="str">
        <v>花西子官方旗舰店</v>
      </c>
      <c r="AT139" s="74" t="str">
        <v>花西子</v>
      </c>
    </row>
    <row r="140">
      <c r="A140" s="132" t="str">
        <v>03144022ff58ffcff3f0d6cfb2be0001</v>
      </c>
      <c r="B140" s="132"/>
      <c r="C140" s="132"/>
      <c r="D140" s="132" t="str">
        <v>ycss02;</v>
      </c>
      <c r="E140" s="132"/>
      <c r="F140" s="82"/>
      <c r="G140" s="132" t="str">
        <v>0.00</v>
      </c>
      <c r="H140" s="132"/>
      <c r="I140" s="132" t="str">
        <v>0.00</v>
      </c>
      <c r="J140" s="132"/>
      <c r="K140" s="132" t="str">
        <v>0.00</v>
      </c>
      <c r="L140" s="132"/>
      <c r="M140" s="132" t="str">
        <v>0.00</v>
      </c>
      <c r="N140" s="132"/>
      <c r="O140" s="132" t="str">
        <v>0.00</v>
      </c>
      <c r="P140" s="132"/>
      <c r="Q140" s="132" t="str">
        <v>0.00</v>
      </c>
      <c r="R140" s="132"/>
      <c r="S140" s="132" t="str">
        <v>未完结</v>
      </c>
      <c r="T140" s="132"/>
      <c r="U140" s="74"/>
      <c r="V140" s="74" t="str">
        <v>群邑（上海）广告有限公司</v>
      </c>
      <c r="W140" s="74" t="str">
        <v>抖音</v>
      </c>
      <c r="X140" s="74" t="str">
        <v>1754167001896968</v>
      </c>
      <c r="Y140" s="74" t="str">
        <v>AD信息流</v>
      </c>
      <c r="Z140" s="74"/>
      <c r="AA140" s="74" t="str">
        <v>否</v>
      </c>
      <c r="AB140" s="74" t="str">
        <v>否</v>
      </c>
      <c r="AC140" s="74" t="str">
        <v>否</v>
      </c>
      <c r="AD140" s="74"/>
      <c r="AE140" s="74"/>
      <c r="AF140" s="74"/>
      <c r="AG140" s="74"/>
      <c r="AH140" s="74" t="str">
        <v>志文（罗志文）</v>
      </c>
      <c r="AI140" s="74"/>
      <c r="AJ140" s="74" t="str">
        <v>杭州宜格化妆品有限公司</v>
      </c>
      <c r="AK140" s="74"/>
      <c r="AL140" s="74"/>
      <c r="AM140" s="74"/>
      <c r="AN140" s="74" t="str">
        <v>自投</v>
      </c>
      <c r="AO140" s="131">
        <v>36526</v>
      </c>
      <c r="AP140" s="74" t="str">
        <v>站外</v>
      </c>
      <c r="AQ140" s="74" t="str">
        <v>1754167001896968</v>
      </c>
      <c r="AR140" s="74"/>
      <c r="AS140" s="74" t="str">
        <v>杭州宜格化妆品-群邑天猫引流竞价-CID14-有色粉饼</v>
      </c>
      <c r="AT140" s="74" t="str">
        <v>花西子</v>
      </c>
    </row>
    <row r="141">
      <c r="A141" s="132" t="str">
        <v>031440230068ffcff3f0d6cfb2be0001</v>
      </c>
      <c r="B141" s="132"/>
      <c r="C141" s="132"/>
      <c r="D141" s="132" t="str">
        <v>ycss02;</v>
      </c>
      <c r="E141" s="132"/>
      <c r="F141" s="82"/>
      <c r="G141" s="132" t="str">
        <v>0.00</v>
      </c>
      <c r="H141" s="132"/>
      <c r="I141" s="132" t="str">
        <v>0.00</v>
      </c>
      <c r="J141" s="132"/>
      <c r="K141" s="132" t="str">
        <v>0.00</v>
      </c>
      <c r="L141" s="132"/>
      <c r="M141" s="132" t="str">
        <v>0.00</v>
      </c>
      <c r="N141" s="132"/>
      <c r="O141" s="132" t="str">
        <v>0.00</v>
      </c>
      <c r="P141" s="132"/>
      <c r="Q141" s="132" t="str">
        <v>0.00</v>
      </c>
      <c r="R141" s="132"/>
      <c r="S141" s="132" t="str">
        <v>未完结</v>
      </c>
      <c r="T141" s="132"/>
      <c r="U141" s="74"/>
      <c r="V141" s="74" t="str">
        <v>群邑（上海）广告有限公司</v>
      </c>
      <c r="W141" s="74" t="str">
        <v>抖音</v>
      </c>
      <c r="X141" s="74" t="str">
        <v>1744649914765325</v>
      </c>
      <c r="Y141" s="74" t="str">
        <v>AD信息流</v>
      </c>
      <c r="Z141" s="74"/>
      <c r="AA141" s="74" t="str">
        <v>否</v>
      </c>
      <c r="AB141" s="74" t="str">
        <v>否</v>
      </c>
      <c r="AC141" s="74" t="str">
        <v>否</v>
      </c>
      <c r="AD141" s="74"/>
      <c r="AE141" s="74"/>
      <c r="AF141" s="74"/>
      <c r="AG141" s="74"/>
      <c r="AH141" s="74" t="str">
        <v>志文（罗志文）</v>
      </c>
      <c r="AI141" s="74"/>
      <c r="AJ141" s="74" t="str">
        <v>杭州宜格化妆品有限公司</v>
      </c>
      <c r="AK141" s="74"/>
      <c r="AL141" s="74"/>
      <c r="AM141" s="74"/>
      <c r="AN141" s="74" t="str">
        <v>自投</v>
      </c>
      <c r="AO141" s="131">
        <v>36526</v>
      </c>
      <c r="AP141" s="74" t="str">
        <v>站外</v>
      </c>
      <c r="AQ141" s="74" t="str">
        <v>1744649914765325</v>
      </c>
      <c r="AR141" s="74"/>
      <c r="AS141" s="74" t="str">
        <v>杭州宜格化妆品-群邑天猫引流竞价-CID07-玉养蜜粉</v>
      </c>
      <c r="AT141" s="74" t="str">
        <v>花西子</v>
      </c>
    </row>
    <row r="142">
      <c r="A142" s="132" t="str">
        <v>031440230168ffcff3f0d6cfb2be0001</v>
      </c>
      <c r="B142" s="132"/>
      <c r="C142" s="132"/>
      <c r="D142" s="132" t="str">
        <v>ycss02;</v>
      </c>
      <c r="E142" s="132"/>
      <c r="F142" s="82"/>
      <c r="G142" s="132" t="str">
        <v>0.00</v>
      </c>
      <c r="H142" s="132"/>
      <c r="I142" s="132" t="str">
        <v>0.00</v>
      </c>
      <c r="J142" s="132"/>
      <c r="K142" s="132" t="str">
        <v>0.00</v>
      </c>
      <c r="L142" s="132"/>
      <c r="M142" s="132" t="str">
        <v>0.00</v>
      </c>
      <c r="N142" s="132"/>
      <c r="O142" s="132" t="str">
        <v>0.00</v>
      </c>
      <c r="P142" s="132"/>
      <c r="Q142" s="132" t="str">
        <v>0.00</v>
      </c>
      <c r="R142" s="132"/>
      <c r="S142" s="132" t="str">
        <v>未完结</v>
      </c>
      <c r="T142" s="132"/>
      <c r="U142" s="74"/>
      <c r="V142" s="74" t="str">
        <v>群邑（上海）广告有限公司</v>
      </c>
      <c r="W142" s="74" t="str">
        <v>抖音</v>
      </c>
      <c r="X142" s="74" t="str">
        <v>1754167001310215</v>
      </c>
      <c r="Y142" s="74" t="str">
        <v>AD信息流</v>
      </c>
      <c r="Z142" s="74"/>
      <c r="AA142" s="74" t="str">
        <v>否</v>
      </c>
      <c r="AB142" s="74" t="str">
        <v>否</v>
      </c>
      <c r="AC142" s="74" t="str">
        <v>否</v>
      </c>
      <c r="AD142" s="74"/>
      <c r="AE142" s="74"/>
      <c r="AF142" s="74"/>
      <c r="AG142" s="74"/>
      <c r="AH142" s="74" t="str">
        <v>志文（罗志文）</v>
      </c>
      <c r="AI142" s="74"/>
      <c r="AJ142" s="74" t="str">
        <v>杭州宜格化妆品有限公司</v>
      </c>
      <c r="AK142" s="74"/>
      <c r="AL142" s="74"/>
      <c r="AM142" s="74"/>
      <c r="AN142" s="74" t="str">
        <v>自投</v>
      </c>
      <c r="AO142" s="131">
        <v>36526</v>
      </c>
      <c r="AP142" s="74" t="str">
        <v>站外</v>
      </c>
      <c r="AQ142" s="74" t="str">
        <v>1754167001310215</v>
      </c>
      <c r="AR142" s="74"/>
      <c r="AS142" s="74" t="str">
        <v>杭州宜格化妆品-群邑天猫引流竞价-CID13-蜜粉饼</v>
      </c>
      <c r="AT142" s="74" t="str">
        <v>花西子</v>
      </c>
    </row>
    <row r="143">
      <c r="A143" s="132" t="str">
        <v>031440230268ffcff3f0d6cfb2be0001</v>
      </c>
      <c r="B143" s="132"/>
      <c r="C143" s="132"/>
      <c r="D143" s="132" t="str">
        <v>ycss02;</v>
      </c>
      <c r="E143" s="132"/>
      <c r="F143" s="82"/>
      <c r="G143" s="132" t="str">
        <v>0.00</v>
      </c>
      <c r="H143" s="132"/>
      <c r="I143" s="132" t="str">
        <v>0.00</v>
      </c>
      <c r="J143" s="132"/>
      <c r="K143" s="132" t="str">
        <v>0.00</v>
      </c>
      <c r="L143" s="132"/>
      <c r="M143" s="132" t="str">
        <v>0.00</v>
      </c>
      <c r="N143" s="132"/>
      <c r="O143" s="132" t="str">
        <v>0.00</v>
      </c>
      <c r="P143" s="132"/>
      <c r="Q143" s="132" t="str">
        <v>0.00</v>
      </c>
      <c r="R143" s="132"/>
      <c r="S143" s="132" t="str">
        <v>未完结</v>
      </c>
      <c r="T143" s="132"/>
      <c r="U143" s="74"/>
      <c r="V143" s="74" t="str">
        <v>群邑（上海）广告有限公司</v>
      </c>
      <c r="W143" s="74" t="str">
        <v>抖音</v>
      </c>
      <c r="X143" s="74" t="str">
        <v>1761579156325383</v>
      </c>
      <c r="Y143" s="74" t="str">
        <v>AD信息流</v>
      </c>
      <c r="Z143" s="74"/>
      <c r="AA143" s="74" t="str">
        <v>否</v>
      </c>
      <c r="AB143" s="74" t="str">
        <v>否</v>
      </c>
      <c r="AC143" s="74" t="str">
        <v>否</v>
      </c>
      <c r="AD143" s="74"/>
      <c r="AE143" s="74"/>
      <c r="AF143" s="74"/>
      <c r="AG143" s="74"/>
      <c r="AH143" s="74" t="str">
        <v>志文（罗志文）</v>
      </c>
      <c r="AI143" s="74"/>
      <c r="AJ143" s="74" t="str">
        <v>杭州宜格化妆品有限公司</v>
      </c>
      <c r="AK143" s="74"/>
      <c r="AL143" s="74"/>
      <c r="AM143" s="74"/>
      <c r="AN143" s="74" t="str">
        <v>自投</v>
      </c>
      <c r="AO143" s="131">
        <v>36526</v>
      </c>
      <c r="AP143" s="74" t="str">
        <v>站外</v>
      </c>
      <c r="AQ143" s="74" t="str">
        <v>1761579156325383</v>
      </c>
      <c r="AR143" s="74"/>
      <c r="AS143" s="74" t="str">
        <v>群邑定妆-杭州宜格CID-14玉养喷雾</v>
      </c>
      <c r="AT143" s="74" t="str">
        <v>花西子</v>
      </c>
    </row>
    <row r="144">
      <c r="A144" s="132" t="str">
        <v>031440230368ffcff3f0d6cfb2be0001</v>
      </c>
      <c r="B144" s="132"/>
      <c r="C144" s="132"/>
      <c r="D144" s="132" t="str">
        <v>ycss02;</v>
      </c>
      <c r="E144" s="132"/>
      <c r="F144" s="82"/>
      <c r="G144" s="132" t="str">
        <v>0.00</v>
      </c>
      <c r="H144" s="132"/>
      <c r="I144" s="132" t="str">
        <v>0.00</v>
      </c>
      <c r="J144" s="132"/>
      <c r="K144" s="132" t="str">
        <v>0.00</v>
      </c>
      <c r="L144" s="132"/>
      <c r="M144" s="132" t="str">
        <v>0.00</v>
      </c>
      <c r="N144" s="132"/>
      <c r="O144" s="132" t="str">
        <v>0.00</v>
      </c>
      <c r="P144" s="132"/>
      <c r="Q144" s="132" t="str">
        <v>0.00</v>
      </c>
      <c r="R144" s="132"/>
      <c r="S144" s="132" t="str">
        <v>未完结</v>
      </c>
      <c r="T144" s="132"/>
      <c r="U144" s="74"/>
      <c r="V144" s="74" t="str">
        <v>群邑（上海）广告有限公司</v>
      </c>
      <c r="W144" s="74" t="str">
        <v>抖音</v>
      </c>
      <c r="X144" s="74" t="str">
        <v>1761579155761230</v>
      </c>
      <c r="Y144" s="74" t="str">
        <v>AD信息流</v>
      </c>
      <c r="Z144" s="74"/>
      <c r="AA144" s="74" t="str">
        <v>否</v>
      </c>
      <c r="AB144" s="74" t="str">
        <v>否</v>
      </c>
      <c r="AC144" s="74" t="str">
        <v>否</v>
      </c>
      <c r="AD144" s="74"/>
      <c r="AE144" s="74"/>
      <c r="AF144" s="74"/>
      <c r="AG144" s="74"/>
      <c r="AH144" s="74" t="str">
        <v>志文（罗志文）</v>
      </c>
      <c r="AI144" s="74"/>
      <c r="AJ144" s="74" t="str">
        <v>杭州宜格化妆品有限公司</v>
      </c>
      <c r="AK144" s="74"/>
      <c r="AL144" s="74"/>
      <c r="AM144" s="74"/>
      <c r="AN144" s="74" t="str">
        <v>自投</v>
      </c>
      <c r="AO144" s="131">
        <v>36526</v>
      </c>
      <c r="AP144" s="74" t="str">
        <v>站外</v>
      </c>
      <c r="AQ144" s="74" t="str">
        <v>1761579155761230</v>
      </c>
      <c r="AR144" s="74"/>
      <c r="AS144" s="74" t="str">
        <v>群邑定妆-杭州宜格CID-13私模蜜粉</v>
      </c>
      <c r="AT144" s="74" t="str">
        <v>花西子</v>
      </c>
    </row>
    <row r="145">
      <c r="A145" s="132" t="str">
        <v>031440230458ffcff3f0d6cfb2be0001</v>
      </c>
      <c r="B145" s="132"/>
      <c r="C145" s="132"/>
      <c r="D145" s="132" t="str">
        <v>ycss02;</v>
      </c>
      <c r="E145" s="132"/>
      <c r="F145" s="82"/>
      <c r="G145" s="132" t="str">
        <v>0.00</v>
      </c>
      <c r="H145" s="132"/>
      <c r="I145" s="132" t="str">
        <v>0.00</v>
      </c>
      <c r="J145" s="132"/>
      <c r="K145" s="132" t="str">
        <v>0.00</v>
      </c>
      <c r="L145" s="132"/>
      <c r="M145" s="132" t="str">
        <v>0.00</v>
      </c>
      <c r="N145" s="132"/>
      <c r="O145" s="132" t="str">
        <v>0.00</v>
      </c>
      <c r="P145" s="132"/>
      <c r="Q145" s="132" t="str">
        <v>0.00</v>
      </c>
      <c r="R145" s="132"/>
      <c r="S145" s="132" t="str">
        <v>未完结</v>
      </c>
      <c r="T145" s="132"/>
      <c r="U145" s="74"/>
      <c r="V145" s="74" t="str">
        <v>群邑（上海）广告有限公司</v>
      </c>
      <c r="W145" s="74" t="str">
        <v>抖音</v>
      </c>
      <c r="X145" s="74" t="str">
        <v>1761579155066888</v>
      </c>
      <c r="Y145" s="74" t="str">
        <v>AD信息流</v>
      </c>
      <c r="Z145" s="74"/>
      <c r="AA145" s="74" t="str">
        <v>否</v>
      </c>
      <c r="AB145" s="74" t="str">
        <v>否</v>
      </c>
      <c r="AC145" s="74" t="str">
        <v>否</v>
      </c>
      <c r="AD145" s="74"/>
      <c r="AE145" s="74"/>
      <c r="AF145" s="74"/>
      <c r="AG145" s="74"/>
      <c r="AH145" s="74" t="str">
        <v>志文（罗志文）</v>
      </c>
      <c r="AI145" s="74"/>
      <c r="AJ145" s="74" t="str">
        <v>杭州宜格化妆品有限公司</v>
      </c>
      <c r="AK145" s="74"/>
      <c r="AL145" s="74"/>
      <c r="AM145" s="74"/>
      <c r="AN145" s="74" t="str">
        <v>自投</v>
      </c>
      <c r="AO145" s="131">
        <v>36526</v>
      </c>
      <c r="AP145" s="74" t="str">
        <v>站外</v>
      </c>
      <c r="AQ145" s="74" t="str">
        <v>1761579155066888</v>
      </c>
      <c r="AR145" s="74"/>
      <c r="AS145" s="74" t="str">
        <v>群邑定妆-杭州宜格CID-12玉养蜜粉</v>
      </c>
      <c r="AT145" s="74" t="str">
        <v>花西子</v>
      </c>
    </row>
    <row r="146">
      <c r="A146" s="132" t="str">
        <v>031440230558ffcff3f0d6cfb2be0001</v>
      </c>
      <c r="B146" s="132"/>
      <c r="C146" s="132"/>
      <c r="D146" s="132" t="str">
        <v>ycss02;</v>
      </c>
      <c r="E146" s="132"/>
      <c r="F146" s="82"/>
      <c r="G146" s="132" t="str">
        <v>0.00</v>
      </c>
      <c r="H146" s="132"/>
      <c r="I146" s="132" t="str">
        <v>0.00</v>
      </c>
      <c r="J146" s="132"/>
      <c r="K146" s="132" t="str">
        <v>0.00</v>
      </c>
      <c r="L146" s="132"/>
      <c r="M146" s="132" t="str">
        <v>0.00</v>
      </c>
      <c r="N146" s="132"/>
      <c r="O146" s="132" t="str">
        <v>0.00</v>
      </c>
      <c r="P146" s="132"/>
      <c r="Q146" s="132" t="str">
        <v>0.00</v>
      </c>
      <c r="R146" s="132"/>
      <c r="S146" s="132" t="str">
        <v>未完结</v>
      </c>
      <c r="T146" s="132"/>
      <c r="U146" s="74"/>
      <c r="V146" s="74" t="str">
        <v>群邑（上海）广告有限公司</v>
      </c>
      <c r="W146" s="74" t="str">
        <v>抖音</v>
      </c>
      <c r="X146" s="74" t="str">
        <v>1754167002455111</v>
      </c>
      <c r="Y146" s="74" t="str">
        <v>AD信息流</v>
      </c>
      <c r="Z146" s="74"/>
      <c r="AA146" s="74" t="str">
        <v>否</v>
      </c>
      <c r="AB146" s="74" t="str">
        <v>否</v>
      </c>
      <c r="AC146" s="74" t="str">
        <v>否</v>
      </c>
      <c r="AD146" s="74"/>
      <c r="AE146" s="74"/>
      <c r="AF146" s="74"/>
      <c r="AG146" s="74"/>
      <c r="AH146" s="74" t="str">
        <v>志文（罗志文）</v>
      </c>
      <c r="AI146" s="74"/>
      <c r="AJ146" s="74" t="str">
        <v>杭州宜格化妆品有限公司</v>
      </c>
      <c r="AK146" s="74"/>
      <c r="AL146" s="74"/>
      <c r="AM146" s="74"/>
      <c r="AN146" s="74" t="str">
        <v>自投</v>
      </c>
      <c r="AO146" s="131">
        <v>36526</v>
      </c>
      <c r="AP146" s="74" t="str">
        <v>站外</v>
      </c>
      <c r="AQ146" s="74" t="str">
        <v>1754167002455111</v>
      </c>
      <c r="AR146" s="74"/>
      <c r="AS146" s="74" t="str">
        <v>杭州宜格化妆品-群邑天猫引流竞价-CID15-定妆喷雾</v>
      </c>
      <c r="AT146" s="74" t="str">
        <v>花西子</v>
      </c>
    </row>
    <row r="147">
      <c r="A147" s="132" t="str">
        <v>031440230658ffcff3f0d6cfb2be0001</v>
      </c>
      <c r="B147" s="132"/>
      <c r="C147" s="132"/>
      <c r="D147" s="132" t="str">
        <v>ycss02;</v>
      </c>
      <c r="E147" s="132"/>
      <c r="F147" s="82"/>
      <c r="G147" s="132" t="str">
        <v>0.00</v>
      </c>
      <c r="H147" s="132"/>
      <c r="I147" s="132" t="str">
        <v>0.00</v>
      </c>
      <c r="J147" s="132"/>
      <c r="K147" s="132" t="str">
        <v>0.00</v>
      </c>
      <c r="L147" s="132"/>
      <c r="M147" s="132" t="str">
        <v>0.00</v>
      </c>
      <c r="N147" s="132"/>
      <c r="O147" s="132" t="str">
        <v>0.00</v>
      </c>
      <c r="P147" s="132"/>
      <c r="Q147" s="132" t="str">
        <v>0.00</v>
      </c>
      <c r="R147" s="132"/>
      <c r="S147" s="132" t="str">
        <v>未完结</v>
      </c>
      <c r="T147" s="132"/>
      <c r="U147" s="74"/>
      <c r="V147" s="74" t="str">
        <v>群邑（上海）广告有限公司</v>
      </c>
      <c r="W147" s="74" t="str">
        <v>抖音</v>
      </c>
      <c r="X147" s="74" t="str">
        <v>1754167000735758</v>
      </c>
      <c r="Y147" s="74" t="str">
        <v>AD信息流</v>
      </c>
      <c r="Z147" s="74"/>
      <c r="AA147" s="74" t="str">
        <v>否</v>
      </c>
      <c r="AB147" s="74" t="str">
        <v>否</v>
      </c>
      <c r="AC147" s="74" t="str">
        <v>否</v>
      </c>
      <c r="AD147" s="74"/>
      <c r="AE147" s="74"/>
      <c r="AF147" s="74"/>
      <c r="AG147" s="74"/>
      <c r="AH147" s="74" t="str">
        <v>志文（罗志文）</v>
      </c>
      <c r="AI147" s="74"/>
      <c r="AJ147" s="74" t="str">
        <v>杭州宜格化妆品有限公司</v>
      </c>
      <c r="AK147" s="74"/>
      <c r="AL147" s="74"/>
      <c r="AM147" s="74"/>
      <c r="AN147" s="74" t="str">
        <v>自投</v>
      </c>
      <c r="AO147" s="131">
        <v>36526</v>
      </c>
      <c r="AP147" s="74" t="str">
        <v>站外</v>
      </c>
      <c r="AQ147" s="74" t="str">
        <v>1754167000735758</v>
      </c>
      <c r="AR147" s="74"/>
      <c r="AS147" s="74" t="str">
        <v>杭州宜格化妆品-群邑天猫引流竞价-CID12-私模蜜粉</v>
      </c>
      <c r="AT147" s="74" t="str">
        <v>花西子</v>
      </c>
    </row>
    <row r="148">
      <c r="A148" s="132" t="str">
        <v>031440230748ffcff3f0d6cfb2be0001</v>
      </c>
      <c r="B148" s="132"/>
      <c r="C148" s="132"/>
      <c r="D148" s="132" t="str">
        <v>ycss02;</v>
      </c>
      <c r="E148" s="132"/>
      <c r="F148" s="82"/>
      <c r="G148" s="132" t="str">
        <v>0.00</v>
      </c>
      <c r="H148" s="132"/>
      <c r="I148" s="132" t="str">
        <v>0.00</v>
      </c>
      <c r="J148" s="132"/>
      <c r="K148" s="132" t="str">
        <v>0.00</v>
      </c>
      <c r="L148" s="132"/>
      <c r="M148" s="132" t="str">
        <v>0.00</v>
      </c>
      <c r="N148" s="132"/>
      <c r="O148" s="132" t="str">
        <v>0.00</v>
      </c>
      <c r="P148" s="132"/>
      <c r="Q148" s="132" t="str">
        <v>0.00</v>
      </c>
      <c r="R148" s="132"/>
      <c r="S148" s="132" t="str">
        <v>未完结</v>
      </c>
      <c r="T148" s="132"/>
      <c r="U148" s="74"/>
      <c r="V148" s="74" t="str">
        <v>群邑（上海）广告有限公司</v>
      </c>
      <c r="W148" s="74" t="str">
        <v>抖音</v>
      </c>
      <c r="X148" s="74" t="str">
        <v>1734408229378061</v>
      </c>
      <c r="Y148" s="74" t="str">
        <v>AD信息流</v>
      </c>
      <c r="Z148" s="74"/>
      <c r="AA148" s="74" t="str">
        <v>否</v>
      </c>
      <c r="AB148" s="74" t="str">
        <v>否</v>
      </c>
      <c r="AC148" s="74" t="str">
        <v>否</v>
      </c>
      <c r="AD148" s="74"/>
      <c r="AE148" s="74"/>
      <c r="AF148" s="74"/>
      <c r="AG148" s="74"/>
      <c r="AH148" s="74" t="str">
        <v>志文（罗志文）</v>
      </c>
      <c r="AI148" s="74"/>
      <c r="AJ148" s="74" t="str">
        <v>杭州宜格化妆品有限公司</v>
      </c>
      <c r="AK148" s="74"/>
      <c r="AL148" s="74"/>
      <c r="AM148" s="74"/>
      <c r="AN148" s="74" t="str">
        <v>自投</v>
      </c>
      <c r="AO148" s="131">
        <v>36526</v>
      </c>
      <c r="AP148" s="74" t="str">
        <v>站外</v>
      </c>
      <c r="AQ148" s="74" t="str">
        <v>1734408229378061</v>
      </c>
      <c r="AR148" s="74"/>
      <c r="AS148" s="74" t="str">
        <v>杭州宜格化妆品-天猫AD信息流-群邑12-代运营-玉养蜜粉</v>
      </c>
      <c r="AT148" s="74" t="str">
        <v>花西子</v>
      </c>
    </row>
    <row r="149">
      <c r="A149" s="132" t="str">
        <v>031440230848ffcff3f0d6cfb2be0001</v>
      </c>
      <c r="B149" s="132"/>
      <c r="C149" s="132"/>
      <c r="D149" s="132" t="str">
        <v>ycss02;</v>
      </c>
      <c r="E149" s="132"/>
      <c r="F149" s="82"/>
      <c r="G149" s="132" t="str">
        <v>0.00</v>
      </c>
      <c r="H149" s="132"/>
      <c r="I149" s="132" t="str">
        <v>0.00</v>
      </c>
      <c r="J149" s="132"/>
      <c r="K149" s="132" t="str">
        <v>0.00</v>
      </c>
      <c r="L149" s="132"/>
      <c r="M149" s="132" t="str">
        <v>0.00</v>
      </c>
      <c r="N149" s="132"/>
      <c r="O149" s="132" t="str">
        <v>0.00</v>
      </c>
      <c r="P149" s="132"/>
      <c r="Q149" s="132" t="str">
        <v>0.00</v>
      </c>
      <c r="R149" s="132"/>
      <c r="S149" s="132" t="str">
        <v>未完结</v>
      </c>
      <c r="T149" s="132"/>
      <c r="U149" s="74"/>
      <c r="V149" s="74" t="str">
        <v>群邑（上海）广告有限公司</v>
      </c>
      <c r="W149" s="74" t="str">
        <v>抖音</v>
      </c>
      <c r="X149" s="74" t="str">
        <v>1727635338328078</v>
      </c>
      <c r="Y149" s="74" t="str">
        <v>AD信息流</v>
      </c>
      <c r="Z149" s="74"/>
      <c r="AA149" s="74" t="str">
        <v>否</v>
      </c>
      <c r="AB149" s="74" t="str">
        <v>否</v>
      </c>
      <c r="AC149" s="74" t="str">
        <v>否</v>
      </c>
      <c r="AD149" s="74"/>
      <c r="AE149" s="74"/>
      <c r="AF149" s="74"/>
      <c r="AG149" s="74"/>
      <c r="AH149" s="74" t="str">
        <v>志文（罗志文）</v>
      </c>
      <c r="AI149" s="74"/>
      <c r="AJ149" s="74" t="str">
        <v>杭州宜格化妆品有限公司</v>
      </c>
      <c r="AK149" s="74"/>
      <c r="AL149" s="74"/>
      <c r="AM149" s="74"/>
      <c r="AN149" s="74" t="str">
        <v>自投</v>
      </c>
      <c r="AO149" s="131">
        <v>36526</v>
      </c>
      <c r="AP149" s="74" t="str">
        <v>站外</v>
      </c>
      <c r="AQ149" s="74" t="str">
        <v>1727635338328078</v>
      </c>
      <c r="AR149" s="74"/>
      <c r="AS149" s="74" t="str">
        <v>杭州宜格化妆品-天猫AD信息流-群邑-05（备款）</v>
      </c>
      <c r="AT149" s="74" t="str">
        <v>花西子</v>
      </c>
    </row>
    <row r="150">
      <c r="A150" s="132" t="str">
        <v>031440230938ffcff3f0d6cfb2be0001</v>
      </c>
      <c r="B150" s="132"/>
      <c r="C150" s="132"/>
      <c r="D150" s="132" t="str">
        <v>ycss02;</v>
      </c>
      <c r="E150" s="132"/>
      <c r="F150" s="82"/>
      <c r="G150" s="132" t="str">
        <v>0.00</v>
      </c>
      <c r="H150" s="132"/>
      <c r="I150" s="132" t="str">
        <v>0.00</v>
      </c>
      <c r="J150" s="132"/>
      <c r="K150" s="132" t="str">
        <v>0.00</v>
      </c>
      <c r="L150" s="132"/>
      <c r="M150" s="132" t="str">
        <v>0.00</v>
      </c>
      <c r="N150" s="132"/>
      <c r="O150" s="132" t="str">
        <v>0.00</v>
      </c>
      <c r="P150" s="132"/>
      <c r="Q150" s="132" t="str">
        <v>0.00</v>
      </c>
      <c r="R150" s="132"/>
      <c r="S150" s="132" t="str">
        <v>未完结</v>
      </c>
      <c r="T150" s="132"/>
      <c r="U150" s="74"/>
      <c r="V150" s="74" t="str">
        <v>群邑（上海）广告有限公司</v>
      </c>
      <c r="W150" s="74" t="str">
        <v>抖音</v>
      </c>
      <c r="X150" s="74" t="str">
        <v>1727535271575630</v>
      </c>
      <c r="Y150" s="74" t="str">
        <v>千川信息流</v>
      </c>
      <c r="Z150" s="74"/>
      <c r="AA150" s="74"/>
      <c r="AB150" s="74"/>
      <c r="AC150" s="74" t="str">
        <v>否</v>
      </c>
      <c r="AD150" s="74"/>
      <c r="AE150" s="74"/>
      <c r="AF150" s="74"/>
      <c r="AG150" s="74"/>
      <c r="AH150" s="74" t="str">
        <v>兴泉（韩兴泉）</v>
      </c>
      <c r="AI150" s="74"/>
      <c r="AJ150" s="74" t="str">
        <v>杭州宜格化妆品有限公司</v>
      </c>
      <c r="AK150" s="74"/>
      <c r="AL150" s="74"/>
      <c r="AM150" s="74"/>
      <c r="AN150" s="74" t="str">
        <v>自投</v>
      </c>
      <c r="AO150" s="131">
        <v>36526</v>
      </c>
      <c r="AP150" s="74" t="str">
        <v>站外</v>
      </c>
      <c r="AQ150" s="74" t="str">
        <v>1727535271575630</v>
      </c>
      <c r="AR150" s="74"/>
      <c r="AS150" s="74" t="str">
        <v>群邑-直播-官号1</v>
      </c>
      <c r="AT150" s="74" t="str">
        <v>花西子</v>
      </c>
    </row>
    <row r="151">
      <c r="A151" s="132" t="str">
        <v>031440230a38ffcff3f0d6cfb2be0001</v>
      </c>
      <c r="B151" s="132"/>
      <c r="C151" s="132"/>
      <c r="D151" s="132" t="str">
        <v>ycss02;</v>
      </c>
      <c r="E151" s="132"/>
      <c r="F151" s="82"/>
      <c r="G151" s="132" t="str">
        <v>0.00</v>
      </c>
      <c r="H151" s="132"/>
      <c r="I151" s="132" t="str">
        <v>0.00</v>
      </c>
      <c r="J151" s="132"/>
      <c r="K151" s="132" t="str">
        <v>0.00</v>
      </c>
      <c r="L151" s="132"/>
      <c r="M151" s="132" t="str">
        <v>0.00</v>
      </c>
      <c r="N151" s="132"/>
      <c r="O151" s="132" t="str">
        <v>0.00</v>
      </c>
      <c r="P151" s="132"/>
      <c r="Q151" s="132" t="str">
        <v>0.00</v>
      </c>
      <c r="R151" s="132"/>
      <c r="S151" s="132" t="str">
        <v>未完结</v>
      </c>
      <c r="T151" s="132"/>
      <c r="U151" s="74"/>
      <c r="V151" s="74" t="str">
        <v>群邑（上海）广告有限公司</v>
      </c>
      <c r="W151" s="74" t="str">
        <v>抖音</v>
      </c>
      <c r="X151" s="74">
        <v>17029747</v>
      </c>
      <c r="Y151" s="74" t="str">
        <v>磁力引擎</v>
      </c>
      <c r="Z151" s="74"/>
      <c r="AA151" s="74" t="str">
        <v>否</v>
      </c>
      <c r="AB151" s="74" t="str">
        <v>否</v>
      </c>
      <c r="AC151" s="74" t="str">
        <v>否</v>
      </c>
      <c r="AD151" s="74"/>
      <c r="AE151" s="74"/>
      <c r="AF151" s="74"/>
      <c r="AG151" s="74"/>
      <c r="AH151" s="74" t="str">
        <v>白纸（张浩霖）</v>
      </c>
      <c r="AI151" s="74"/>
      <c r="AJ151" s="74" t="str">
        <v>杭州宜格化妆品有限公司</v>
      </c>
      <c r="AK151" s="74"/>
      <c r="AL151" s="74"/>
      <c r="AM151" s="74"/>
      <c r="AN151" s="74" t="str">
        <v>自投</v>
      </c>
      <c r="AO151" s="131">
        <v>36526</v>
      </c>
      <c r="AP151" s="74" t="str">
        <v>站外</v>
      </c>
      <c r="AQ151" s="74">
        <v>17029747</v>
      </c>
      <c r="AR151" s="74"/>
      <c r="AS151" s="74" t="str">
        <v>花西子-QY2-小黛伞防晒</v>
      </c>
      <c r="AT151" s="74" t="str">
        <v>花西子</v>
      </c>
    </row>
    <row r="152">
      <c r="A152" s="132" t="str">
        <v>031440230b28ffcff3f0d6cfb2be0001</v>
      </c>
      <c r="B152" s="132"/>
      <c r="C152" s="132"/>
      <c r="D152" s="132" t="str">
        <v>ycss02;</v>
      </c>
      <c r="E152" s="132"/>
      <c r="F152" s="82"/>
      <c r="G152" s="132" t="str">
        <v>0.00</v>
      </c>
      <c r="H152" s="132"/>
      <c r="I152" s="132" t="str">
        <v>0.00</v>
      </c>
      <c r="J152" s="132"/>
      <c r="K152" s="132" t="str">
        <v>0.00</v>
      </c>
      <c r="L152" s="132"/>
      <c r="M152" s="132" t="str">
        <v>0.00</v>
      </c>
      <c r="N152" s="132"/>
      <c r="O152" s="132" t="str">
        <v>0.00</v>
      </c>
      <c r="P152" s="132"/>
      <c r="Q152" s="132" t="str">
        <v>0.00</v>
      </c>
      <c r="R152" s="132"/>
      <c r="S152" s="132" t="str">
        <v>未完结</v>
      </c>
      <c r="T152" s="132"/>
      <c r="U152" s="74"/>
      <c r="V152" s="74" t="str">
        <v>群邑（上海）广告有限公司</v>
      </c>
      <c r="W152" s="74" t="str">
        <v>抖音</v>
      </c>
      <c r="X152" s="74">
        <v>17029746</v>
      </c>
      <c r="Y152" s="74" t="str">
        <v>磁力引擎</v>
      </c>
      <c r="Z152" s="74"/>
      <c r="AA152" s="74" t="str">
        <v>否</v>
      </c>
      <c r="AB152" s="74" t="str">
        <v>否</v>
      </c>
      <c r="AC152" s="74" t="str">
        <v>否</v>
      </c>
      <c r="AD152" s="74"/>
      <c r="AE152" s="74"/>
      <c r="AF152" s="74"/>
      <c r="AG152" s="74"/>
      <c r="AH152" s="74" t="str">
        <v>白纸（张浩霖）</v>
      </c>
      <c r="AI152" s="74"/>
      <c r="AJ152" s="74" t="str">
        <v>杭州宜格化妆品有限公司</v>
      </c>
      <c r="AK152" s="74"/>
      <c r="AL152" s="74"/>
      <c r="AM152" s="74"/>
      <c r="AN152" s="74" t="str">
        <v>自投</v>
      </c>
      <c r="AO152" s="131">
        <v>36526</v>
      </c>
      <c r="AP152" s="74" t="str">
        <v>站外</v>
      </c>
      <c r="AQ152" s="74">
        <v>17029746</v>
      </c>
      <c r="AR152" s="74"/>
      <c r="AS152" s="74" t="str">
        <v>花西子-QY2-玉养蜜粉</v>
      </c>
      <c r="AT152" s="74" t="str">
        <v>花西子</v>
      </c>
    </row>
    <row r="153">
      <c r="A153" s="132" t="str">
        <v>031440230c28ffcff3f0d6cfb2be0001</v>
      </c>
      <c r="B153" s="132"/>
      <c r="C153" s="132"/>
      <c r="D153" s="132" t="str">
        <v>ycss02;</v>
      </c>
      <c r="E153" s="132"/>
      <c r="F153" s="82"/>
      <c r="G153" s="132" t="str">
        <v>0.00</v>
      </c>
      <c r="H153" s="132"/>
      <c r="I153" s="132" t="str">
        <v>0.00</v>
      </c>
      <c r="J153" s="132"/>
      <c r="K153" s="132" t="str">
        <v>0.00</v>
      </c>
      <c r="L153" s="132"/>
      <c r="M153" s="132" t="str">
        <v>0.00</v>
      </c>
      <c r="N153" s="132"/>
      <c r="O153" s="132" t="str">
        <v>0.00</v>
      </c>
      <c r="P153" s="132"/>
      <c r="Q153" s="132" t="str">
        <v>0.00</v>
      </c>
      <c r="R153" s="132"/>
      <c r="S153" s="132" t="str">
        <v>未完结</v>
      </c>
      <c r="T153" s="132"/>
      <c r="U153" s="74"/>
      <c r="V153" s="74" t="str">
        <v>群邑（上海）广告有限公司</v>
      </c>
      <c r="W153" s="74" t="str">
        <v>抖音</v>
      </c>
      <c r="X153" s="74">
        <v>17029745</v>
      </c>
      <c r="Y153" s="74" t="str">
        <v>磁力引擎</v>
      </c>
      <c r="Z153" s="74"/>
      <c r="AA153" s="74" t="str">
        <v>否</v>
      </c>
      <c r="AB153" s="74" t="str">
        <v>否</v>
      </c>
      <c r="AC153" s="74" t="str">
        <v>否</v>
      </c>
      <c r="AD153" s="74"/>
      <c r="AE153" s="74"/>
      <c r="AF153" s="74"/>
      <c r="AG153" s="74"/>
      <c r="AH153" s="74" t="str">
        <v>白纸（张浩霖）</v>
      </c>
      <c r="AI153" s="74"/>
      <c r="AJ153" s="74" t="str">
        <v>杭州宜格化妆品有限公司</v>
      </c>
      <c r="AK153" s="74"/>
      <c r="AL153" s="74"/>
      <c r="AM153" s="74"/>
      <c r="AN153" s="74" t="str">
        <v>自投</v>
      </c>
      <c r="AO153" s="131">
        <v>36526</v>
      </c>
      <c r="AP153" s="74" t="str">
        <v>站外</v>
      </c>
      <c r="AQ153" s="74">
        <v>17029745</v>
      </c>
      <c r="AR153" s="74"/>
      <c r="AS153" s="74" t="str">
        <v>花西子-QY2-丝柔唇纱</v>
      </c>
      <c r="AT153" s="74" t="str">
        <v>花西子</v>
      </c>
    </row>
    <row r="154">
      <c r="A154" s="132" t="str">
        <v>031440230d18ffcff3f0d6cfb2be0001</v>
      </c>
      <c r="B154" s="132"/>
      <c r="C154" s="132"/>
      <c r="D154" s="132" t="str">
        <v>ycss02;</v>
      </c>
      <c r="E154" s="132"/>
      <c r="F154" s="82"/>
      <c r="G154" s="132" t="str">
        <v>0.00</v>
      </c>
      <c r="H154" s="132"/>
      <c r="I154" s="132" t="str">
        <v>0.00</v>
      </c>
      <c r="J154" s="132"/>
      <c r="K154" s="132" t="str">
        <v>0.00</v>
      </c>
      <c r="L154" s="132"/>
      <c r="M154" s="132" t="str">
        <v>0.00</v>
      </c>
      <c r="N154" s="132"/>
      <c r="O154" s="132" t="str">
        <v>0.00</v>
      </c>
      <c r="P154" s="132"/>
      <c r="Q154" s="132" t="str">
        <v>0.00</v>
      </c>
      <c r="R154" s="132"/>
      <c r="S154" s="132" t="str">
        <v>未完结</v>
      </c>
      <c r="T154" s="132"/>
      <c r="U154" s="74"/>
      <c r="V154" s="74" t="str">
        <v>群邑（上海）广告有限公司</v>
      </c>
      <c r="W154" s="74" t="str">
        <v>抖音</v>
      </c>
      <c r="X154" s="74">
        <v>17029744</v>
      </c>
      <c r="Y154" s="74" t="str">
        <v>磁力引擎</v>
      </c>
      <c r="Z154" s="74"/>
      <c r="AA154" s="74" t="str">
        <v>否</v>
      </c>
      <c r="AB154" s="74" t="str">
        <v>否</v>
      </c>
      <c r="AC154" s="74" t="str">
        <v>否</v>
      </c>
      <c r="AD154" s="74"/>
      <c r="AE154" s="74"/>
      <c r="AF154" s="74"/>
      <c r="AG154" s="74"/>
      <c r="AH154" s="74" t="str">
        <v>白纸（张浩霖）</v>
      </c>
      <c r="AI154" s="74"/>
      <c r="AJ154" s="74" t="str">
        <v>杭州宜格化妆品有限公司</v>
      </c>
      <c r="AK154" s="74"/>
      <c r="AL154" s="74"/>
      <c r="AM154" s="74"/>
      <c r="AN154" s="74" t="str">
        <v>自投</v>
      </c>
      <c r="AO154" s="131">
        <v>36526</v>
      </c>
      <c r="AP154" s="74" t="str">
        <v>站外</v>
      </c>
      <c r="AQ154" s="74">
        <v>17029744</v>
      </c>
      <c r="AR154" s="74"/>
      <c r="AS154" s="74" t="str">
        <v>花西子-QY2-玉养气垫</v>
      </c>
      <c r="AT154" s="74" t="str">
        <v>花西子</v>
      </c>
    </row>
    <row r="155">
      <c r="A155" s="132" t="str">
        <v>031440230e18ffcff3f0d6cfb2be0001</v>
      </c>
      <c r="B155" s="132"/>
      <c r="C155" s="132"/>
      <c r="D155" s="132" t="str">
        <v>ycss02;</v>
      </c>
      <c r="E155" s="132"/>
      <c r="F155" s="82"/>
      <c r="G155" s="132" t="str">
        <v>0.00</v>
      </c>
      <c r="H155" s="132"/>
      <c r="I155" s="132" t="str">
        <v>0.00</v>
      </c>
      <c r="J155" s="132"/>
      <c r="K155" s="132" t="str">
        <v>0.00</v>
      </c>
      <c r="L155" s="132"/>
      <c r="M155" s="132" t="str">
        <v>0.00</v>
      </c>
      <c r="N155" s="132"/>
      <c r="O155" s="132" t="str">
        <v>0.00</v>
      </c>
      <c r="P155" s="132"/>
      <c r="Q155" s="132" t="str">
        <v>0.00</v>
      </c>
      <c r="R155" s="132"/>
      <c r="S155" s="132" t="str">
        <v>未完结</v>
      </c>
      <c r="T155" s="132"/>
      <c r="U155" s="74"/>
      <c r="V155" s="74" t="str">
        <v>群邑（上海）广告有限公司</v>
      </c>
      <c r="W155" s="74" t="str">
        <v>抖音</v>
      </c>
      <c r="X155" s="74">
        <v>17029743</v>
      </c>
      <c r="Y155" s="74" t="str">
        <v>磁力引擎</v>
      </c>
      <c r="Z155" s="74"/>
      <c r="AA155" s="74" t="str">
        <v>否</v>
      </c>
      <c r="AB155" s="74" t="str">
        <v>否</v>
      </c>
      <c r="AC155" s="74" t="str">
        <v>否</v>
      </c>
      <c r="AD155" s="74"/>
      <c r="AE155" s="74"/>
      <c r="AF155" s="74"/>
      <c r="AG155" s="74"/>
      <c r="AH155" s="74" t="str">
        <v>白纸（张浩霖）</v>
      </c>
      <c r="AI155" s="74"/>
      <c r="AJ155" s="74" t="str">
        <v>杭州宜格化妆品有限公司</v>
      </c>
      <c r="AK155" s="74"/>
      <c r="AL155" s="74"/>
      <c r="AM155" s="74"/>
      <c r="AN155" s="74" t="str">
        <v>自投</v>
      </c>
      <c r="AO155" s="131">
        <v>36526</v>
      </c>
      <c r="AP155" s="74" t="str">
        <v>站外</v>
      </c>
      <c r="AQ155" s="74">
        <v>17029743</v>
      </c>
      <c r="AR155" s="74"/>
      <c r="AS155" s="74" t="str">
        <v>花西子-QY2-私模蜜粉</v>
      </c>
      <c r="AT155" s="74" t="str">
        <v>花西子</v>
      </c>
    </row>
    <row r="156">
      <c r="A156" s="132" t="str">
        <v>031440230f18ffcff3f0d6cfb2be0001</v>
      </c>
      <c r="B156" s="132"/>
      <c r="C156" s="132"/>
      <c r="D156" s="132" t="str">
        <v>ycss02;</v>
      </c>
      <c r="E156" s="132"/>
      <c r="F156" s="82"/>
      <c r="G156" s="132" t="str">
        <v>0.00</v>
      </c>
      <c r="H156" s="132"/>
      <c r="I156" s="132" t="str">
        <v>0.00</v>
      </c>
      <c r="J156" s="132"/>
      <c r="K156" s="132" t="str">
        <v>0.00</v>
      </c>
      <c r="L156" s="132"/>
      <c r="M156" s="132" t="str">
        <v>0.00</v>
      </c>
      <c r="N156" s="132"/>
      <c r="O156" s="132" t="str">
        <v>0.00</v>
      </c>
      <c r="P156" s="132"/>
      <c r="Q156" s="132" t="str">
        <v>0.00</v>
      </c>
      <c r="R156" s="132"/>
      <c r="S156" s="132" t="str">
        <v>未完结</v>
      </c>
      <c r="T156" s="132"/>
      <c r="U156" s="74"/>
      <c r="V156" s="74" t="str">
        <v>群邑（上海）广告有限公司</v>
      </c>
      <c r="W156" s="74" t="str">
        <v>抖音</v>
      </c>
      <c r="X156" s="74">
        <v>17029742</v>
      </c>
      <c r="Y156" s="74" t="str">
        <v>磁力引擎</v>
      </c>
      <c r="Z156" s="74"/>
      <c r="AA156" s="74" t="str">
        <v>否</v>
      </c>
      <c r="AB156" s="74" t="str">
        <v>否</v>
      </c>
      <c r="AC156" s="74" t="str">
        <v>否</v>
      </c>
      <c r="AD156" s="74"/>
      <c r="AE156" s="74"/>
      <c r="AF156" s="74"/>
      <c r="AG156" s="74"/>
      <c r="AH156" s="74" t="str">
        <v>白纸（张浩霖）</v>
      </c>
      <c r="AI156" s="74"/>
      <c r="AJ156" s="74" t="str">
        <v>杭州宜格化妆品有限公司</v>
      </c>
      <c r="AK156" s="74"/>
      <c r="AL156" s="74"/>
      <c r="AM156" s="74"/>
      <c r="AN156" s="74" t="str">
        <v>自投</v>
      </c>
      <c r="AO156" s="131">
        <v>36526</v>
      </c>
      <c r="AP156" s="74" t="str">
        <v>站外</v>
      </c>
      <c r="AQ156" s="74">
        <v>17029742</v>
      </c>
      <c r="AR156" s="74"/>
      <c r="AS156" s="74" t="str">
        <v>花西子-QY2-素颜出行组合</v>
      </c>
      <c r="AT156" s="74" t="str">
        <v>花西子</v>
      </c>
    </row>
    <row r="157">
      <c r="A157" s="132" t="str">
        <v>031440231008ffcff3f0d6cfb2be0001</v>
      </c>
      <c r="B157" s="132"/>
      <c r="C157" s="132"/>
      <c r="D157" s="132" t="str">
        <v>ycss02;</v>
      </c>
      <c r="E157" s="132"/>
      <c r="F157" s="82"/>
      <c r="G157" s="132" t="str">
        <v>0.00</v>
      </c>
      <c r="H157" s="132"/>
      <c r="I157" s="132" t="str">
        <v>0.00</v>
      </c>
      <c r="J157" s="132"/>
      <c r="K157" s="132" t="str">
        <v>0.00</v>
      </c>
      <c r="L157" s="132"/>
      <c r="M157" s="132" t="str">
        <v>0.00</v>
      </c>
      <c r="N157" s="132"/>
      <c r="O157" s="132" t="str">
        <v>0.00</v>
      </c>
      <c r="P157" s="132"/>
      <c r="Q157" s="132" t="str">
        <v>0.00</v>
      </c>
      <c r="R157" s="132"/>
      <c r="S157" s="132" t="str">
        <v>未完结</v>
      </c>
      <c r="T157" s="132"/>
      <c r="U157" s="74"/>
      <c r="V157" s="74" t="str">
        <v>群邑（上海）广告有限公司</v>
      </c>
      <c r="W157" s="74" t="str">
        <v>抖音</v>
      </c>
      <c r="X157" s="74">
        <v>17029741</v>
      </c>
      <c r="Y157" s="74" t="str">
        <v>磁力引擎</v>
      </c>
      <c r="Z157" s="74"/>
      <c r="AA157" s="74" t="str">
        <v>否</v>
      </c>
      <c r="AB157" s="74" t="str">
        <v>否</v>
      </c>
      <c r="AC157" s="74" t="str">
        <v>否</v>
      </c>
      <c r="AD157" s="74"/>
      <c r="AE157" s="74"/>
      <c r="AF157" s="74"/>
      <c r="AG157" s="74"/>
      <c r="AH157" s="74" t="str">
        <v>白纸（张浩霖）</v>
      </c>
      <c r="AI157" s="74"/>
      <c r="AJ157" s="74" t="str">
        <v>杭州宜格化妆品有限公司</v>
      </c>
      <c r="AK157" s="74"/>
      <c r="AL157" s="74"/>
      <c r="AM157" s="74"/>
      <c r="AN157" s="74" t="str">
        <v>自投</v>
      </c>
      <c r="AO157" s="131">
        <v>36526</v>
      </c>
      <c r="AP157" s="74" t="str">
        <v>站外</v>
      </c>
      <c r="AQ157" s="74">
        <v>17029741</v>
      </c>
      <c r="AR157" s="74"/>
      <c r="AS157" s="74" t="str">
        <v>花西子-QY2-同心锁口红</v>
      </c>
      <c r="AT157" s="74" t="str">
        <v>花西子</v>
      </c>
    </row>
    <row r="158">
      <c r="A158" s="132" t="str">
        <v>0314402310f8ffcff3f0d6cfb2be0001</v>
      </c>
      <c r="B158" s="132"/>
      <c r="C158" s="132"/>
      <c r="D158" s="132" t="str">
        <v>ycss02;</v>
      </c>
      <c r="E158" s="132"/>
      <c r="F158" s="82"/>
      <c r="G158" s="132" t="str">
        <v>0.00</v>
      </c>
      <c r="H158" s="132"/>
      <c r="I158" s="132" t="str">
        <v>0.00</v>
      </c>
      <c r="J158" s="132"/>
      <c r="K158" s="132" t="str">
        <v>0.00</v>
      </c>
      <c r="L158" s="132"/>
      <c r="M158" s="132" t="str">
        <v>0.00</v>
      </c>
      <c r="N158" s="132"/>
      <c r="O158" s="132" t="str">
        <v>0.00</v>
      </c>
      <c r="P158" s="132"/>
      <c r="Q158" s="132" t="str">
        <v>0.00</v>
      </c>
      <c r="R158" s="132"/>
      <c r="S158" s="132" t="str">
        <v>未完结</v>
      </c>
      <c r="T158" s="132"/>
      <c r="U158" s="74"/>
      <c r="V158" s="74" t="str">
        <v>群邑（上海）广告有限公司</v>
      </c>
      <c r="W158" s="74" t="str">
        <v>抖音</v>
      </c>
      <c r="X158" s="74">
        <v>17029740</v>
      </c>
      <c r="Y158" s="74" t="str">
        <v>磁力引擎</v>
      </c>
      <c r="Z158" s="74"/>
      <c r="AA158" s="74" t="str">
        <v>否</v>
      </c>
      <c r="AB158" s="74" t="str">
        <v>否</v>
      </c>
      <c r="AC158" s="74" t="str">
        <v>否</v>
      </c>
      <c r="AD158" s="74"/>
      <c r="AE158" s="74"/>
      <c r="AF158" s="74"/>
      <c r="AG158" s="74"/>
      <c r="AH158" s="74" t="str">
        <v>白纸（张浩霖）</v>
      </c>
      <c r="AI158" s="74"/>
      <c r="AJ158" s="74" t="str">
        <v>杭州宜格化妆品有限公司</v>
      </c>
      <c r="AK158" s="74"/>
      <c r="AL158" s="74"/>
      <c r="AM158" s="74"/>
      <c r="AN158" s="74" t="str">
        <v>自投</v>
      </c>
      <c r="AO158" s="131">
        <v>36526</v>
      </c>
      <c r="AP158" s="74" t="str">
        <v>站外</v>
      </c>
      <c r="AQ158" s="74">
        <v>17029740</v>
      </c>
      <c r="AR158" s="74"/>
      <c r="AS158" s="74" t="str">
        <v>花西子彩妆</v>
      </c>
      <c r="AT158" s="74" t="str">
        <v>花西子</v>
      </c>
    </row>
    <row r="159">
      <c r="A159" s="132" t="str">
        <v>0314402311f8ffcff3f0d6cfb2be0001</v>
      </c>
      <c r="B159" s="132"/>
      <c r="C159" s="132"/>
      <c r="D159" s="132" t="str">
        <v>ycss02;</v>
      </c>
      <c r="E159" s="132"/>
      <c r="F159" s="82"/>
      <c r="G159" s="132" t="str">
        <v>0.00</v>
      </c>
      <c r="H159" s="132"/>
      <c r="I159" s="132" t="str">
        <v>0.00</v>
      </c>
      <c r="J159" s="132"/>
      <c r="K159" s="132" t="str">
        <v>0.00</v>
      </c>
      <c r="L159" s="132"/>
      <c r="M159" s="132" t="str">
        <v>0.00</v>
      </c>
      <c r="N159" s="132"/>
      <c r="O159" s="132" t="str">
        <v>0.00</v>
      </c>
      <c r="P159" s="132"/>
      <c r="Q159" s="132" t="str">
        <v>0.00</v>
      </c>
      <c r="R159" s="132"/>
      <c r="S159" s="132" t="str">
        <v>未完结</v>
      </c>
      <c r="T159" s="132"/>
      <c r="U159" s="74"/>
      <c r="V159" s="74" t="str">
        <v>群邑（上海）广告有限公司</v>
      </c>
      <c r="W159" s="74" t="str">
        <v>抖音</v>
      </c>
      <c r="X159" s="74">
        <v>17029739</v>
      </c>
      <c r="Y159" s="74" t="str">
        <v>磁力引擎</v>
      </c>
      <c r="Z159" s="74"/>
      <c r="AA159" s="74" t="str">
        <v>否</v>
      </c>
      <c r="AB159" s="74" t="str">
        <v>否</v>
      </c>
      <c r="AC159" s="74" t="str">
        <v>否</v>
      </c>
      <c r="AD159" s="74"/>
      <c r="AE159" s="74"/>
      <c r="AF159" s="74"/>
      <c r="AG159" s="74"/>
      <c r="AH159" s="74" t="str">
        <v>白纸（张浩霖）</v>
      </c>
      <c r="AI159" s="74"/>
      <c r="AJ159" s="74" t="str">
        <v>杭州宜格化妆品有限公司</v>
      </c>
      <c r="AK159" s="74"/>
      <c r="AL159" s="74"/>
      <c r="AM159" s="74"/>
      <c r="AN159" s="74" t="str">
        <v>自投</v>
      </c>
      <c r="AO159" s="131">
        <v>36526</v>
      </c>
      <c r="AP159" s="74" t="str">
        <v>站外</v>
      </c>
      <c r="AQ159" s="74">
        <v>17029739</v>
      </c>
      <c r="AR159" s="74"/>
      <c r="AS159" s="74" t="str">
        <v>花西子彩妆</v>
      </c>
      <c r="AT159" s="74" t="str">
        <v>花西子</v>
      </c>
    </row>
    <row r="160">
      <c r="A160" s="132" t="str">
        <v>0314402312e8ffcff3f0d6cfb2be0001</v>
      </c>
      <c r="B160" s="132"/>
      <c r="C160" s="132"/>
      <c r="D160" s="132" t="str">
        <v>ycss02;</v>
      </c>
      <c r="E160" s="132"/>
      <c r="F160" s="82"/>
      <c r="G160" s="132" t="str">
        <v>0.00</v>
      </c>
      <c r="H160" s="132"/>
      <c r="I160" s="132" t="str">
        <v>0.00</v>
      </c>
      <c r="J160" s="132"/>
      <c r="K160" s="132" t="str">
        <v>0.00</v>
      </c>
      <c r="L160" s="132"/>
      <c r="M160" s="132" t="str">
        <v>0.00</v>
      </c>
      <c r="N160" s="132"/>
      <c r="O160" s="132" t="str">
        <v>0.00</v>
      </c>
      <c r="P160" s="132"/>
      <c r="Q160" s="132" t="str">
        <v>0.00</v>
      </c>
      <c r="R160" s="132"/>
      <c r="S160" s="132" t="str">
        <v>未完结</v>
      </c>
      <c r="T160" s="132"/>
      <c r="U160" s="74"/>
      <c r="V160" s="74" t="str">
        <v>群邑（上海）广告有限公司</v>
      </c>
      <c r="W160" s="74" t="str">
        <v>抖音</v>
      </c>
      <c r="X160" s="74">
        <v>17026499</v>
      </c>
      <c r="Y160" s="74" t="str">
        <v>磁力引擎</v>
      </c>
      <c r="Z160" s="74"/>
      <c r="AA160" s="74" t="str">
        <v>否</v>
      </c>
      <c r="AB160" s="74" t="str">
        <v>否</v>
      </c>
      <c r="AC160" s="74" t="str">
        <v>否</v>
      </c>
      <c r="AD160" s="74"/>
      <c r="AE160" s="74"/>
      <c r="AF160" s="74"/>
      <c r="AG160" s="74"/>
      <c r="AH160" s="74" t="str">
        <v>白纸（张浩霖）</v>
      </c>
      <c r="AI160" s="74"/>
      <c r="AJ160" s="74" t="str">
        <v>杭州宜格化妆品有限公司</v>
      </c>
      <c r="AK160" s="74"/>
      <c r="AL160" s="74"/>
      <c r="AM160" s="74"/>
      <c r="AN160" s="74" t="str">
        <v>自投</v>
      </c>
      <c r="AO160" s="131">
        <v>36526</v>
      </c>
      <c r="AP160" s="74" t="str">
        <v>站外</v>
      </c>
      <c r="AQ160" s="74">
        <v>17026499</v>
      </c>
      <c r="AR160" s="74"/>
      <c r="AS160" s="74" t="str">
        <v>花西子彩妆</v>
      </c>
      <c r="AT160" s="74" t="str">
        <v>花西子</v>
      </c>
    </row>
    <row r="161">
      <c r="A161" s="132" t="str">
        <v>0314402313e8ffcff3f0d6cfb2be0001</v>
      </c>
      <c r="B161" s="132"/>
      <c r="C161" s="132"/>
      <c r="D161" s="132" t="str">
        <v>ycss02;</v>
      </c>
      <c r="E161" s="132"/>
      <c r="F161" s="82"/>
      <c r="G161" s="132" t="str">
        <v>0.00</v>
      </c>
      <c r="H161" s="132"/>
      <c r="I161" s="132" t="str">
        <v>0.00</v>
      </c>
      <c r="J161" s="132"/>
      <c r="K161" s="132" t="str">
        <v>0.00</v>
      </c>
      <c r="L161" s="132"/>
      <c r="M161" s="132" t="str">
        <v>0.00</v>
      </c>
      <c r="N161" s="132"/>
      <c r="O161" s="132" t="str">
        <v>0.00</v>
      </c>
      <c r="P161" s="132"/>
      <c r="Q161" s="132" t="str">
        <v>0.00</v>
      </c>
      <c r="R161" s="132"/>
      <c r="S161" s="132" t="str">
        <v>未完结</v>
      </c>
      <c r="T161" s="132"/>
      <c r="U161" s="74"/>
      <c r="V161" s="74" t="str">
        <v>群邑（上海）广告有限公司</v>
      </c>
      <c r="W161" s="74" t="str">
        <v>抖音</v>
      </c>
      <c r="X161" s="74">
        <v>16901306</v>
      </c>
      <c r="Y161" s="74" t="str">
        <v>磁力引擎</v>
      </c>
      <c r="Z161" s="74"/>
      <c r="AA161" s="74" t="str">
        <v>否</v>
      </c>
      <c r="AB161" s="74" t="str">
        <v>否</v>
      </c>
      <c r="AC161" s="74" t="str">
        <v>否</v>
      </c>
      <c r="AD161" s="74"/>
      <c r="AE161" s="74"/>
      <c r="AF161" s="74"/>
      <c r="AG161" s="74"/>
      <c r="AH161" s="74" t="str">
        <v>白纸（张浩霖）</v>
      </c>
      <c r="AI161" s="74"/>
      <c r="AJ161" s="74" t="str">
        <v>杭州宜格化妆品有限公司</v>
      </c>
      <c r="AK161" s="74"/>
      <c r="AL161" s="74"/>
      <c r="AM161" s="74"/>
      <c r="AN161" s="74" t="str">
        <v>自投</v>
      </c>
      <c r="AO161" s="131">
        <v>36526</v>
      </c>
      <c r="AP161" s="74" t="str">
        <v>站外</v>
      </c>
      <c r="AQ161" s="74">
        <v>16901306</v>
      </c>
      <c r="AR161" s="74"/>
      <c r="AS161" s="74" t="str">
        <v>花西子-QY-私模蜜粉-DDN</v>
      </c>
      <c r="AT161" s="74" t="str">
        <v>花西子</v>
      </c>
    </row>
    <row r="162">
      <c r="A162" s="132" t="str">
        <v>0314402314d8ffcff3f0d6cfb2be0001</v>
      </c>
      <c r="B162" s="132"/>
      <c r="C162" s="132"/>
      <c r="D162" s="132" t="str">
        <v>ycss02;</v>
      </c>
      <c r="E162" s="132"/>
      <c r="F162" s="82"/>
      <c r="G162" s="132" t="str">
        <v>0.00</v>
      </c>
      <c r="H162" s="132"/>
      <c r="I162" s="132" t="str">
        <v>0.00</v>
      </c>
      <c r="J162" s="132"/>
      <c r="K162" s="132" t="str">
        <v>0.00</v>
      </c>
      <c r="L162" s="132"/>
      <c r="M162" s="132" t="str">
        <v>0.00</v>
      </c>
      <c r="N162" s="132"/>
      <c r="O162" s="132" t="str">
        <v>0.00</v>
      </c>
      <c r="P162" s="132"/>
      <c r="Q162" s="132" t="str">
        <v>0.00</v>
      </c>
      <c r="R162" s="132"/>
      <c r="S162" s="132" t="str">
        <v>未完结</v>
      </c>
      <c r="T162" s="132"/>
      <c r="U162" s="74"/>
      <c r="V162" s="74" t="str">
        <v>群邑（上海）广告有限公司</v>
      </c>
      <c r="W162" s="74" t="str">
        <v>抖音</v>
      </c>
      <c r="X162" s="74">
        <v>16901305</v>
      </c>
      <c r="Y162" s="74" t="str">
        <v>磁力引擎</v>
      </c>
      <c r="Z162" s="74"/>
      <c r="AA162" s="74" t="str">
        <v>否</v>
      </c>
      <c r="AB162" s="74" t="str">
        <v>否</v>
      </c>
      <c r="AC162" s="74" t="str">
        <v>否</v>
      </c>
      <c r="AD162" s="74"/>
      <c r="AE162" s="74"/>
      <c r="AF162" s="74"/>
      <c r="AG162" s="74"/>
      <c r="AH162" s="74" t="str">
        <v>白纸（张浩霖）</v>
      </c>
      <c r="AI162" s="74"/>
      <c r="AJ162" s="74" t="str">
        <v>杭州宜格化妆品有限公司</v>
      </c>
      <c r="AK162" s="74"/>
      <c r="AL162" s="74"/>
      <c r="AM162" s="74"/>
      <c r="AN162" s="74" t="str">
        <v>自投</v>
      </c>
      <c r="AO162" s="131">
        <v>36526</v>
      </c>
      <c r="AP162" s="74" t="str">
        <v>站外</v>
      </c>
      <c r="AQ162" s="74">
        <v>16901305</v>
      </c>
      <c r="AR162" s="74"/>
      <c r="AS162" s="74" t="str">
        <v>花西子-QY-玉养蜜粉-DDN</v>
      </c>
      <c r="AT162" s="74" t="str">
        <v>花西子</v>
      </c>
    </row>
    <row r="163">
      <c r="A163" s="132" t="str">
        <v>0314402315d8ffcff3f0d6cfb2be0001</v>
      </c>
      <c r="B163" s="132"/>
      <c r="C163" s="132"/>
      <c r="D163" s="132" t="str">
        <v>ycss02;</v>
      </c>
      <c r="E163" s="132"/>
      <c r="F163" s="82"/>
      <c r="G163" s="132" t="str">
        <v>0.00</v>
      </c>
      <c r="H163" s="132"/>
      <c r="I163" s="132" t="str">
        <v>0.00</v>
      </c>
      <c r="J163" s="132"/>
      <c r="K163" s="132" t="str">
        <v>0.00</v>
      </c>
      <c r="L163" s="132"/>
      <c r="M163" s="132" t="str">
        <v>0.00</v>
      </c>
      <c r="N163" s="132"/>
      <c r="O163" s="132" t="str">
        <v>0.00</v>
      </c>
      <c r="P163" s="132"/>
      <c r="Q163" s="132" t="str">
        <v>0.00</v>
      </c>
      <c r="R163" s="132"/>
      <c r="S163" s="132" t="str">
        <v>未完结</v>
      </c>
      <c r="T163" s="132"/>
      <c r="U163" s="74"/>
      <c r="V163" s="74" t="str">
        <v>群邑（上海）广告有限公司</v>
      </c>
      <c r="W163" s="74" t="str">
        <v>抖音</v>
      </c>
      <c r="X163" s="74">
        <v>16901304</v>
      </c>
      <c r="Y163" s="74" t="str">
        <v>磁力引擎</v>
      </c>
      <c r="Z163" s="74"/>
      <c r="AA163" s="74" t="str">
        <v>否</v>
      </c>
      <c r="AB163" s="74" t="str">
        <v>否</v>
      </c>
      <c r="AC163" s="74" t="str">
        <v>否</v>
      </c>
      <c r="AD163" s="74"/>
      <c r="AE163" s="74"/>
      <c r="AF163" s="74"/>
      <c r="AG163" s="74"/>
      <c r="AH163" s="74" t="str">
        <v>白纸（张浩霖）</v>
      </c>
      <c r="AI163" s="74"/>
      <c r="AJ163" s="74" t="str">
        <v>杭州宜格化妆品有限公司</v>
      </c>
      <c r="AK163" s="74"/>
      <c r="AL163" s="74"/>
      <c r="AM163" s="74"/>
      <c r="AN163" s="74" t="str">
        <v>自投</v>
      </c>
      <c r="AO163" s="131">
        <v>36526</v>
      </c>
      <c r="AP163" s="74" t="str">
        <v>站外</v>
      </c>
      <c r="AQ163" s="74">
        <v>16901304</v>
      </c>
      <c r="AR163" s="74"/>
      <c r="AS163" s="74" t="str">
        <v>花西子-QY-持色唇纱-DDN</v>
      </c>
      <c r="AT163" s="74" t="str">
        <v>花西子</v>
      </c>
    </row>
    <row r="164">
      <c r="A164" s="132" t="str">
        <v>0314402316e8ffcff3f0d6cfb2be0001</v>
      </c>
      <c r="B164" s="132"/>
      <c r="C164" s="132"/>
      <c r="D164" s="132" t="str">
        <v>ycss02;</v>
      </c>
      <c r="E164" s="132"/>
      <c r="F164" s="82"/>
      <c r="G164" s="132" t="str">
        <v>0.00</v>
      </c>
      <c r="H164" s="132"/>
      <c r="I164" s="132" t="str">
        <v>0.00</v>
      </c>
      <c r="J164" s="132"/>
      <c r="K164" s="132" t="str">
        <v>0.00</v>
      </c>
      <c r="L164" s="132"/>
      <c r="M164" s="132" t="str">
        <v>0.00</v>
      </c>
      <c r="N164" s="132"/>
      <c r="O164" s="132" t="str">
        <v>0.00</v>
      </c>
      <c r="P164" s="132"/>
      <c r="Q164" s="132" t="str">
        <v>0.00</v>
      </c>
      <c r="R164" s="132"/>
      <c r="S164" s="132" t="str">
        <v>未完结</v>
      </c>
      <c r="T164" s="132"/>
      <c r="U164" s="74"/>
      <c r="V164" s="74" t="str">
        <v>群邑（上海）广告有限公司</v>
      </c>
      <c r="W164" s="74" t="str">
        <v>抖音</v>
      </c>
      <c r="X164" s="74">
        <v>16901303</v>
      </c>
      <c r="Y164" s="74" t="str">
        <v>磁力引擎</v>
      </c>
      <c r="Z164" s="74"/>
      <c r="AA164" s="74" t="str">
        <v>否</v>
      </c>
      <c r="AB164" s="74" t="str">
        <v>否</v>
      </c>
      <c r="AC164" s="74" t="str">
        <v>否</v>
      </c>
      <c r="AD164" s="74"/>
      <c r="AE164" s="74"/>
      <c r="AF164" s="74"/>
      <c r="AG164" s="74"/>
      <c r="AH164" s="74" t="str">
        <v>白纸（张浩霖）</v>
      </c>
      <c r="AI164" s="74"/>
      <c r="AJ164" s="74" t="str">
        <v>杭州宜格化妆品有限公司</v>
      </c>
      <c r="AK164" s="74"/>
      <c r="AL164" s="74"/>
      <c r="AM164" s="74"/>
      <c r="AN164" s="74" t="str">
        <v>自投</v>
      </c>
      <c r="AO164" s="131">
        <v>36526</v>
      </c>
      <c r="AP164" s="74" t="str">
        <v>站外</v>
      </c>
      <c r="AQ164" s="74">
        <v>16901303</v>
      </c>
      <c r="AR164" s="74"/>
      <c r="AS164" s="74" t="str">
        <v>花西子-QY-小黛伞防晒-DDN</v>
      </c>
      <c r="AT164" s="74" t="str">
        <v>花西子</v>
      </c>
    </row>
    <row r="165">
      <c r="A165" s="132" t="str">
        <v>0314402317d8ffcff3f0d6cfb2be0001</v>
      </c>
      <c r="B165" s="132"/>
      <c r="C165" s="132"/>
      <c r="D165" s="132" t="str">
        <v>ycss02;</v>
      </c>
      <c r="E165" s="132"/>
      <c r="F165" s="82"/>
      <c r="G165" s="132" t="str">
        <v>0.00</v>
      </c>
      <c r="H165" s="132"/>
      <c r="I165" s="132" t="str">
        <v>0.00</v>
      </c>
      <c r="J165" s="132"/>
      <c r="K165" s="132" t="str">
        <v>0.00</v>
      </c>
      <c r="L165" s="132"/>
      <c r="M165" s="132" t="str">
        <v>0.00</v>
      </c>
      <c r="N165" s="132"/>
      <c r="O165" s="132" t="str">
        <v>0.00</v>
      </c>
      <c r="P165" s="132"/>
      <c r="Q165" s="132" t="str">
        <v>0.00</v>
      </c>
      <c r="R165" s="132"/>
      <c r="S165" s="132" t="str">
        <v>未完结</v>
      </c>
      <c r="T165" s="132"/>
      <c r="U165" s="74"/>
      <c r="V165" s="74" t="str">
        <v>群邑（上海）广告有限公司</v>
      </c>
      <c r="W165" s="74" t="str">
        <v>抖音</v>
      </c>
      <c r="X165" s="74">
        <v>16901302</v>
      </c>
      <c r="Y165" s="74" t="str">
        <v>磁力引擎</v>
      </c>
      <c r="Z165" s="74"/>
      <c r="AA165" s="74" t="str">
        <v>否</v>
      </c>
      <c r="AB165" s="74" t="str">
        <v>否</v>
      </c>
      <c r="AC165" s="74" t="str">
        <v>否</v>
      </c>
      <c r="AD165" s="74"/>
      <c r="AE165" s="74"/>
      <c r="AF165" s="74"/>
      <c r="AG165" s="74"/>
      <c r="AH165" s="74" t="str">
        <v>白纸（张浩霖）</v>
      </c>
      <c r="AI165" s="74"/>
      <c r="AJ165" s="74" t="str">
        <v>杭州宜格化妆品有限公司</v>
      </c>
      <c r="AK165" s="74"/>
      <c r="AL165" s="74"/>
      <c r="AM165" s="74"/>
      <c r="AN165" s="74" t="str">
        <v>自投</v>
      </c>
      <c r="AO165" s="131">
        <v>36526</v>
      </c>
      <c r="AP165" s="74" t="str">
        <v>站外</v>
      </c>
      <c r="AQ165" s="74">
        <v>16901302</v>
      </c>
      <c r="AR165" s="74"/>
      <c r="AS165" s="74" t="str">
        <v>花西子-QY-素颜出行-DDN</v>
      </c>
      <c r="AT165" s="74" t="str">
        <v>花西子</v>
      </c>
    </row>
    <row r="166">
      <c r="A166" s="132" t="str">
        <v>0314402318d8ffcff3f0d6cfb2be0001</v>
      </c>
      <c r="B166" s="132"/>
      <c r="C166" s="132"/>
      <c r="D166" s="132" t="str">
        <v>ycss02;</v>
      </c>
      <c r="E166" s="132"/>
      <c r="F166" s="82"/>
      <c r="G166" s="132" t="str">
        <v>0.00</v>
      </c>
      <c r="H166" s="132"/>
      <c r="I166" s="132" t="str">
        <v>0.00</v>
      </c>
      <c r="J166" s="132"/>
      <c r="K166" s="132" t="str">
        <v>0.00</v>
      </c>
      <c r="L166" s="132"/>
      <c r="M166" s="132" t="str">
        <v>0.00</v>
      </c>
      <c r="N166" s="132"/>
      <c r="O166" s="132" t="str">
        <v>0.00</v>
      </c>
      <c r="P166" s="132"/>
      <c r="Q166" s="132" t="str">
        <v>0.00</v>
      </c>
      <c r="R166" s="132"/>
      <c r="S166" s="132" t="str">
        <v>未完结</v>
      </c>
      <c r="T166" s="132"/>
      <c r="U166" s="74"/>
      <c r="V166" s="74" t="str">
        <v>群邑（上海）广告有限公司</v>
      </c>
      <c r="W166" s="74" t="str">
        <v>抖音</v>
      </c>
      <c r="X166" s="74">
        <v>16901301</v>
      </c>
      <c r="Y166" s="74" t="str">
        <v>磁力引擎</v>
      </c>
      <c r="Z166" s="74"/>
      <c r="AA166" s="74" t="str">
        <v>否</v>
      </c>
      <c r="AB166" s="74" t="str">
        <v>否</v>
      </c>
      <c r="AC166" s="74" t="str">
        <v>否</v>
      </c>
      <c r="AD166" s="74"/>
      <c r="AE166" s="74"/>
      <c r="AF166" s="74"/>
      <c r="AG166" s="74"/>
      <c r="AH166" s="74" t="str">
        <v>白纸（张浩霖）</v>
      </c>
      <c r="AI166" s="74"/>
      <c r="AJ166" s="74" t="str">
        <v>杭州宜格化妆品有限公司</v>
      </c>
      <c r="AK166" s="74"/>
      <c r="AL166" s="74"/>
      <c r="AM166" s="74"/>
      <c r="AN166" s="74" t="str">
        <v>自投</v>
      </c>
      <c r="AO166" s="131">
        <v>36526</v>
      </c>
      <c r="AP166" s="74" t="str">
        <v>站外</v>
      </c>
      <c r="AQ166" s="74">
        <v>16901301</v>
      </c>
      <c r="AR166" s="74"/>
      <c r="AS166" s="74" t="str">
        <v>花西子-QY-东方妆奁-DDN</v>
      </c>
      <c r="AT166" s="74" t="str">
        <v>花西子</v>
      </c>
    </row>
    <row r="167">
      <c r="A167" s="132" t="str">
        <v>0314402319d8ffcff3f0d6cfb2be0001</v>
      </c>
      <c r="B167" s="132"/>
      <c r="C167" s="132"/>
      <c r="D167" s="132" t="str">
        <v>ycss02;</v>
      </c>
      <c r="E167" s="132"/>
      <c r="F167" s="82"/>
      <c r="G167" s="132" t="str">
        <v>0.00</v>
      </c>
      <c r="H167" s="132"/>
      <c r="I167" s="132" t="str">
        <v>0.00</v>
      </c>
      <c r="J167" s="132"/>
      <c r="K167" s="132" t="str">
        <v>0.00</v>
      </c>
      <c r="L167" s="132"/>
      <c r="M167" s="132" t="str">
        <v>0.00</v>
      </c>
      <c r="N167" s="132"/>
      <c r="O167" s="132" t="str">
        <v>0.00</v>
      </c>
      <c r="P167" s="132"/>
      <c r="Q167" s="132" t="str">
        <v>0.00</v>
      </c>
      <c r="R167" s="132"/>
      <c r="S167" s="132" t="str">
        <v>未完结</v>
      </c>
      <c r="T167" s="132"/>
      <c r="U167" s="74"/>
      <c r="V167" s="74" t="str">
        <v>群邑（上海）广告有限公司</v>
      </c>
      <c r="W167" s="74" t="str">
        <v>抖音</v>
      </c>
      <c r="X167" s="74">
        <v>16901300</v>
      </c>
      <c r="Y167" s="74" t="str">
        <v>磁力引擎</v>
      </c>
      <c r="Z167" s="74"/>
      <c r="AA167" s="74" t="str">
        <v>否</v>
      </c>
      <c r="AB167" s="74" t="str">
        <v>否</v>
      </c>
      <c r="AC167" s="74" t="str">
        <v>否</v>
      </c>
      <c r="AD167" s="74"/>
      <c r="AE167" s="74"/>
      <c r="AF167" s="74"/>
      <c r="AG167" s="74"/>
      <c r="AH167" s="74" t="str">
        <v>白纸（张浩霖）</v>
      </c>
      <c r="AI167" s="74"/>
      <c r="AJ167" s="74" t="str">
        <v>杭州宜格化妆品有限公司</v>
      </c>
      <c r="AK167" s="74"/>
      <c r="AL167" s="74"/>
      <c r="AM167" s="74"/>
      <c r="AN167" s="74" t="str">
        <v>自投</v>
      </c>
      <c r="AO167" s="131">
        <v>36526</v>
      </c>
      <c r="AP167" s="74" t="str">
        <v>站外</v>
      </c>
      <c r="AQ167" s="74">
        <v>16901300</v>
      </c>
      <c r="AR167" s="74"/>
      <c r="AS167" s="74" t="str">
        <v>花西子-QY-玉养喷雾-DDN</v>
      </c>
      <c r="AT167" s="74" t="str">
        <v>花西子</v>
      </c>
    </row>
    <row r="168">
      <c r="A168" s="132" t="str">
        <v>031440231ac8ffcff3f0d6cfb2be0001</v>
      </c>
      <c r="B168" s="132"/>
      <c r="C168" s="132"/>
      <c r="D168" s="132" t="str">
        <v>ycss02;</v>
      </c>
      <c r="E168" s="132"/>
      <c r="F168" s="82"/>
      <c r="G168" s="132" t="str">
        <v>0.00</v>
      </c>
      <c r="H168" s="132"/>
      <c r="I168" s="132" t="str">
        <v>0.00</v>
      </c>
      <c r="J168" s="132"/>
      <c r="K168" s="132" t="str">
        <v>0.00</v>
      </c>
      <c r="L168" s="132"/>
      <c r="M168" s="132" t="str">
        <v>0.00</v>
      </c>
      <c r="N168" s="132"/>
      <c r="O168" s="132" t="str">
        <v>0.00</v>
      </c>
      <c r="P168" s="132"/>
      <c r="Q168" s="132" t="str">
        <v>0.00</v>
      </c>
      <c r="R168" s="132"/>
      <c r="S168" s="132" t="str">
        <v>未完结</v>
      </c>
      <c r="T168" s="132"/>
      <c r="U168" s="74"/>
      <c r="V168" s="74" t="str">
        <v>群邑（上海）广告有限公司</v>
      </c>
      <c r="W168" s="74" t="str">
        <v>抖音</v>
      </c>
      <c r="X168" s="74">
        <v>16901299</v>
      </c>
      <c r="Y168" s="74" t="str">
        <v>磁力引擎</v>
      </c>
      <c r="Z168" s="74"/>
      <c r="AA168" s="74" t="str">
        <v>否</v>
      </c>
      <c r="AB168" s="74" t="str">
        <v>否</v>
      </c>
      <c r="AC168" s="74" t="str">
        <v>否</v>
      </c>
      <c r="AD168" s="74"/>
      <c r="AE168" s="74"/>
      <c r="AF168" s="74"/>
      <c r="AG168" s="74"/>
      <c r="AH168" s="74" t="str">
        <v>白纸（张浩霖）</v>
      </c>
      <c r="AI168" s="74"/>
      <c r="AJ168" s="74" t="str">
        <v>杭州宜格化妆品有限公司</v>
      </c>
      <c r="AK168" s="74"/>
      <c r="AL168" s="74"/>
      <c r="AM168" s="74"/>
      <c r="AN168" s="74" t="str">
        <v>自投</v>
      </c>
      <c r="AO168" s="131">
        <v>36526</v>
      </c>
      <c r="AP168" s="74" t="str">
        <v>站外</v>
      </c>
      <c r="AQ168" s="74">
        <v>16901299</v>
      </c>
      <c r="AR168" s="74"/>
      <c r="AS168" s="74" t="str">
        <v>花西子-QY-翡翠气垫-DDN</v>
      </c>
      <c r="AT168" s="74" t="str">
        <v>花西子</v>
      </c>
    </row>
    <row r="169">
      <c r="A169" s="132" t="str">
        <v>031440231bc8ffcff3f0d6cfb2be0001</v>
      </c>
      <c r="B169" s="132"/>
      <c r="C169" s="132"/>
      <c r="D169" s="132" t="str">
        <v>ycss02;</v>
      </c>
      <c r="E169" s="132"/>
      <c r="F169" s="82"/>
      <c r="G169" s="132" t="str">
        <v>0.00</v>
      </c>
      <c r="H169" s="132"/>
      <c r="I169" s="132" t="str">
        <v>0.00</v>
      </c>
      <c r="J169" s="132"/>
      <c r="K169" s="132" t="str">
        <v>0.00</v>
      </c>
      <c r="L169" s="132"/>
      <c r="M169" s="132" t="str">
        <v>0.00</v>
      </c>
      <c r="N169" s="132"/>
      <c r="O169" s="132" t="str">
        <v>0.00</v>
      </c>
      <c r="P169" s="132"/>
      <c r="Q169" s="132" t="str">
        <v>0.00</v>
      </c>
      <c r="R169" s="132"/>
      <c r="S169" s="132" t="str">
        <v>未完结</v>
      </c>
      <c r="T169" s="132"/>
      <c r="U169" s="74"/>
      <c r="V169" s="74" t="str">
        <v>群邑（上海）广告有限公司</v>
      </c>
      <c r="W169" s="74" t="str">
        <v>抖音</v>
      </c>
      <c r="X169" s="74">
        <v>16901298</v>
      </c>
      <c r="Y169" s="74" t="str">
        <v>磁力引擎</v>
      </c>
      <c r="Z169" s="74"/>
      <c r="AA169" s="74" t="str">
        <v>否</v>
      </c>
      <c r="AB169" s="74" t="str">
        <v>否</v>
      </c>
      <c r="AC169" s="74" t="str">
        <v>否</v>
      </c>
      <c r="AD169" s="74"/>
      <c r="AE169" s="74"/>
      <c r="AF169" s="74"/>
      <c r="AG169" s="74"/>
      <c r="AH169" s="74" t="str">
        <v>白纸（张浩霖）</v>
      </c>
      <c r="AI169" s="74"/>
      <c r="AJ169" s="74" t="str">
        <v>杭州宜格化妆品有限公司</v>
      </c>
      <c r="AK169" s="74"/>
      <c r="AL169" s="74"/>
      <c r="AM169" s="74"/>
      <c r="AN169" s="74" t="str">
        <v>自投</v>
      </c>
      <c r="AO169" s="131">
        <v>36526</v>
      </c>
      <c r="AP169" s="74" t="str">
        <v>站外</v>
      </c>
      <c r="AQ169" s="74">
        <v>16901298</v>
      </c>
      <c r="AR169" s="74"/>
      <c r="AS169" s="74" t="str">
        <v>花西子彩妆</v>
      </c>
      <c r="AT169" s="74" t="str">
        <v>花西子</v>
      </c>
    </row>
    <row r="170">
      <c r="A170" s="132" t="str">
        <v>031440231cb8ffcff3f0d6cfb2be0001</v>
      </c>
      <c r="B170" s="132"/>
      <c r="C170" s="132"/>
      <c r="D170" s="132" t="str">
        <v>ycss02;</v>
      </c>
      <c r="E170" s="132"/>
      <c r="F170" s="82"/>
      <c r="G170" s="132" t="str">
        <v>0.00</v>
      </c>
      <c r="H170" s="132"/>
      <c r="I170" s="132" t="str">
        <v>0.00</v>
      </c>
      <c r="J170" s="132"/>
      <c r="K170" s="132" t="str">
        <v>0.00</v>
      </c>
      <c r="L170" s="132"/>
      <c r="M170" s="132" t="str">
        <v>0.00</v>
      </c>
      <c r="N170" s="132"/>
      <c r="O170" s="132" t="str">
        <v>0.00</v>
      </c>
      <c r="P170" s="132"/>
      <c r="Q170" s="132" t="str">
        <v>0.00</v>
      </c>
      <c r="R170" s="132"/>
      <c r="S170" s="132" t="str">
        <v>未完结</v>
      </c>
      <c r="T170" s="132"/>
      <c r="U170" s="74"/>
      <c r="V170" s="74" t="str">
        <v>群邑（上海）广告有限公司</v>
      </c>
      <c r="W170" s="74" t="str">
        <v>抖音</v>
      </c>
      <c r="X170" s="74">
        <v>16896876</v>
      </c>
      <c r="Y170" s="74" t="str">
        <v>磁力引擎</v>
      </c>
      <c r="Z170" s="74"/>
      <c r="AA170" s="74" t="str">
        <v>否</v>
      </c>
      <c r="AB170" s="74" t="str">
        <v>否</v>
      </c>
      <c r="AC170" s="74" t="str">
        <v>否</v>
      </c>
      <c r="AD170" s="74"/>
      <c r="AE170" s="74"/>
      <c r="AF170" s="74"/>
      <c r="AG170" s="74"/>
      <c r="AH170" s="74" t="str">
        <v>白纸（张浩霖）</v>
      </c>
      <c r="AI170" s="74"/>
      <c r="AJ170" s="74" t="str">
        <v>杭州宜格化妆品有限公司</v>
      </c>
      <c r="AK170" s="74"/>
      <c r="AL170" s="74"/>
      <c r="AM170" s="74"/>
      <c r="AN170" s="74" t="str">
        <v>自投</v>
      </c>
      <c r="AO170" s="131">
        <v>36526</v>
      </c>
      <c r="AP170" s="74" t="str">
        <v>站外</v>
      </c>
      <c r="AQ170" s="74">
        <v>16896876</v>
      </c>
      <c r="AR170" s="74"/>
      <c r="AS170" s="74" t="str">
        <v>花西子彩妆</v>
      </c>
      <c r="AT170" s="74" t="str">
        <v>花西子</v>
      </c>
    </row>
    <row r="171">
      <c r="A171" s="132" t="str">
        <v>031440231db8ffcff3f0d6cfb2be0001</v>
      </c>
      <c r="B171" s="132"/>
      <c r="C171" s="132"/>
      <c r="D171" s="132" t="str">
        <v>ycss02;</v>
      </c>
      <c r="E171" s="132"/>
      <c r="F171" s="82"/>
      <c r="G171" s="132" t="str">
        <v>0.00</v>
      </c>
      <c r="H171" s="132"/>
      <c r="I171" s="132" t="str">
        <v>0.00</v>
      </c>
      <c r="J171" s="132"/>
      <c r="K171" s="132" t="str">
        <v>0.00</v>
      </c>
      <c r="L171" s="132"/>
      <c r="M171" s="132" t="str">
        <v>0.00</v>
      </c>
      <c r="N171" s="132"/>
      <c r="O171" s="132" t="str">
        <v>0.00</v>
      </c>
      <c r="P171" s="132"/>
      <c r="Q171" s="132" t="str">
        <v>0.00</v>
      </c>
      <c r="R171" s="132"/>
      <c r="S171" s="132" t="str">
        <v>未完结</v>
      </c>
      <c r="T171" s="132"/>
      <c r="U171" s="74"/>
      <c r="V171" s="74" t="str">
        <v>群邑（上海）广告有限公司</v>
      </c>
      <c r="W171" s="74" t="str">
        <v>快手</v>
      </c>
      <c r="X171" s="74">
        <v>16909143</v>
      </c>
      <c r="Y171" s="74" t="str">
        <v>磁力金牛</v>
      </c>
      <c r="Z171" s="74"/>
      <c r="AA171" s="74"/>
      <c r="AB171" s="74"/>
      <c r="AC171" s="74" t="str">
        <v>否</v>
      </c>
      <c r="AD171" s="74"/>
      <c r="AE171" s="74"/>
      <c r="AF171" s="74"/>
      <c r="AG171" s="74"/>
      <c r="AH171" s="74" t="str">
        <v>难却（楼俞成达）</v>
      </c>
      <c r="AI171" s="74"/>
      <c r="AJ171" s="74" t="str">
        <v>杭州宜格化妆品有限公司</v>
      </c>
      <c r="AK171" s="74"/>
      <c r="AL171" s="74"/>
      <c r="AM171" s="74"/>
      <c r="AN171" s="74" t="str">
        <v>自投</v>
      </c>
      <c r="AO171" s="131">
        <v>36526</v>
      </c>
      <c r="AP171" s="74" t="str">
        <v>站外</v>
      </c>
      <c r="AQ171" s="74">
        <v>16909143</v>
      </c>
      <c r="AR171" s="74"/>
      <c r="AS171" s="74" t="str">
        <v>花西子官方旗舰店-群邑2</v>
      </c>
      <c r="AT171" s="74" t="str">
        <v>花西子</v>
      </c>
    </row>
    <row r="172">
      <c r="A172" s="132" t="str">
        <v>031440231eb8ffcff3f0d6cfb2be0001</v>
      </c>
      <c r="B172" s="132"/>
      <c r="C172" s="132"/>
      <c r="D172" s="132" t="str">
        <v>ycss02;</v>
      </c>
      <c r="E172" s="132"/>
      <c r="F172" s="82"/>
      <c r="G172" s="132" t="str">
        <v>0.00</v>
      </c>
      <c r="H172" s="132"/>
      <c r="I172" s="132" t="str">
        <v>0.00</v>
      </c>
      <c r="J172" s="132"/>
      <c r="K172" s="132" t="str">
        <v>0.00</v>
      </c>
      <c r="L172" s="132"/>
      <c r="M172" s="132" t="str">
        <v>0.00</v>
      </c>
      <c r="N172" s="132"/>
      <c r="O172" s="132" t="str">
        <v>0.00</v>
      </c>
      <c r="P172" s="132"/>
      <c r="Q172" s="132" t="str">
        <v>0.00</v>
      </c>
      <c r="R172" s="132"/>
      <c r="S172" s="132" t="str">
        <v>未完结</v>
      </c>
      <c r="T172" s="132"/>
      <c r="U172" s="74"/>
      <c r="V172" s="74" t="str">
        <v>群邑（上海）广告有限公司</v>
      </c>
      <c r="W172" s="74" t="str">
        <v>快手</v>
      </c>
      <c r="X172" s="74">
        <v>16909144</v>
      </c>
      <c r="Y172" s="74" t="str">
        <v>磁力金牛</v>
      </c>
      <c r="Z172" s="74"/>
      <c r="AA172" s="74"/>
      <c r="AB172" s="74"/>
      <c r="AC172" s="74" t="str">
        <v>否</v>
      </c>
      <c r="AD172" s="74"/>
      <c r="AE172" s="74"/>
      <c r="AF172" s="74"/>
      <c r="AG172" s="74"/>
      <c r="AH172" s="74" t="str">
        <v>难却（楼俞成达）</v>
      </c>
      <c r="AI172" s="74"/>
      <c r="AJ172" s="74" t="str">
        <v>杭州宜格化妆品有限公司</v>
      </c>
      <c r="AK172" s="74"/>
      <c r="AL172" s="74"/>
      <c r="AM172" s="74"/>
      <c r="AN172" s="74" t="str">
        <v>自投</v>
      </c>
      <c r="AO172" s="131">
        <v>36526</v>
      </c>
      <c r="AP172" s="74" t="str">
        <v>站外</v>
      </c>
      <c r="AQ172" s="74">
        <v>16909144</v>
      </c>
      <c r="AR172" s="74"/>
      <c r="AS172" s="74" t="str">
        <v>花西子官方旗舰店-群邑3</v>
      </c>
      <c r="AT172" s="74" t="str">
        <v>花西子</v>
      </c>
    </row>
    <row r="173">
      <c r="A173" s="132" t="str">
        <v>031440231fa8ffcff3f0d6cfb2be0001</v>
      </c>
      <c r="B173" s="132"/>
      <c r="C173" s="132"/>
      <c r="D173" s="132" t="str">
        <v>ycss02;</v>
      </c>
      <c r="E173" s="132"/>
      <c r="F173" s="82"/>
      <c r="G173" s="132" t="str">
        <v>0.00</v>
      </c>
      <c r="H173" s="132"/>
      <c r="I173" s="132" t="str">
        <v>0.00</v>
      </c>
      <c r="J173" s="132"/>
      <c r="K173" s="132" t="str">
        <v>0.00</v>
      </c>
      <c r="L173" s="132"/>
      <c r="M173" s="132" t="str">
        <v>0.00</v>
      </c>
      <c r="N173" s="132"/>
      <c r="O173" s="132" t="str">
        <v>0.00</v>
      </c>
      <c r="P173" s="132"/>
      <c r="Q173" s="132" t="str">
        <v>0.00</v>
      </c>
      <c r="R173" s="132"/>
      <c r="S173" s="132" t="str">
        <v>未完结</v>
      </c>
      <c r="T173" s="132"/>
      <c r="U173" s="74"/>
      <c r="V173" s="74" t="str">
        <v>群邑（上海）广告有限公司</v>
      </c>
      <c r="W173" s="74" t="str">
        <v>快手</v>
      </c>
      <c r="X173" s="74">
        <v>16909142</v>
      </c>
      <c r="Y173" s="74" t="str">
        <v>磁力金牛</v>
      </c>
      <c r="Z173" s="74"/>
      <c r="AA173" s="74"/>
      <c r="AB173" s="74"/>
      <c r="AC173" s="74" t="str">
        <v>否</v>
      </c>
      <c r="AD173" s="74"/>
      <c r="AE173" s="74"/>
      <c r="AF173" s="74"/>
      <c r="AG173" s="74"/>
      <c r="AH173" s="74" t="str">
        <v>难却（楼俞成达）</v>
      </c>
      <c r="AI173" s="74"/>
      <c r="AJ173" s="74" t="str">
        <v>杭州宜格化妆品有限公司</v>
      </c>
      <c r="AK173" s="74"/>
      <c r="AL173" s="74"/>
      <c r="AM173" s="74"/>
      <c r="AN173" s="74" t="str">
        <v>自投</v>
      </c>
      <c r="AO173" s="131">
        <v>36526</v>
      </c>
      <c r="AP173" s="74" t="str">
        <v>站外</v>
      </c>
      <c r="AQ173" s="74">
        <v>16909142</v>
      </c>
      <c r="AR173" s="74"/>
      <c r="AS173" s="74" t="str">
        <v>花西子官方旗舰店-群邑1</v>
      </c>
      <c r="AT173" s="74" t="str">
        <v>花西子</v>
      </c>
    </row>
    <row r="174">
      <c r="A174" s="132" t="str">
        <v>031440232098ffcff3f0d6cfb2be0001</v>
      </c>
      <c r="B174" s="132"/>
      <c r="C174" s="132"/>
      <c r="D174" s="132" t="str">
        <v>ycss02;</v>
      </c>
      <c r="E174" s="132"/>
      <c r="F174" s="82"/>
      <c r="G174" s="132" t="str">
        <v>0.00</v>
      </c>
      <c r="H174" s="132"/>
      <c r="I174" s="132" t="str">
        <v>0.00</v>
      </c>
      <c r="J174" s="132"/>
      <c r="K174" s="132" t="str">
        <v>0.00</v>
      </c>
      <c r="L174" s="132"/>
      <c r="M174" s="132" t="str">
        <v>0.00</v>
      </c>
      <c r="N174" s="132"/>
      <c r="O174" s="132" t="str">
        <v>0.00</v>
      </c>
      <c r="P174" s="132"/>
      <c r="Q174" s="132" t="str">
        <v>0.00</v>
      </c>
      <c r="R174" s="132"/>
      <c r="S174" s="132" t="str">
        <v>未完结</v>
      </c>
      <c r="T174" s="132"/>
      <c r="U174" s="74"/>
      <c r="V174" s="74" t="str">
        <v>群邑（上海）广告有限公司</v>
      </c>
      <c r="W174" s="74" t="str">
        <v>快手</v>
      </c>
      <c r="X174" s="74">
        <v>16909146</v>
      </c>
      <c r="Y174" s="74" t="str">
        <v>磁力金牛</v>
      </c>
      <c r="Z174" s="74"/>
      <c r="AA174" s="74"/>
      <c r="AB174" s="74"/>
      <c r="AC174" s="74" t="str">
        <v>否</v>
      </c>
      <c r="AD174" s="74"/>
      <c r="AE174" s="74"/>
      <c r="AF174" s="74"/>
      <c r="AG174" s="74"/>
      <c r="AH174" s="74" t="str">
        <v>难却（楼俞成达）</v>
      </c>
      <c r="AI174" s="74"/>
      <c r="AJ174" s="74" t="str">
        <v>杭州宜格化妆品有限公司</v>
      </c>
      <c r="AK174" s="74"/>
      <c r="AL174" s="74"/>
      <c r="AM174" s="74"/>
      <c r="AN174" s="74" t="str">
        <v>自投</v>
      </c>
      <c r="AO174" s="131">
        <v>36526</v>
      </c>
      <c r="AP174" s="74" t="str">
        <v>站外</v>
      </c>
      <c r="AQ174" s="74">
        <v>16909146</v>
      </c>
      <c r="AR174" s="74"/>
      <c r="AS174" s="74" t="str">
        <v>花西子官方旗舰店-全站ROI</v>
      </c>
      <c r="AT174" s="74" t="str">
        <v>花西子</v>
      </c>
    </row>
    <row r="175">
      <c r="A175" s="132" t="str">
        <v>031440232198ffcff3f0d6cfb2be0001</v>
      </c>
      <c r="B175" s="132"/>
      <c r="C175" s="132"/>
      <c r="D175" s="132" t="str">
        <v>ycss02;</v>
      </c>
      <c r="E175" s="132"/>
      <c r="F175" s="82"/>
      <c r="G175" s="132" t="str">
        <v>0.00</v>
      </c>
      <c r="H175" s="132"/>
      <c r="I175" s="132" t="str">
        <v>0.00</v>
      </c>
      <c r="J175" s="132"/>
      <c r="K175" s="132" t="str">
        <v>0.00</v>
      </c>
      <c r="L175" s="132"/>
      <c r="M175" s="132" t="str">
        <v>0.00</v>
      </c>
      <c r="N175" s="132"/>
      <c r="O175" s="132" t="str">
        <v>0.00</v>
      </c>
      <c r="P175" s="132"/>
      <c r="Q175" s="132" t="str">
        <v>0.00</v>
      </c>
      <c r="R175" s="132"/>
      <c r="S175" s="132" t="str">
        <v>未完结</v>
      </c>
      <c r="T175" s="132"/>
      <c r="U175" s="74"/>
      <c r="V175" s="74" t="str">
        <v>群邑（上海）广告有限公司</v>
      </c>
      <c r="W175" s="74" t="str">
        <v>快手</v>
      </c>
      <c r="X175" s="74">
        <v>16909147</v>
      </c>
      <c r="Y175" s="74" t="str">
        <v>磁力金牛</v>
      </c>
      <c r="Z175" s="74"/>
      <c r="AA175" s="74"/>
      <c r="AB175" s="74"/>
      <c r="AC175" s="74" t="str">
        <v>否</v>
      </c>
      <c r="AD175" s="74"/>
      <c r="AE175" s="74"/>
      <c r="AF175" s="74"/>
      <c r="AG175" s="74"/>
      <c r="AH175" s="74" t="str">
        <v>难却（楼俞成达）</v>
      </c>
      <c r="AI175" s="74"/>
      <c r="AJ175" s="74" t="str">
        <v>杭州宜格化妆品有限公司</v>
      </c>
      <c r="AK175" s="74"/>
      <c r="AL175" s="74"/>
      <c r="AM175" s="74"/>
      <c r="AN175" s="74" t="str">
        <v>自投</v>
      </c>
      <c r="AO175" s="131">
        <v>36526</v>
      </c>
      <c r="AP175" s="74" t="str">
        <v>站外</v>
      </c>
      <c r="AQ175" s="74">
        <v>16909147</v>
      </c>
      <c r="AR175" s="74"/>
      <c r="AS175" s="74" t="str">
        <v>花西子官方旗舰店-群邑4</v>
      </c>
      <c r="AT175" s="74" t="str">
        <v>花西子</v>
      </c>
    </row>
    <row r="176">
      <c r="A176" s="132" t="str">
        <v>031440232288ffcff3f0d6cfb2be0001</v>
      </c>
      <c r="B176" s="132"/>
      <c r="C176" s="132"/>
      <c r="D176" s="132" t="str">
        <v>ycss02;</v>
      </c>
      <c r="E176" s="132"/>
      <c r="F176" s="82"/>
      <c r="G176" s="132" t="str">
        <v>0.00</v>
      </c>
      <c r="H176" s="132"/>
      <c r="I176" s="132" t="str">
        <v>0.00</v>
      </c>
      <c r="J176" s="132"/>
      <c r="K176" s="132" t="str">
        <v>0.00</v>
      </c>
      <c r="L176" s="132"/>
      <c r="M176" s="132" t="str">
        <v>0.00</v>
      </c>
      <c r="N176" s="132"/>
      <c r="O176" s="132" t="str">
        <v>0.00</v>
      </c>
      <c r="P176" s="132"/>
      <c r="Q176" s="132" t="str">
        <v>0.00</v>
      </c>
      <c r="R176" s="132"/>
      <c r="S176" s="132" t="str">
        <v>未完结</v>
      </c>
      <c r="T176" s="132"/>
      <c r="U176" s="74"/>
      <c r="V176" s="74" t="str">
        <v>群邑（上海）广告有限公司</v>
      </c>
      <c r="W176" s="74" t="str">
        <v>快手</v>
      </c>
      <c r="X176" s="74">
        <v>16909148</v>
      </c>
      <c r="Y176" s="74" t="str">
        <v>磁力金牛</v>
      </c>
      <c r="Z176" s="74"/>
      <c r="AA176" s="74"/>
      <c r="AB176" s="74"/>
      <c r="AC176" s="74" t="str">
        <v>否</v>
      </c>
      <c r="AD176" s="74"/>
      <c r="AE176" s="74"/>
      <c r="AF176" s="74"/>
      <c r="AG176" s="74"/>
      <c r="AH176" s="74" t="str">
        <v>难却（楼俞成达）</v>
      </c>
      <c r="AI176" s="74"/>
      <c r="AJ176" s="74" t="str">
        <v>杭州宜格化妆品有限公司</v>
      </c>
      <c r="AK176" s="74"/>
      <c r="AL176" s="74"/>
      <c r="AM176" s="74"/>
      <c r="AN176" s="74" t="str">
        <v>自投</v>
      </c>
      <c r="AO176" s="131">
        <v>36526</v>
      </c>
      <c r="AP176" s="74" t="str">
        <v>站外</v>
      </c>
      <c r="AQ176" s="74">
        <v>16909148</v>
      </c>
      <c r="AR176" s="74"/>
      <c r="AS176" s="74" t="str">
        <v>花西子官方旗舰店-返货2户</v>
      </c>
      <c r="AT176" s="74" t="str">
        <v>花西子</v>
      </c>
    </row>
    <row r="177">
      <c r="A177" s="132" t="str">
        <v>031440232388ffcff3f0d6cfb2be0001</v>
      </c>
      <c r="B177" s="132"/>
      <c r="C177" s="132"/>
      <c r="D177" s="132" t="str">
        <v>ycss02;</v>
      </c>
      <c r="E177" s="132"/>
      <c r="F177" s="82"/>
      <c r="G177" s="132" t="str">
        <v>0.00</v>
      </c>
      <c r="H177" s="132"/>
      <c r="I177" s="132" t="str">
        <v>0.00</v>
      </c>
      <c r="J177" s="132"/>
      <c r="K177" s="132" t="str">
        <v>0.00</v>
      </c>
      <c r="L177" s="132"/>
      <c r="M177" s="132" t="str">
        <v>0.00</v>
      </c>
      <c r="N177" s="132"/>
      <c r="O177" s="132" t="str">
        <v>0.00</v>
      </c>
      <c r="P177" s="132"/>
      <c r="Q177" s="132" t="str">
        <v>0.00</v>
      </c>
      <c r="R177" s="132"/>
      <c r="S177" s="132" t="str">
        <v>未完结</v>
      </c>
      <c r="T177" s="132"/>
      <c r="U177" s="74"/>
      <c r="V177" s="74" t="str">
        <v>群邑（上海）广告有限公司</v>
      </c>
      <c r="W177" s="74" t="str">
        <v>快手</v>
      </c>
      <c r="X177" s="74">
        <v>16907921</v>
      </c>
      <c r="Y177" s="74" t="str">
        <v>磁力金牛</v>
      </c>
      <c r="Z177" s="74"/>
      <c r="AA177" s="74"/>
      <c r="AB177" s="74"/>
      <c r="AC177" s="74" t="str">
        <v>否</v>
      </c>
      <c r="AD177" s="74"/>
      <c r="AE177" s="74"/>
      <c r="AF177" s="74"/>
      <c r="AG177" s="74"/>
      <c r="AH177" s="74" t="str">
        <v>难却（楼俞成达）</v>
      </c>
      <c r="AI177" s="74"/>
      <c r="AJ177" s="74" t="str">
        <v>杭州宜格化妆品有限公司</v>
      </c>
      <c r="AK177" s="74"/>
      <c r="AL177" s="74"/>
      <c r="AM177" s="74"/>
      <c r="AN177" s="74" t="str">
        <v>自投</v>
      </c>
      <c r="AO177" s="131">
        <v>36526</v>
      </c>
      <c r="AP177" s="74" t="str">
        <v>站外</v>
      </c>
      <c r="AQ177" s="74">
        <v>16907921</v>
      </c>
      <c r="AR177" s="74"/>
      <c r="AS177" s="74" t="str">
        <v>花西子官方旗舰店</v>
      </c>
      <c r="AT177" s="74" t="str">
        <v>花西子</v>
      </c>
    </row>
    <row r="178">
      <c r="A178" s="132" t="str">
        <v>031440232478ffcff3f0d6cfb2be0001</v>
      </c>
      <c r="B178" s="132"/>
      <c r="C178" s="132"/>
      <c r="D178" s="132" t="str">
        <v>ycss02;</v>
      </c>
      <c r="E178" s="132"/>
      <c r="F178" s="82"/>
      <c r="G178" s="132" t="str">
        <v>0.00</v>
      </c>
      <c r="H178" s="132"/>
      <c r="I178" s="132" t="str">
        <v>0.00</v>
      </c>
      <c r="J178" s="132"/>
      <c r="K178" s="132" t="str">
        <v>0.00</v>
      </c>
      <c r="L178" s="132"/>
      <c r="M178" s="132" t="str">
        <v>0.00</v>
      </c>
      <c r="N178" s="132"/>
      <c r="O178" s="132" t="str">
        <v>0.00</v>
      </c>
      <c r="P178" s="132"/>
      <c r="Q178" s="132" t="str">
        <v>0.00</v>
      </c>
      <c r="R178" s="132"/>
      <c r="S178" s="132" t="str">
        <v>未完结</v>
      </c>
      <c r="T178" s="132"/>
      <c r="U178" s="74"/>
      <c r="V178" s="74" t="str">
        <v>群邑（上海）广告有限公司</v>
      </c>
      <c r="W178" s="74" t="str">
        <v>快手</v>
      </c>
      <c r="X178" s="74">
        <v>16909145</v>
      </c>
      <c r="Y178" s="74" t="str">
        <v>磁力金牛</v>
      </c>
      <c r="Z178" s="74"/>
      <c r="AA178" s="74"/>
      <c r="AB178" s="74"/>
      <c r="AC178" s="74" t="str">
        <v>否</v>
      </c>
      <c r="AD178" s="74"/>
      <c r="AE178" s="74"/>
      <c r="AF178" s="74"/>
      <c r="AG178" s="74"/>
      <c r="AH178" s="74" t="str">
        <v>难却（楼俞成达）</v>
      </c>
      <c r="AI178" s="74"/>
      <c r="AJ178" s="74" t="str">
        <v>杭州宜格化妆品有限公司</v>
      </c>
      <c r="AK178" s="74"/>
      <c r="AL178" s="74"/>
      <c r="AM178" s="74"/>
      <c r="AN178" s="74" t="str">
        <v>自投</v>
      </c>
      <c r="AO178" s="131">
        <v>36526</v>
      </c>
      <c r="AP178" s="74" t="str">
        <v>站外</v>
      </c>
      <c r="AQ178" s="74">
        <v>16909145</v>
      </c>
      <c r="AR178" s="74"/>
      <c r="AS178" s="74" t="str">
        <v>花西子官方旗舰店-群邑-RSH代投</v>
      </c>
      <c r="AT178" s="74" t="str">
        <v>花西子</v>
      </c>
    </row>
    <row r="179">
      <c r="A179" s="132" t="str">
        <v>031440232578ffcff3f0d6cfb2be0001</v>
      </c>
      <c r="B179" s="132"/>
      <c r="C179" s="132"/>
      <c r="D179" s="132" t="str">
        <v>ycss02;</v>
      </c>
      <c r="E179" s="132"/>
      <c r="F179" s="82"/>
      <c r="G179" s="132" t="str">
        <v>0.00</v>
      </c>
      <c r="H179" s="132"/>
      <c r="I179" s="132" t="str">
        <v>0.00</v>
      </c>
      <c r="J179" s="132"/>
      <c r="K179" s="132" t="str">
        <v>0.00</v>
      </c>
      <c r="L179" s="132"/>
      <c r="M179" s="132" t="str">
        <v>0.00</v>
      </c>
      <c r="N179" s="132"/>
      <c r="O179" s="132" t="str">
        <v>0.00</v>
      </c>
      <c r="P179" s="132"/>
      <c r="Q179" s="132" t="str">
        <v>0.00</v>
      </c>
      <c r="R179" s="132"/>
      <c r="S179" s="132" t="str">
        <v>未完结</v>
      </c>
      <c r="T179" s="132"/>
      <c r="U179" s="74"/>
      <c r="V179" s="74" t="str">
        <v>上海博观瑞思传媒科技有限公司</v>
      </c>
      <c r="W179" s="74" t="str">
        <v>抖音</v>
      </c>
      <c r="X179" s="74" t="str">
        <v>1695557841246222</v>
      </c>
      <c r="Y179" s="74" t="str">
        <v>千川信息流</v>
      </c>
      <c r="Z179" s="74"/>
      <c r="AA179" s="74"/>
      <c r="AB179" s="74"/>
      <c r="AC179" s="74" t="str">
        <v>否</v>
      </c>
      <c r="AD179" s="74"/>
      <c r="AE179" s="74"/>
      <c r="AF179" s="74"/>
      <c r="AG179" s="74"/>
      <c r="AH179" s="74" t="str">
        <v>兴泉（韩兴泉）</v>
      </c>
      <c r="AI179" s="74"/>
      <c r="AJ179" s="74" t="str">
        <v>杭州宜格化妆品有限公司</v>
      </c>
      <c r="AK179" s="74"/>
      <c r="AL179" s="74"/>
      <c r="AM179" s="74"/>
      <c r="AN179" s="74" t="str">
        <v>自投</v>
      </c>
      <c r="AO179" s="131">
        <v>36526</v>
      </c>
      <c r="AP179" s="74" t="str">
        <v>站外</v>
      </c>
      <c r="AQ179" s="74" t="str">
        <v>1695557841246222</v>
      </c>
      <c r="AR179" s="74"/>
      <c r="AS179" s="74" t="str">
        <v>博观-直播-官号1</v>
      </c>
      <c r="AT179" s="74" t="str">
        <v>花西子</v>
      </c>
    </row>
    <row r="180">
      <c r="A180" s="132" t="str">
        <v>031440232668ffcff3f0d6cfb2be0001</v>
      </c>
      <c r="B180" s="132"/>
      <c r="C180" s="132"/>
      <c r="D180" s="132" t="str">
        <v>ycss02;</v>
      </c>
      <c r="E180" s="132"/>
      <c r="F180" s="82"/>
      <c r="G180" s="132" t="str">
        <v>0.00</v>
      </c>
      <c r="H180" s="132"/>
      <c r="I180" s="132" t="str">
        <v>0.00</v>
      </c>
      <c r="J180" s="132"/>
      <c r="K180" s="132" t="str">
        <v>0.00</v>
      </c>
      <c r="L180" s="132"/>
      <c r="M180" s="132" t="str">
        <v>0.00</v>
      </c>
      <c r="N180" s="132"/>
      <c r="O180" s="132" t="str">
        <v>0.00</v>
      </c>
      <c r="P180" s="132"/>
      <c r="Q180" s="132" t="str">
        <v>0.00</v>
      </c>
      <c r="R180" s="132"/>
      <c r="S180" s="132" t="str">
        <v>未完结</v>
      </c>
      <c r="T180" s="132"/>
      <c r="U180" s="74"/>
      <c r="V180" s="74" t="str">
        <v>上海博观瑞思传媒科技有限公司</v>
      </c>
      <c r="W180" s="74" t="str">
        <v>抖音</v>
      </c>
      <c r="X180" s="74" t="str">
        <v>1760222811427847</v>
      </c>
      <c r="Y180" s="74" t="str">
        <v>千川信息流</v>
      </c>
      <c r="Z180" s="74"/>
      <c r="AA180" s="74"/>
      <c r="AB180" s="74"/>
      <c r="AC180" s="74" t="str">
        <v>否</v>
      </c>
      <c r="AD180" s="74"/>
      <c r="AE180" s="74"/>
      <c r="AF180" s="74"/>
      <c r="AG180" s="74"/>
      <c r="AH180" s="74" t="str">
        <v>兴泉（韩兴泉）</v>
      </c>
      <c r="AI180" s="74"/>
      <c r="AJ180" s="74" t="str">
        <v>杭州宜格化妆品有限公司</v>
      </c>
      <c r="AK180" s="74"/>
      <c r="AL180" s="74"/>
      <c r="AM180" s="74"/>
      <c r="AN180" s="74" t="str">
        <v>自投</v>
      </c>
      <c r="AO180" s="131">
        <v>36526</v>
      </c>
      <c r="AP180" s="74" t="str">
        <v>站外</v>
      </c>
      <c r="AQ180" s="74" t="str">
        <v>1760222811427847</v>
      </c>
      <c r="AR180" s="74"/>
      <c r="AS180" s="74" t="str">
        <v>博观-图文1-引流</v>
      </c>
      <c r="AT180" s="74" t="str">
        <v>花西子</v>
      </c>
    </row>
    <row r="181">
      <c r="A181" s="132" t="str">
        <v>031440232768ffcff3f0d6cfb2be0001</v>
      </c>
      <c r="B181" s="132"/>
      <c r="C181" s="132"/>
      <c r="D181" s="132" t="str">
        <v>ycss02;</v>
      </c>
      <c r="E181" s="132"/>
      <c r="F181" s="82"/>
      <c r="G181" s="132" t="str">
        <v>0.00</v>
      </c>
      <c r="H181" s="132"/>
      <c r="I181" s="132" t="str">
        <v>0.00</v>
      </c>
      <c r="J181" s="132"/>
      <c r="K181" s="132" t="str">
        <v>0.00</v>
      </c>
      <c r="L181" s="132"/>
      <c r="M181" s="132" t="str">
        <v>0.00</v>
      </c>
      <c r="N181" s="132"/>
      <c r="O181" s="132" t="str">
        <v>0.00</v>
      </c>
      <c r="P181" s="132"/>
      <c r="Q181" s="132" t="str">
        <v>0.00</v>
      </c>
      <c r="R181" s="132"/>
      <c r="S181" s="132" t="str">
        <v>未完结</v>
      </c>
      <c r="T181" s="132"/>
      <c r="U181" s="74"/>
      <c r="V181" s="74" t="str">
        <v>知定堂文化传媒（上海）有限公司</v>
      </c>
      <c r="W181" s="74" t="str">
        <v>抖音</v>
      </c>
      <c r="X181" s="74" t="str">
        <v>1761146745368653</v>
      </c>
      <c r="Y181" s="74" t="str">
        <v>千川信息流</v>
      </c>
      <c r="Z181" s="74"/>
      <c r="AA181" s="74"/>
      <c r="AB181" s="74"/>
      <c r="AC181" s="74" t="str">
        <v>否</v>
      </c>
      <c r="AD181" s="74"/>
      <c r="AE181" s="74"/>
      <c r="AF181" s="74"/>
      <c r="AG181" s="74"/>
      <c r="AH181" s="74" t="str">
        <v>兴泉（韩兴泉）</v>
      </c>
      <c r="AI181" s="74"/>
      <c r="AJ181" s="74" t="str">
        <v>杭州宜格化妆品有限公司</v>
      </c>
      <c r="AK181" s="74"/>
      <c r="AL181" s="74"/>
      <c r="AM181" s="74"/>
      <c r="AN181" s="74" t="str">
        <v>自投</v>
      </c>
      <c r="AO181" s="131">
        <v>36526</v>
      </c>
      <c r="AP181" s="74" t="str">
        <v>站外</v>
      </c>
      <c r="AQ181" s="74" t="str">
        <v>1761146745368653</v>
      </c>
      <c r="AR181" s="74"/>
      <c r="AS181" s="74" t="str">
        <v>知定堂-图文1-引流</v>
      </c>
      <c r="AT181" s="74" t="str">
        <v>花西子</v>
      </c>
    </row>
    <row r="182">
      <c r="A182" s="132" t="str">
        <v>031440232858ffcff3f0d6cfb2be0001</v>
      </c>
      <c r="B182" s="132"/>
      <c r="C182" s="132"/>
      <c r="D182" s="132" t="str">
        <v>ycss02;</v>
      </c>
      <c r="E182" s="132"/>
      <c r="F182" s="82"/>
      <c r="G182" s="132" t="str">
        <v>0.00</v>
      </c>
      <c r="H182" s="132"/>
      <c r="I182" s="132" t="str">
        <v>0.00</v>
      </c>
      <c r="J182" s="132"/>
      <c r="K182" s="132" t="str">
        <v>0.00</v>
      </c>
      <c r="L182" s="132"/>
      <c r="M182" s="132" t="str">
        <v>0.00</v>
      </c>
      <c r="N182" s="132"/>
      <c r="O182" s="132" t="str">
        <v>0.00</v>
      </c>
      <c r="P182" s="132"/>
      <c r="Q182" s="132" t="str">
        <v>0.00</v>
      </c>
      <c r="R182" s="132"/>
      <c r="S182" s="132" t="str">
        <v>未完结</v>
      </c>
      <c r="T182" s="132"/>
      <c r="U182" s="74"/>
      <c r="V182" s="74" t="str">
        <v>湖北巨量引擎科技有限公司</v>
      </c>
      <c r="W182" s="74" t="str">
        <v>抖音</v>
      </c>
      <c r="X182" s="74" t="str">
        <v>1695646517812232</v>
      </c>
      <c r="Y182" s="74" t="str">
        <v>千川信息流</v>
      </c>
      <c r="Z182" s="74"/>
      <c r="AA182" s="74"/>
      <c r="AB182" s="74"/>
      <c r="AC182" s="74" t="str">
        <v>否</v>
      </c>
      <c r="AD182" s="74"/>
      <c r="AE182" s="74"/>
      <c r="AF182" s="74"/>
      <c r="AG182" s="74"/>
      <c r="AH182" s="74" t="str">
        <v>兴泉（韩兴泉）</v>
      </c>
      <c r="AI182" s="74"/>
      <c r="AJ182" s="74" t="str">
        <v>杭州宜格化妆品有限公司</v>
      </c>
      <c r="AK182" s="74"/>
      <c r="AL182" s="74"/>
      <c r="AM182" s="74"/>
      <c r="AN182" s="74" t="str">
        <v>自投</v>
      </c>
      <c r="AO182" s="131">
        <v>36526</v>
      </c>
      <c r="AP182" s="74" t="str">
        <v>站外</v>
      </c>
      <c r="AQ182" s="74" t="str">
        <v>1695646517812232</v>
      </c>
      <c r="AR182" s="74"/>
      <c r="AS182" s="74" t="str">
        <v>花西子-小店随心推</v>
      </c>
      <c r="AT182" s="74" t="str">
        <v>花西子</v>
      </c>
    </row>
    <row r="183">
      <c r="A183" s="132" t="str">
        <v>031440232958ffcff3f0d6cfb2be0001</v>
      </c>
      <c r="B183" s="132"/>
      <c r="C183" s="132"/>
      <c r="D183" s="132" t="str">
        <v>ycss02;</v>
      </c>
      <c r="E183" s="132"/>
      <c r="F183" s="82"/>
      <c r="G183" s="132" t="str">
        <v>0.00</v>
      </c>
      <c r="H183" s="132"/>
      <c r="I183" s="132" t="str">
        <v>0.00</v>
      </c>
      <c r="J183" s="132"/>
      <c r="K183" s="132" t="str">
        <v>0.00</v>
      </c>
      <c r="L183" s="132"/>
      <c r="M183" s="132" t="str">
        <v>0.00</v>
      </c>
      <c r="N183" s="132"/>
      <c r="O183" s="132" t="str">
        <v>0.00</v>
      </c>
      <c r="P183" s="132"/>
      <c r="Q183" s="132" t="str">
        <v>0.00</v>
      </c>
      <c r="R183" s="132"/>
      <c r="S183" s="132" t="str">
        <v>未完结</v>
      </c>
      <c r="T183" s="132"/>
      <c r="U183" s="74"/>
      <c r="V183" s="74" t="str">
        <v>上海博观瑞思传媒科技有限公司</v>
      </c>
      <c r="W183" s="74" t="str">
        <v>抖音</v>
      </c>
      <c r="X183" s="74" t="str">
        <v>1760519144208525</v>
      </c>
      <c r="Y183" s="74" t="str">
        <v>矩阵号千川信息流</v>
      </c>
      <c r="Z183" s="74"/>
      <c r="AA183" s="74"/>
      <c r="AB183" s="74"/>
      <c r="AC183" s="74" t="str">
        <v>否</v>
      </c>
      <c r="AD183" s="74"/>
      <c r="AE183" s="74"/>
      <c r="AF183" s="74"/>
      <c r="AG183" s="74"/>
      <c r="AH183" s="74" t="str">
        <v>兴泉（韩兴泉）</v>
      </c>
      <c r="AI183" s="74"/>
      <c r="AJ183" s="74" t="str">
        <v>杭州宜格化妆品有限公司</v>
      </c>
      <c r="AK183" s="74"/>
      <c r="AL183" s="74"/>
      <c r="AM183" s="74"/>
      <c r="AN183" s="74" t="str">
        <v>自投</v>
      </c>
      <c r="AO183" s="131">
        <v>36526</v>
      </c>
      <c r="AP183" s="74" t="str">
        <v>站外</v>
      </c>
      <c r="AQ183" s="74" t="str">
        <v>1760519144208525</v>
      </c>
      <c r="AR183" s="74"/>
      <c r="AS183" s="74" t="str">
        <v>博观-花西子-千川-4</v>
      </c>
      <c r="AT183" s="74" t="str">
        <v>花西子</v>
      </c>
    </row>
    <row r="184">
      <c r="A184" s="132" t="str">
        <v>031440232b68ffcff3f0d6cfb2be0001</v>
      </c>
      <c r="B184" s="132"/>
      <c r="C184" s="132"/>
      <c r="D184" s="132" t="str">
        <v>ycss02;</v>
      </c>
      <c r="E184" s="132"/>
      <c r="F184" s="82"/>
      <c r="G184" s="132" t="str">
        <v>0.00</v>
      </c>
      <c r="H184" s="132"/>
      <c r="I184" s="132" t="str">
        <v>0.00</v>
      </c>
      <c r="J184" s="132"/>
      <c r="K184" s="132" t="str">
        <v>0.00</v>
      </c>
      <c r="L184" s="132"/>
      <c r="M184" s="132" t="str">
        <v>0.00</v>
      </c>
      <c r="N184" s="132"/>
      <c r="O184" s="132" t="str">
        <v>0.00</v>
      </c>
      <c r="P184" s="132"/>
      <c r="Q184" s="132" t="str">
        <v>0.00</v>
      </c>
      <c r="R184" s="132"/>
      <c r="S184" s="132" t="str">
        <v>未完结</v>
      </c>
      <c r="T184" s="132"/>
      <c r="U184" s="74"/>
      <c r="V184" s="74" t="str">
        <v>上海聚胜万合广告有限公司</v>
      </c>
      <c r="W184" s="74" t="str">
        <v>抖音</v>
      </c>
      <c r="X184" s="74" t="str">
        <v>1761595756097614</v>
      </c>
      <c r="Y184" s="74" t="str">
        <v>AD信息流</v>
      </c>
      <c r="Z184" s="74"/>
      <c r="AA184" s="74" t="str">
        <v>否</v>
      </c>
      <c r="AB184" s="74" t="str">
        <v>否</v>
      </c>
      <c r="AC184" s="74" t="str">
        <v>否</v>
      </c>
      <c r="AD184" s="74"/>
      <c r="AE184" s="74"/>
      <c r="AF184" s="74"/>
      <c r="AG184" s="74"/>
      <c r="AH184" s="74" t="str">
        <v>志文（罗志文）</v>
      </c>
      <c r="AI184" s="74"/>
      <c r="AJ184" s="74" t="str">
        <v>杭州宜格化妆品有限公司</v>
      </c>
      <c r="AK184" s="74"/>
      <c r="AL184" s="74"/>
      <c r="AM184" s="74"/>
      <c r="AN184" s="74" t="str">
        <v>自投</v>
      </c>
      <c r="AO184" s="131">
        <v>36526</v>
      </c>
      <c r="AP184" s="74" t="str">
        <v>站外</v>
      </c>
      <c r="AQ184" s="74" t="str">
        <v>1761595756097614</v>
      </c>
      <c r="AR184" s="74"/>
      <c r="AS184" s="74" t="str">
        <v>聚合定妆-杭州宜格CID-3有色粉饼</v>
      </c>
      <c r="AT184" s="74" t="str">
        <v>花西子</v>
      </c>
    </row>
    <row r="185">
      <c r="A185" s="132" t="str">
        <v>031440232c68ffcff3f0d6cfb2be0001</v>
      </c>
      <c r="B185" s="132"/>
      <c r="C185" s="132"/>
      <c r="D185" s="132" t="str">
        <v>ycss02;</v>
      </c>
      <c r="E185" s="132"/>
      <c r="F185" s="82"/>
      <c r="G185" s="132" t="str">
        <v>0.00</v>
      </c>
      <c r="H185" s="132"/>
      <c r="I185" s="132" t="str">
        <v>0.00</v>
      </c>
      <c r="J185" s="132"/>
      <c r="K185" s="132" t="str">
        <v>0.00</v>
      </c>
      <c r="L185" s="132"/>
      <c r="M185" s="132" t="str">
        <v>0.00</v>
      </c>
      <c r="N185" s="132"/>
      <c r="O185" s="132" t="str">
        <v>0.00</v>
      </c>
      <c r="P185" s="132"/>
      <c r="Q185" s="132" t="str">
        <v>0.00</v>
      </c>
      <c r="R185" s="132"/>
      <c r="S185" s="132" t="str">
        <v>未完结</v>
      </c>
      <c r="T185" s="132"/>
      <c r="U185" s="74"/>
      <c r="V185" s="74" t="str">
        <v>上海聚胜万合广告有限公司</v>
      </c>
      <c r="W185" s="74" t="str">
        <v>抖音</v>
      </c>
      <c r="X185" s="74" t="str">
        <v>1761595755440142</v>
      </c>
      <c r="Y185" s="74" t="str">
        <v>AD信息流</v>
      </c>
      <c r="Z185" s="74"/>
      <c r="AA185" s="74" t="str">
        <v>否</v>
      </c>
      <c r="AB185" s="74" t="str">
        <v>否</v>
      </c>
      <c r="AC185" s="74" t="str">
        <v>否</v>
      </c>
      <c r="AD185" s="74"/>
      <c r="AE185" s="74"/>
      <c r="AF185" s="74"/>
      <c r="AG185" s="74"/>
      <c r="AH185" s="74" t="str">
        <v>志文（罗志文）</v>
      </c>
      <c r="AI185" s="74"/>
      <c r="AJ185" s="74" t="str">
        <v>杭州宜格化妆品有限公司</v>
      </c>
      <c r="AK185" s="74"/>
      <c r="AL185" s="74"/>
      <c r="AM185" s="74"/>
      <c r="AN185" s="74" t="str">
        <v>自投</v>
      </c>
      <c r="AO185" s="131">
        <v>36526</v>
      </c>
      <c r="AP185" s="74" t="str">
        <v>站外</v>
      </c>
      <c r="AQ185" s="74" t="str">
        <v>1761595755440142</v>
      </c>
      <c r="AR185" s="74"/>
      <c r="AS185" s="74" t="str">
        <v>聚合定妆-杭州宜格CID-2玉养蜜粉</v>
      </c>
      <c r="AT185" s="74" t="str">
        <v>花西子</v>
      </c>
    </row>
    <row r="186">
      <c r="A186" s="132" t="str">
        <v>031440232d68ffcff3f0d6cfb2be0001</v>
      </c>
      <c r="B186" s="132"/>
      <c r="C186" s="132"/>
      <c r="D186" s="132" t="str">
        <v>ycss02;</v>
      </c>
      <c r="E186" s="132"/>
      <c r="F186" s="82"/>
      <c r="G186" s="132" t="str">
        <v>0.00</v>
      </c>
      <c r="H186" s="132"/>
      <c r="I186" s="132" t="str">
        <v>0.00</v>
      </c>
      <c r="J186" s="132"/>
      <c r="K186" s="132" t="str">
        <v>0.00</v>
      </c>
      <c r="L186" s="132"/>
      <c r="M186" s="132" t="str">
        <v>0.00</v>
      </c>
      <c r="N186" s="132"/>
      <c r="O186" s="132" t="str">
        <v>0.00</v>
      </c>
      <c r="P186" s="132"/>
      <c r="Q186" s="132" t="str">
        <v>0.00</v>
      </c>
      <c r="R186" s="132"/>
      <c r="S186" s="132" t="str">
        <v>未完结</v>
      </c>
      <c r="T186" s="132"/>
      <c r="U186" s="74"/>
      <c r="V186" s="74" t="str">
        <v>上海聚胜万合广告有限公司</v>
      </c>
      <c r="W186" s="74" t="str">
        <v>抖音</v>
      </c>
      <c r="X186" s="74" t="str">
        <v>1761595754924045</v>
      </c>
      <c r="Y186" s="74" t="str">
        <v>AD信息流</v>
      </c>
      <c r="Z186" s="74"/>
      <c r="AA186" s="74" t="str">
        <v>否</v>
      </c>
      <c r="AB186" s="74" t="str">
        <v>否</v>
      </c>
      <c r="AC186" s="74" t="str">
        <v>否</v>
      </c>
      <c r="AD186" s="74"/>
      <c r="AE186" s="74"/>
      <c r="AF186" s="74"/>
      <c r="AG186" s="74"/>
      <c r="AH186" s="74" t="str">
        <v>志文（罗志文）</v>
      </c>
      <c r="AI186" s="74"/>
      <c r="AJ186" s="74" t="str">
        <v>杭州宜格化妆品有限公司</v>
      </c>
      <c r="AK186" s="74"/>
      <c r="AL186" s="74"/>
      <c r="AM186" s="74"/>
      <c r="AN186" s="74" t="str">
        <v>自投</v>
      </c>
      <c r="AO186" s="131">
        <v>36526</v>
      </c>
      <c r="AP186" s="74" t="str">
        <v>站外</v>
      </c>
      <c r="AQ186" s="74" t="str">
        <v>1761595754924045</v>
      </c>
      <c r="AR186" s="74"/>
      <c r="AS186" s="74" t="str">
        <v>聚合定妆-杭州宜格CID-1私模蜜粉</v>
      </c>
      <c r="AT186" s="74" t="str">
        <v>花西子</v>
      </c>
    </row>
    <row r="187">
      <c r="A187" s="132" t="str">
        <v>031440232e58ffcff3f0d6cfb2be0001</v>
      </c>
      <c r="B187" s="132"/>
      <c r="C187" s="132"/>
      <c r="D187" s="132" t="str">
        <v>ycss02;</v>
      </c>
      <c r="E187" s="132"/>
      <c r="F187" s="82"/>
      <c r="G187" s="132" t="str">
        <v>0.00</v>
      </c>
      <c r="H187" s="132"/>
      <c r="I187" s="132" t="str">
        <v>0.00</v>
      </c>
      <c r="J187" s="132"/>
      <c r="K187" s="132" t="str">
        <v>0.00</v>
      </c>
      <c r="L187" s="132"/>
      <c r="M187" s="132" t="str">
        <v>0.00</v>
      </c>
      <c r="N187" s="132"/>
      <c r="O187" s="132" t="str">
        <v>0.00</v>
      </c>
      <c r="P187" s="132"/>
      <c r="Q187" s="132" t="str">
        <v>0.00</v>
      </c>
      <c r="R187" s="132"/>
      <c r="S187" s="132" t="str">
        <v>未完结</v>
      </c>
      <c r="T187" s="132"/>
      <c r="U187" s="74"/>
      <c r="V187" s="74" t="str">
        <v>上海聚胜万合广告有限公司</v>
      </c>
      <c r="W187" s="74" t="str">
        <v>抖音</v>
      </c>
      <c r="X187" s="74" t="str">
        <v>1761595756647431</v>
      </c>
      <c r="Y187" s="74" t="str">
        <v>AD信息流</v>
      </c>
      <c r="Z187" s="74"/>
      <c r="AA187" s="74" t="str">
        <v>否</v>
      </c>
      <c r="AB187" s="74" t="str">
        <v>否</v>
      </c>
      <c r="AC187" s="74" t="str">
        <v>否</v>
      </c>
      <c r="AD187" s="74"/>
      <c r="AE187" s="74"/>
      <c r="AF187" s="74"/>
      <c r="AG187" s="74"/>
      <c r="AH187" s="74" t="str">
        <v>志文（罗志文）</v>
      </c>
      <c r="AI187" s="74"/>
      <c r="AJ187" s="74" t="str">
        <v>杭州宜格化妆品有限公司</v>
      </c>
      <c r="AK187" s="74"/>
      <c r="AL187" s="74"/>
      <c r="AM187" s="74"/>
      <c r="AN187" s="74" t="str">
        <v>自投</v>
      </c>
      <c r="AO187" s="131">
        <v>36526</v>
      </c>
      <c r="AP187" s="74" t="str">
        <v>站外</v>
      </c>
      <c r="AQ187" s="74" t="str">
        <v>1761595756647431</v>
      </c>
      <c r="AR187" s="74"/>
      <c r="AS187" s="74" t="str">
        <v>聚合定妆-杭州宜格CID-5私模蜜粉</v>
      </c>
      <c r="AT187" s="74" t="str">
        <v>花西子</v>
      </c>
    </row>
    <row r="188">
      <c r="A188" s="132" t="str">
        <v>031440232f88ffcff3f0d6cfb2be0001</v>
      </c>
      <c r="B188" s="132"/>
      <c r="C188" s="132"/>
      <c r="D188" s="132" t="str">
        <v>ycss02;</v>
      </c>
      <c r="E188" s="132"/>
      <c r="F188" s="82"/>
      <c r="G188" s="132" t="str">
        <v>0.00</v>
      </c>
      <c r="H188" s="132"/>
      <c r="I188" s="132" t="str">
        <v>0.00</v>
      </c>
      <c r="J188" s="132"/>
      <c r="K188" s="132" t="str">
        <v>0.00</v>
      </c>
      <c r="L188" s="132"/>
      <c r="M188" s="132" t="str">
        <v>0.00</v>
      </c>
      <c r="N188" s="132"/>
      <c r="O188" s="132" t="str">
        <v>0.00</v>
      </c>
      <c r="P188" s="132"/>
      <c r="Q188" s="132" t="str">
        <v>0.00</v>
      </c>
      <c r="R188" s="132"/>
      <c r="S188" s="132" t="str">
        <v>未完结</v>
      </c>
      <c r="T188" s="132"/>
      <c r="U188" s="74"/>
      <c r="V188" s="74" t="str">
        <v>上海聚胜万合广告有限公司</v>
      </c>
      <c r="W188" s="74" t="str">
        <v>抖音</v>
      </c>
      <c r="X188" s="74" t="str">
        <v>1761595754386509</v>
      </c>
      <c r="Y188" s="74" t="str">
        <v>AD信息流</v>
      </c>
      <c r="Z188" s="74"/>
      <c r="AA188" s="74" t="str">
        <v>否</v>
      </c>
      <c r="AB188" s="74" t="str">
        <v>否</v>
      </c>
      <c r="AC188" s="74" t="str">
        <v>否</v>
      </c>
      <c r="AD188" s="74"/>
      <c r="AE188" s="74"/>
      <c r="AF188" s="74"/>
      <c r="AG188" s="74"/>
      <c r="AH188" s="74" t="str">
        <v>志文（罗志文）</v>
      </c>
      <c r="AI188" s="74"/>
      <c r="AJ188" s="74" t="str">
        <v>杭州宜格化妆品有限公司</v>
      </c>
      <c r="AK188" s="74"/>
      <c r="AL188" s="74"/>
      <c r="AM188" s="74"/>
      <c r="AN188" s="74" t="str">
        <v>自投</v>
      </c>
      <c r="AO188" s="131">
        <v>36526</v>
      </c>
      <c r="AP188" s="74" t="str">
        <v>站外</v>
      </c>
      <c r="AQ188" s="74" t="str">
        <v>1761595754386509</v>
      </c>
      <c r="AR188" s="74"/>
      <c r="AS188" s="74" t="str">
        <v>聚合定妆-杭州宜格CID-4玉养蜜粉</v>
      </c>
      <c r="AT188" s="74" t="str">
        <v>花西子</v>
      </c>
    </row>
    <row r="189">
      <c r="A189" s="132" t="str">
        <v>031440233078ffcff3f0d6cfb2be0001</v>
      </c>
      <c r="B189" s="132"/>
      <c r="C189" s="132"/>
      <c r="D189" s="132" t="str">
        <v>ycss02;</v>
      </c>
      <c r="E189" s="132"/>
      <c r="F189" s="82"/>
      <c r="G189" s="132" t="str">
        <v>0.00</v>
      </c>
      <c r="H189" s="132"/>
      <c r="I189" s="132" t="str">
        <v>0.00</v>
      </c>
      <c r="J189" s="132"/>
      <c r="K189" s="132" t="str">
        <v>0.00</v>
      </c>
      <c r="L189" s="132"/>
      <c r="M189" s="132" t="str">
        <v>0.00</v>
      </c>
      <c r="N189" s="132"/>
      <c r="O189" s="132" t="str">
        <v>0.00</v>
      </c>
      <c r="P189" s="132"/>
      <c r="Q189" s="132" t="str">
        <v>0.00</v>
      </c>
      <c r="R189" s="132"/>
      <c r="S189" s="132" t="str">
        <v>未完结</v>
      </c>
      <c r="T189" s="132"/>
      <c r="U189" s="74"/>
      <c r="V189" s="74" t="str">
        <v>上海聚胜万合广告有限公司</v>
      </c>
      <c r="W189" s="74" t="str">
        <v>抖音</v>
      </c>
      <c r="X189" s="74" t="str">
        <v>1761236891646989</v>
      </c>
      <c r="Y189" s="74" t="str">
        <v>AD信息流</v>
      </c>
      <c r="Z189" s="74"/>
      <c r="AA189" s="74" t="str">
        <v>否</v>
      </c>
      <c r="AB189" s="74" t="str">
        <v>否</v>
      </c>
      <c r="AC189" s="74" t="str">
        <v>否</v>
      </c>
      <c r="AD189" s="74"/>
      <c r="AE189" s="74"/>
      <c r="AF189" s="74"/>
      <c r="AG189" s="74"/>
      <c r="AH189" s="74" t="str">
        <v>志文（罗志文）</v>
      </c>
      <c r="AI189" s="74"/>
      <c r="AJ189" s="74" t="str">
        <v>杭州宜格化妆品有限公司</v>
      </c>
      <c r="AK189" s="74"/>
      <c r="AL189" s="74"/>
      <c r="AM189" s="74"/>
      <c r="AN189" s="74" t="str">
        <v>自投</v>
      </c>
      <c r="AO189" s="131">
        <v>36526</v>
      </c>
      <c r="AP189" s="74" t="str">
        <v>站外</v>
      </c>
      <c r="AQ189" s="74" t="str">
        <v>1761236891646989</v>
      </c>
      <c r="AR189" s="74"/>
      <c r="AS189" s="74" t="str">
        <v>杭州宜格化妆品有限公司-Mediav-备款户</v>
      </c>
      <c r="AT189" s="74" t="str">
        <v>花西子</v>
      </c>
    </row>
    <row r="190">
      <c r="A190" s="132" t="str">
        <v>031440233178ffcff3f0d6cfb2be0001</v>
      </c>
      <c r="B190" s="132"/>
      <c r="C190" s="132"/>
      <c r="D190" s="132" t="str">
        <v>ycss02;</v>
      </c>
      <c r="E190" s="132"/>
      <c r="F190" s="82"/>
      <c r="G190" s="132" t="str">
        <v>0.00</v>
      </c>
      <c r="H190" s="132"/>
      <c r="I190" s="132" t="str">
        <v>0.00</v>
      </c>
      <c r="J190" s="132"/>
      <c r="K190" s="132" t="str">
        <v>0.00</v>
      </c>
      <c r="L190" s="132"/>
      <c r="M190" s="132" t="str">
        <v>0.00</v>
      </c>
      <c r="N190" s="132"/>
      <c r="O190" s="132" t="str">
        <v>0.00</v>
      </c>
      <c r="P190" s="132"/>
      <c r="Q190" s="132" t="str">
        <v>0.00</v>
      </c>
      <c r="R190" s="132"/>
      <c r="S190" s="132" t="str">
        <v>未完结</v>
      </c>
      <c r="T190" s="132"/>
      <c r="U190" s="74"/>
      <c r="V190" s="74" t="str">
        <v>上海剧星传媒股份有限公司</v>
      </c>
      <c r="W190" s="74" t="str">
        <v>抖音</v>
      </c>
      <c r="X190" s="74">
        <v>1493959</v>
      </c>
      <c r="Y190" s="74" t="str">
        <v>UD信息流</v>
      </c>
      <c r="Z190" s="74"/>
      <c r="AA190" s="74" t="str">
        <v>否</v>
      </c>
      <c r="AB190" s="74" t="str">
        <v>否</v>
      </c>
      <c r="AC190" s="74" t="str">
        <v>否</v>
      </c>
      <c r="AD190" s="74"/>
      <c r="AE190" s="74"/>
      <c r="AF190" s="74"/>
      <c r="AG190" s="74"/>
      <c r="AH190" s="74" t="str">
        <v>志文（罗志文）</v>
      </c>
      <c r="AI190" s="74"/>
      <c r="AJ190" s="74" t="str">
        <v>杭州宜格化妆品有限公司</v>
      </c>
      <c r="AK190" s="74"/>
      <c r="AL190" s="74"/>
      <c r="AM190" s="74"/>
      <c r="AN190" s="74" t="str">
        <v>自投</v>
      </c>
      <c r="AO190" s="131">
        <v>36526</v>
      </c>
      <c r="AP190" s="74" t="str">
        <v>站外</v>
      </c>
      <c r="AQ190" s="74">
        <v>1493959</v>
      </c>
      <c r="AR190" s="74"/>
      <c r="AS190" s="74" t="str">
        <v>花西子UD2023-01</v>
      </c>
      <c r="AT190" s="74" t="str">
        <v>花西子</v>
      </c>
    </row>
    <row r="191">
      <c r="A191" s="132" t="str">
        <v>031440233368ffcff3f0d6cfb2be0001</v>
      </c>
      <c r="B191" s="132"/>
      <c r="C191" s="132"/>
      <c r="D191" s="132" t="str">
        <v>ycss02;</v>
      </c>
      <c r="E191" s="132"/>
      <c r="F191" s="82"/>
      <c r="G191" s="132" t="str">
        <v>0.00</v>
      </c>
      <c r="H191" s="132"/>
      <c r="I191" s="132" t="str">
        <v>0.00</v>
      </c>
      <c r="J191" s="132"/>
      <c r="K191" s="132" t="str">
        <v>0.00</v>
      </c>
      <c r="L191" s="132"/>
      <c r="M191" s="132" t="str">
        <v>0.00</v>
      </c>
      <c r="N191" s="132"/>
      <c r="O191" s="132" t="str">
        <v>0.00</v>
      </c>
      <c r="P191" s="132"/>
      <c r="Q191" s="132" t="str">
        <v>0.00</v>
      </c>
      <c r="R191" s="132"/>
      <c r="S191" s="132" t="str">
        <v>未完结</v>
      </c>
      <c r="T191" s="132"/>
      <c r="U191" s="74"/>
      <c r="V191" s="74" t="str">
        <v>深圳市新广数字科技有限公司</v>
      </c>
      <c r="W191" s="74" t="str">
        <v>微信</v>
      </c>
      <c r="X191" s="74">
        <v>30385115</v>
      </c>
      <c r="Y191" s="74" t="str">
        <v>微信-ADQ推广</v>
      </c>
      <c r="Z191" s="74"/>
      <c r="AA191" s="74"/>
      <c r="AB191" s="74"/>
      <c r="AC191" s="74" t="str">
        <v>否</v>
      </c>
      <c r="AD191" s="74"/>
      <c r="AE191" s="74"/>
      <c r="AF191" s="74"/>
      <c r="AG191" s="74"/>
      <c r="AH191" s="74"/>
      <c r="AI191" s="74"/>
      <c r="AJ191" s="74" t="str">
        <v>杭州宜格化妆品有限公司</v>
      </c>
      <c r="AK191" s="74"/>
      <c r="AL191" s="74"/>
      <c r="AM191" s="74"/>
      <c r="AN191" s="74" t="str">
        <v>自投</v>
      </c>
      <c r="AO191" s="131">
        <v>36526</v>
      </c>
      <c r="AP191" s="74" t="str">
        <v>站外</v>
      </c>
      <c r="AQ191" s="74">
        <v>30385115</v>
      </c>
      <c r="AR191" s="74"/>
      <c r="AS191" s="74" t="str">
        <v>杭州宜格化妆品有限公司</v>
      </c>
      <c r="AT191" s="74" t="str">
        <v>花西子</v>
      </c>
    </row>
    <row r="192">
      <c r="A192" s="132" t="str">
        <v>031440233468ffcff3f0d6cfb2be0001</v>
      </c>
      <c r="B192" s="132"/>
      <c r="C192" s="132"/>
      <c r="D192" s="132" t="str">
        <v>ycss02;</v>
      </c>
      <c r="E192" s="132"/>
      <c r="F192" s="82"/>
      <c r="G192" s="132" t="str">
        <v>0.00</v>
      </c>
      <c r="H192" s="132"/>
      <c r="I192" s="132" t="str">
        <v>0.00</v>
      </c>
      <c r="J192" s="132"/>
      <c r="K192" s="132" t="str">
        <v>0.00</v>
      </c>
      <c r="L192" s="132"/>
      <c r="M192" s="132" t="str">
        <v>0.00</v>
      </c>
      <c r="N192" s="132"/>
      <c r="O192" s="132" t="str">
        <v>0.00</v>
      </c>
      <c r="P192" s="132"/>
      <c r="Q192" s="132" t="str">
        <v>0.00</v>
      </c>
      <c r="R192" s="132"/>
      <c r="S192" s="132" t="str">
        <v>未完结</v>
      </c>
      <c r="T192" s="132"/>
      <c r="U192" s="74"/>
      <c r="V192" s="74" t="str">
        <v>深圳市新广数字科技有限公司</v>
      </c>
      <c r="W192" s="74" t="str">
        <v>微信</v>
      </c>
      <c r="X192" s="74">
        <v>29658645</v>
      </c>
      <c r="Y192" s="74" t="str">
        <v>微信-ADQ推广</v>
      </c>
      <c r="Z192" s="74"/>
      <c r="AA192" s="74"/>
      <c r="AB192" s="74"/>
      <c r="AC192" s="74" t="str">
        <v>否</v>
      </c>
      <c r="AD192" s="74"/>
      <c r="AE192" s="74"/>
      <c r="AF192" s="74"/>
      <c r="AG192" s="74"/>
      <c r="AH192" s="74"/>
      <c r="AI192" s="74"/>
      <c r="AJ192" s="74" t="str">
        <v>杭州宜格化妆品有限公司</v>
      </c>
      <c r="AK192" s="74"/>
      <c r="AL192" s="74"/>
      <c r="AM192" s="74"/>
      <c r="AN192" s="74" t="str">
        <v>自投</v>
      </c>
      <c r="AO192" s="131">
        <v>36526</v>
      </c>
      <c r="AP192" s="74" t="str">
        <v>站外</v>
      </c>
      <c r="AQ192" s="74">
        <v>29658645</v>
      </c>
      <c r="AR192" s="74"/>
      <c r="AS192" s="74" t="str">
        <v>杭州花凝香生物科技有限公司</v>
      </c>
      <c r="AT192" s="74" t="str">
        <v>花西子</v>
      </c>
    </row>
    <row r="193">
      <c r="A193" s="132" t="str">
        <v>031440233558ffcff3f0d6cfb2be0001</v>
      </c>
      <c r="B193" s="132"/>
      <c r="C193" s="132"/>
      <c r="D193" s="132" t="str">
        <v>ycss02;</v>
      </c>
      <c r="E193" s="132"/>
      <c r="F193" s="82"/>
      <c r="G193" s="132" t="str">
        <v>0.00</v>
      </c>
      <c r="H193" s="132"/>
      <c r="I193" s="132" t="str">
        <v>0.00</v>
      </c>
      <c r="J193" s="132"/>
      <c r="K193" s="132" t="str">
        <v>0.00</v>
      </c>
      <c r="L193" s="132"/>
      <c r="M193" s="132" t="str">
        <v>0.00</v>
      </c>
      <c r="N193" s="132"/>
      <c r="O193" s="132" t="str">
        <v>0.00</v>
      </c>
      <c r="P193" s="132"/>
      <c r="Q193" s="132" t="str">
        <v>0.00</v>
      </c>
      <c r="R193" s="132"/>
      <c r="S193" s="132" t="str">
        <v>未完结</v>
      </c>
      <c r="T193" s="132"/>
      <c r="U193" s="74"/>
      <c r="V193" s="74" t="str">
        <v>杭州羽联信息科技有限公司</v>
      </c>
      <c r="W193" s="74" t="str">
        <v>B站</v>
      </c>
      <c r="X193" s="74" t="str">
        <v>火烧云3户</v>
      </c>
      <c r="Y193" s="74" t="str">
        <v>B站起飞加热</v>
      </c>
      <c r="Z193" s="74"/>
      <c r="AA193" s="74"/>
      <c r="AB193" s="74"/>
      <c r="AC193" s="74" t="str">
        <v>否</v>
      </c>
      <c r="AD193" s="74"/>
      <c r="AE193" s="74"/>
      <c r="AF193" s="74"/>
      <c r="AG193" s="74"/>
      <c r="AH193" s="74" t="str">
        <v>一样（谢炀）</v>
      </c>
      <c r="AI193" s="74"/>
      <c r="AJ193" s="74" t="str">
        <v>杭州宜格化妆品有限公司</v>
      </c>
      <c r="AK193" s="74"/>
      <c r="AL193" s="74"/>
      <c r="AM193" s="74"/>
      <c r="AN193" s="74" t="str">
        <v>自投</v>
      </c>
      <c r="AO193" s="131">
        <v>36526</v>
      </c>
      <c r="AP193" s="74" t="str">
        <v>站外</v>
      </c>
      <c r="AQ193" s="74" t="str">
        <v>火烧云3户</v>
      </c>
      <c r="AR193" s="74"/>
      <c r="AS193" s="74" t="str">
        <v>火烧云3户</v>
      </c>
      <c r="AT193" s="74" t="str">
        <v>花西子</v>
      </c>
    </row>
    <row r="194">
      <c r="A194" s="132" t="str">
        <v>031440233658ffcff3f0d6cfb2be0001</v>
      </c>
      <c r="B194" s="132"/>
      <c r="C194" s="132"/>
      <c r="D194" s="132" t="str">
        <v>ycss02;</v>
      </c>
      <c r="E194" s="132"/>
      <c r="F194" s="82"/>
      <c r="G194" s="132" t="str">
        <v>0.00</v>
      </c>
      <c r="H194" s="132"/>
      <c r="I194" s="132" t="str">
        <v>0.00</v>
      </c>
      <c r="J194" s="132"/>
      <c r="K194" s="132" t="str">
        <v>0.00</v>
      </c>
      <c r="L194" s="132"/>
      <c r="M194" s="132" t="str">
        <v>0.00</v>
      </c>
      <c r="N194" s="132"/>
      <c r="O194" s="132" t="str">
        <v>0.00</v>
      </c>
      <c r="P194" s="132"/>
      <c r="Q194" s="132" t="str">
        <v>0.00</v>
      </c>
      <c r="R194" s="132"/>
      <c r="S194" s="132" t="str">
        <v>未完结</v>
      </c>
      <c r="T194" s="132"/>
      <c r="U194" s="74"/>
      <c r="V194" s="74" t="str">
        <v>上海无堂网络科技有限公司</v>
      </c>
      <c r="W194" s="74" t="str">
        <v>B站</v>
      </c>
      <c r="X194" s="74" t="str">
        <v>无堂</v>
      </c>
      <c r="Y194" s="74" t="str">
        <v>B站起飞加热</v>
      </c>
      <c r="Z194" s="74"/>
      <c r="AA194" s="74"/>
      <c r="AB194" s="74"/>
      <c r="AC194" s="74" t="str">
        <v>否</v>
      </c>
      <c r="AD194" s="74"/>
      <c r="AE194" s="74"/>
      <c r="AF194" s="74"/>
      <c r="AG194" s="74"/>
      <c r="AH194" s="74" t="str">
        <v>一样（谢炀）</v>
      </c>
      <c r="AI194" s="74"/>
      <c r="AJ194" s="74" t="str">
        <v>杭州宜格化妆品有限公司</v>
      </c>
      <c r="AK194" s="74"/>
      <c r="AL194" s="74"/>
      <c r="AM194" s="74"/>
      <c r="AN194" s="74" t="str">
        <v>自投</v>
      </c>
      <c r="AO194" s="131">
        <v>36526</v>
      </c>
      <c r="AP194" s="74" t="str">
        <v>站外</v>
      </c>
      <c r="AQ194" s="74" t="str">
        <v>无堂</v>
      </c>
      <c r="AR194" s="74"/>
      <c r="AS194" s="74" t="str">
        <v>无堂</v>
      </c>
      <c r="AT194" s="74" t="str">
        <v>花西子</v>
      </c>
    </row>
    <row r="195">
      <c r="A195" s="132" t="str">
        <v>031440233758ffcff3f0d6cfb2be0001</v>
      </c>
      <c r="B195" s="132"/>
      <c r="C195" s="132"/>
      <c r="D195" s="132" t="str">
        <v>ycss02;</v>
      </c>
      <c r="E195" s="132"/>
      <c r="F195" s="82"/>
      <c r="G195" s="132" t="str">
        <v>0.00</v>
      </c>
      <c r="H195" s="132"/>
      <c r="I195" s="132" t="str">
        <v>0.00</v>
      </c>
      <c r="J195" s="132"/>
      <c r="K195" s="132" t="str">
        <v>0.00</v>
      </c>
      <c r="L195" s="132"/>
      <c r="M195" s="132" t="str">
        <v>0.00</v>
      </c>
      <c r="N195" s="132"/>
      <c r="O195" s="132" t="str">
        <v>0.00</v>
      </c>
      <c r="P195" s="132"/>
      <c r="Q195" s="132" t="str">
        <v>0.00</v>
      </c>
      <c r="R195" s="132"/>
      <c r="S195" s="132" t="str">
        <v>未完结</v>
      </c>
      <c r="T195" s="132"/>
      <c r="U195" s="74"/>
      <c r="V195" s="74" t="str">
        <v>杭州阿里妈妈软件服务有限公司</v>
      </c>
      <c r="W195" s="74" t="str">
        <v>天猫</v>
      </c>
      <c r="X195" s="74" t="str">
        <v>DP015-022</v>
      </c>
      <c r="Y195" s="74" t="str">
        <v>天猫-直通车</v>
      </c>
      <c r="Z195" s="74"/>
      <c r="AA195" s="74" t="str">
        <v>否</v>
      </c>
      <c r="AB195" s="74" t="str">
        <v>否</v>
      </c>
      <c r="AC195" s="74" t="str">
        <v>是</v>
      </c>
      <c r="AD195" s="74" t="str">
        <v>是</v>
      </c>
      <c r="AE195" s="74"/>
      <c r="AF195" s="74"/>
      <c r="AG195" s="74"/>
      <c r="AH195" s="74" t="str">
        <v>盐首（刘如敏）</v>
      </c>
      <c r="AI195" s="74"/>
      <c r="AJ195" s="74" t="str">
        <v>杭州宜格化妆品有限公司</v>
      </c>
      <c r="AK195" s="74"/>
      <c r="AL195" s="74"/>
      <c r="AM195" s="74"/>
      <c r="AN195" s="74" t="str">
        <v>自投</v>
      </c>
      <c r="AO195" s="131">
        <v>36526</v>
      </c>
      <c r="AP195" s="74" t="str">
        <v>站内</v>
      </c>
      <c r="AQ195" s="74" t="str">
        <v>DP015-ZTC</v>
      </c>
      <c r="AR195" s="74"/>
      <c r="AS195" s="74" t="str">
        <v>天猫花西子旗舰店-直通车</v>
      </c>
      <c r="AT195" s="74" t="str">
        <v>花西子</v>
      </c>
    </row>
    <row r="196">
      <c r="A196" s="132" t="str">
        <v>031440233858ffcff3f0d6cfb2be0001</v>
      </c>
      <c r="B196" s="132"/>
      <c r="C196" s="132"/>
      <c r="D196" s="132" t="str">
        <v>ycss02;</v>
      </c>
      <c r="E196" s="132"/>
      <c r="F196" s="82"/>
      <c r="G196" s="132" t="str">
        <v>0.00</v>
      </c>
      <c r="H196" s="132"/>
      <c r="I196" s="132" t="str">
        <v>0.00</v>
      </c>
      <c r="J196" s="132"/>
      <c r="K196" s="132" t="str">
        <v>0.00</v>
      </c>
      <c r="L196" s="132"/>
      <c r="M196" s="132" t="str">
        <v>0.00</v>
      </c>
      <c r="N196" s="132"/>
      <c r="O196" s="132" t="str">
        <v>0.00</v>
      </c>
      <c r="P196" s="132"/>
      <c r="Q196" s="132" t="str">
        <v>0.00</v>
      </c>
      <c r="R196" s="132"/>
      <c r="S196" s="132" t="str">
        <v>未完结</v>
      </c>
      <c r="T196" s="132"/>
      <c r="U196" s="74"/>
      <c r="V196" s="74" t="str">
        <v>杭州阿里妈妈软件服务有限公司</v>
      </c>
      <c r="W196" s="74" t="str">
        <v>天猫</v>
      </c>
      <c r="X196" s="74" t="str">
        <v>DP015-023</v>
      </c>
      <c r="Y196" s="74" t="str">
        <v>天猫-引力魔方</v>
      </c>
      <c r="Z196" s="74"/>
      <c r="AA196" s="74" t="str">
        <v>否</v>
      </c>
      <c r="AB196" s="74" t="str">
        <v>否</v>
      </c>
      <c r="AC196" s="74" t="str">
        <v>是</v>
      </c>
      <c r="AD196" s="74" t="str">
        <v>是</v>
      </c>
      <c r="AE196" s="74"/>
      <c r="AF196" s="74"/>
      <c r="AG196" s="74"/>
      <c r="AH196" s="74" t="str">
        <v>盐首（刘如敏）</v>
      </c>
      <c r="AI196" s="74"/>
      <c r="AJ196" s="74" t="str">
        <v>杭州宜格化妆品有限公司</v>
      </c>
      <c r="AK196" s="74"/>
      <c r="AL196" s="74"/>
      <c r="AM196" s="74"/>
      <c r="AN196" s="74" t="str">
        <v>自投</v>
      </c>
      <c r="AO196" s="131">
        <v>36526</v>
      </c>
      <c r="AP196" s="74" t="str">
        <v>站内</v>
      </c>
      <c r="AQ196" s="74" t="str">
        <v>DP015-YLMF</v>
      </c>
      <c r="AR196" s="74"/>
      <c r="AS196" s="74" t="str">
        <v>天猫花西子旗舰店-引力魔方</v>
      </c>
      <c r="AT196" s="74" t="str">
        <v>花西子</v>
      </c>
    </row>
    <row r="197">
      <c r="A197" s="132" t="str">
        <v>031440233948ffcff3f0d6cfb2be0001</v>
      </c>
      <c r="B197" s="132"/>
      <c r="C197" s="132"/>
      <c r="D197" s="132" t="str">
        <v>ycss02;</v>
      </c>
      <c r="E197" s="132"/>
      <c r="F197" s="82"/>
      <c r="G197" s="132" t="str">
        <v>0.00</v>
      </c>
      <c r="H197" s="132"/>
      <c r="I197" s="132" t="str">
        <v>0.00</v>
      </c>
      <c r="J197" s="132"/>
      <c r="K197" s="132" t="str">
        <v>0.00</v>
      </c>
      <c r="L197" s="132"/>
      <c r="M197" s="132" t="str">
        <v>0.00</v>
      </c>
      <c r="N197" s="132"/>
      <c r="O197" s="132" t="str">
        <v>0.00</v>
      </c>
      <c r="P197" s="132"/>
      <c r="Q197" s="132" t="str">
        <v>0.00</v>
      </c>
      <c r="R197" s="132"/>
      <c r="S197" s="132" t="str">
        <v>未完结</v>
      </c>
      <c r="T197" s="132"/>
      <c r="U197" s="74"/>
      <c r="V197" s="74" t="str">
        <v>浙江阿里巴巴通信技术有限公司</v>
      </c>
      <c r="W197" s="74" t="str">
        <v>天猫</v>
      </c>
      <c r="X197" s="74" t="str">
        <v>DP015-WXT</v>
      </c>
      <c r="Y197" s="74"/>
      <c r="Z197" s="74"/>
      <c r="AA197" s="74" t="str">
        <v>否</v>
      </c>
      <c r="AB197" s="74" t="str">
        <v>否</v>
      </c>
      <c r="AC197" s="74" t="str">
        <v>是</v>
      </c>
      <c r="AD197" s="74" t="str">
        <v>是</v>
      </c>
      <c r="AE197" s="74"/>
      <c r="AF197" s="74"/>
      <c r="AG197" s="74"/>
      <c r="AH197" s="74"/>
      <c r="AI197" s="74"/>
      <c r="AJ197" s="74" t="str">
        <v>杭州宜格化妆品有限公司</v>
      </c>
      <c r="AK197" s="74"/>
      <c r="AL197" s="74"/>
      <c r="AM197" s="74"/>
      <c r="AN197" s="74" t="str">
        <v>自投</v>
      </c>
      <c r="AO197" s="131">
        <v>36526</v>
      </c>
      <c r="AP197" s="74" t="str">
        <v>站内</v>
      </c>
      <c r="AQ197" s="74" t="str">
        <v>DP015-WXT</v>
      </c>
      <c r="AR197" s="74"/>
      <c r="AS197" s="74" t="str">
        <v>天猫花西子旗舰店-万相台</v>
      </c>
      <c r="AT197" s="74" t="str">
        <v>花西子</v>
      </c>
    </row>
    <row r="198">
      <c r="A198" s="132" t="str">
        <v>031440233a58ffcff3f0d6cfb2be0001</v>
      </c>
      <c r="B198" s="132"/>
      <c r="C198" s="132"/>
      <c r="D198" s="132" t="str">
        <v>ycss02;</v>
      </c>
      <c r="E198" s="132"/>
      <c r="F198" s="82"/>
      <c r="G198" s="132" t="str">
        <v>0.00</v>
      </c>
      <c r="H198" s="132"/>
      <c r="I198" s="132" t="str">
        <v>0.00</v>
      </c>
      <c r="J198" s="132"/>
      <c r="K198" s="132" t="str">
        <v>0.00</v>
      </c>
      <c r="L198" s="132"/>
      <c r="M198" s="132" t="str">
        <v>0.00</v>
      </c>
      <c r="N198" s="132"/>
      <c r="O198" s="132" t="str">
        <v>0.00</v>
      </c>
      <c r="P198" s="132"/>
      <c r="Q198" s="132" t="str">
        <v>0.00</v>
      </c>
      <c r="R198" s="132"/>
      <c r="S198" s="132" t="str">
        <v>未完结</v>
      </c>
      <c r="T198" s="132"/>
      <c r="U198" s="74"/>
      <c r="V198" s="74" t="str">
        <v>杭州阿里妈妈软件服务有限公司</v>
      </c>
      <c r="W198" s="74" t="str">
        <v>天猫</v>
      </c>
      <c r="X198" s="74" t="str">
        <v>DP015-ZTC</v>
      </c>
      <c r="Y198" s="74" t="str">
        <v>天猫-直通车</v>
      </c>
      <c r="Z198" s="74"/>
      <c r="AA198" s="74" t="str">
        <v>否</v>
      </c>
      <c r="AB198" s="74" t="str">
        <v>否</v>
      </c>
      <c r="AC198" s="74" t="str">
        <v>是</v>
      </c>
      <c r="AD198" s="74" t="str">
        <v>是</v>
      </c>
      <c r="AE198" s="74"/>
      <c r="AF198" s="74"/>
      <c r="AG198" s="74"/>
      <c r="AH198" s="74"/>
      <c r="AI198" s="74"/>
      <c r="AJ198" s="74" t="str">
        <v>杭州宜格化妆品有限公司</v>
      </c>
      <c r="AK198" s="74"/>
      <c r="AL198" s="74"/>
      <c r="AM198" s="74"/>
      <c r="AN198" s="74" t="str">
        <v>自投</v>
      </c>
      <c r="AO198" s="131">
        <v>36526</v>
      </c>
      <c r="AP198" s="74" t="str">
        <v>站内</v>
      </c>
      <c r="AQ198" s="74" t="str">
        <v>DP015-ZTC</v>
      </c>
      <c r="AR198" s="74"/>
      <c r="AS198" s="74" t="str">
        <v>天猫花西子旗舰店-直通车</v>
      </c>
      <c r="AT198" s="74" t="str">
        <v>花西子</v>
      </c>
    </row>
    <row r="199">
      <c r="A199" s="74" t="str">
        <v>03144022bed8ffcff3f0d6cfb2be0001</v>
      </c>
      <c r="B199" s="74"/>
      <c r="C199" s="74"/>
      <c r="D199" s="74" t="str">
        <v>ycss02;</v>
      </c>
      <c r="E199" s="74"/>
      <c r="F199" s="25"/>
      <c r="G199" s="74">
        <v>0</v>
      </c>
      <c r="H199" s="74"/>
      <c r="I199" s="74">
        <v>0</v>
      </c>
      <c r="J199" s="74"/>
      <c r="K199" s="74">
        <v>0</v>
      </c>
      <c r="L199" s="74"/>
      <c r="M199" s="74">
        <v>0</v>
      </c>
      <c r="N199" s="74"/>
      <c r="O199" s="74">
        <v>0</v>
      </c>
      <c r="P199" s="74"/>
      <c r="Q199" s="74">
        <v>0</v>
      </c>
      <c r="R199" s="74"/>
      <c r="S199" s="74" t="str">
        <v>未完结</v>
      </c>
      <c r="T199" s="74"/>
      <c r="U199" s="74"/>
      <c r="V199" s="74" t="str">
        <v>上海博观瑞思传媒科技有限公司</v>
      </c>
      <c r="W199" s="74" t="str">
        <v>抖音</v>
      </c>
      <c r="X199" s="74" t="str">
        <v>1765947662124040</v>
      </c>
      <c r="Y199" s="74" t="str">
        <v>千川信息流</v>
      </c>
      <c r="Z199" s="74"/>
      <c r="AA199" s="74"/>
      <c r="AB199" s="74"/>
      <c r="AC199" s="74"/>
      <c r="AD199" s="74"/>
      <c r="AE199" s="74"/>
      <c r="AF199" s="74"/>
      <c r="AG199" s="74"/>
      <c r="AH199" s="74" t="str">
        <v>兴泉（韩兴泉）</v>
      </c>
      <c r="AI199" s="74"/>
      <c r="AJ199" s="74"/>
      <c r="AK199" s="74"/>
      <c r="AL199" s="74"/>
      <c r="AM199" s="74"/>
      <c r="AN199" s="74" t="str">
        <v>自投</v>
      </c>
      <c r="AO199" s="131">
        <v>36526</v>
      </c>
      <c r="AP199" s="74"/>
      <c r="AQ199" s="74" t="str">
        <v>1765947662124040</v>
      </c>
      <c r="AR199" s="74"/>
      <c r="AS199" s="74" t="str">
        <v>博观7-花西子-官号</v>
      </c>
      <c r="AT199" s="74" t="str">
        <v>花西子</v>
      </c>
    </row>
    <row r="200">
      <c r="A200" s="74" t="str">
        <v>03144022bfc8ffcff3f0d6cfb2be0001</v>
      </c>
      <c r="B200" s="74"/>
      <c r="C200" s="74"/>
      <c r="D200" s="74" t="str">
        <v>ycss02;</v>
      </c>
      <c r="E200" s="74"/>
      <c r="F200" s="25"/>
      <c r="G200" s="74">
        <v>0</v>
      </c>
      <c r="H200" s="74"/>
      <c r="I200" s="74">
        <v>0</v>
      </c>
      <c r="J200" s="74"/>
      <c r="K200" s="74">
        <v>0</v>
      </c>
      <c r="L200" s="74"/>
      <c r="M200" s="74">
        <v>0</v>
      </c>
      <c r="N200" s="74"/>
      <c r="O200" s="74">
        <v>0</v>
      </c>
      <c r="P200" s="74"/>
      <c r="Q200" s="74">
        <v>0</v>
      </c>
      <c r="R200" s="74"/>
      <c r="S200" s="74" t="str">
        <v>未完结</v>
      </c>
      <c r="T200" s="74"/>
      <c r="U200" s="74"/>
      <c r="V200" s="74" t="str">
        <v>北京起量文化传媒有限公司</v>
      </c>
      <c r="W200" s="74" t="str">
        <v>快手</v>
      </c>
      <c r="X200" s="74">
        <v>16481647</v>
      </c>
      <c r="Y200" s="74" t="str">
        <v>磁力金牛</v>
      </c>
      <c r="Z200" s="74"/>
      <c r="AA200" s="74"/>
      <c r="AB200" s="74"/>
      <c r="AC200" s="74"/>
      <c r="AD200" s="74"/>
      <c r="AE200" s="74"/>
      <c r="AF200" s="74"/>
      <c r="AG200" s="74"/>
      <c r="AH200" s="74" t="str">
        <v>难却（楼俞成达）</v>
      </c>
      <c r="AI200" s="74"/>
      <c r="AJ200" s="74" t="str">
        <v>杭州宜格化妆品有限公司</v>
      </c>
      <c r="AK200" s="74"/>
      <c r="AL200" s="74"/>
      <c r="AM200" s="74"/>
      <c r="AN200" s="74" t="str">
        <v>自投</v>
      </c>
      <c r="AO200" s="131">
        <v>36526</v>
      </c>
      <c r="AP200" s="74" t="str">
        <v>站外</v>
      </c>
      <c r="AQ200" s="74">
        <v>16481647</v>
      </c>
      <c r="AR200" s="74"/>
      <c r="AS200" s="74" t="str">
        <v>花西子官方旗舰店（浅度账户）</v>
      </c>
      <c r="AT200" s="74" t="str">
        <v>花西子</v>
      </c>
    </row>
    <row r="201">
      <c r="A201" s="74" t="str">
        <v>03144022c0c8ffcff3f0d6cfb2be0001</v>
      </c>
      <c r="B201" s="74"/>
      <c r="C201" s="74"/>
      <c r="D201" s="74" t="str">
        <v>ycss02;</v>
      </c>
      <c r="E201" s="74"/>
      <c r="F201" s="25"/>
      <c r="G201" s="74">
        <v>0</v>
      </c>
      <c r="H201" s="74"/>
      <c r="I201" s="74">
        <v>0</v>
      </c>
      <c r="J201" s="74"/>
      <c r="K201" s="74">
        <v>0</v>
      </c>
      <c r="L201" s="74"/>
      <c r="M201" s="74">
        <v>0</v>
      </c>
      <c r="N201" s="74"/>
      <c r="O201" s="74">
        <v>0</v>
      </c>
      <c r="P201" s="74"/>
      <c r="Q201" s="74">
        <v>0</v>
      </c>
      <c r="R201" s="74"/>
      <c r="S201" s="74" t="str">
        <v>未完结</v>
      </c>
      <c r="T201" s="74"/>
      <c r="U201" s="74"/>
      <c r="V201" s="74" t="str">
        <v>北京起量文化传媒有限公司</v>
      </c>
      <c r="W201" s="74" t="str">
        <v>快手</v>
      </c>
      <c r="X201" s="74">
        <v>17553440</v>
      </c>
      <c r="Y201" s="74" t="str">
        <v>磁力金牛</v>
      </c>
      <c r="Z201" s="74"/>
      <c r="AA201" s="74"/>
      <c r="AB201" s="74"/>
      <c r="AC201" s="74"/>
      <c r="AD201" s="74"/>
      <c r="AE201" s="74"/>
      <c r="AF201" s="74"/>
      <c r="AG201" s="74"/>
      <c r="AH201" s="74" t="str">
        <v>难却（楼俞成达）</v>
      </c>
      <c r="AI201" s="74"/>
      <c r="AJ201" s="74" t="str">
        <v>杭州宜格化妆品有限公司</v>
      </c>
      <c r="AK201" s="74"/>
      <c r="AL201" s="74"/>
      <c r="AM201" s="74"/>
      <c r="AN201" s="74" t="str">
        <v>自投</v>
      </c>
      <c r="AO201" s="131">
        <v>36526</v>
      </c>
      <c r="AP201" s="74" t="str">
        <v>站外</v>
      </c>
      <c r="AQ201" s="74">
        <v>17553440</v>
      </c>
      <c r="AR201" s="74"/>
      <c r="AS201" s="74" t="str">
        <v>花西子官方旗舰店-直播托管对投-李楠楠</v>
      </c>
      <c r="AT201" s="74" t="str">
        <v>花西子</v>
      </c>
    </row>
    <row r="202">
      <c r="A202" s="74" t="str">
        <v>03144022c1b8ffcff3f0d6cfb2be0001</v>
      </c>
      <c r="B202" s="74"/>
      <c r="C202" s="74"/>
      <c r="D202" s="74" t="str">
        <v>ycss02;</v>
      </c>
      <c r="E202" s="74"/>
      <c r="F202" s="25"/>
      <c r="G202" s="74">
        <v>0</v>
      </c>
      <c r="H202" s="74"/>
      <c r="I202" s="74">
        <v>0</v>
      </c>
      <c r="J202" s="74"/>
      <c r="K202" s="74">
        <v>0</v>
      </c>
      <c r="L202" s="74"/>
      <c r="M202" s="74">
        <v>0</v>
      </c>
      <c r="N202" s="74"/>
      <c r="O202" s="74">
        <v>0</v>
      </c>
      <c r="P202" s="74"/>
      <c r="Q202" s="74">
        <v>0</v>
      </c>
      <c r="R202" s="74"/>
      <c r="S202" s="74" t="str">
        <v>未完结</v>
      </c>
      <c r="T202" s="74"/>
      <c r="U202" s="74"/>
      <c r="V202" s="74" t="str">
        <v>江西五六七数字科技有限公司</v>
      </c>
      <c r="W202" s="74" t="str">
        <v>抖音</v>
      </c>
      <c r="X202" s="74" t="str">
        <v>1639753233213454</v>
      </c>
      <c r="Y202" s="74" t="str">
        <v>AD信息流</v>
      </c>
      <c r="Z202" s="74"/>
      <c r="AA202" s="74" t="str">
        <v>否</v>
      </c>
      <c r="AB202" s="74" t="str">
        <v>是</v>
      </c>
      <c r="AC202" s="74" t="str">
        <v>否</v>
      </c>
      <c r="AD202" s="74" t="str">
        <v>是</v>
      </c>
      <c r="AE202" s="74"/>
      <c r="AF202" s="74"/>
      <c r="AG202" s="74"/>
      <c r="AH202" s="74" t="str">
        <v>白纸（张浩霖）</v>
      </c>
      <c r="AI202" s="74"/>
      <c r="AJ202" s="74" t="str">
        <v>杭州宜格化妆品有限公司</v>
      </c>
      <c r="AK202" s="74"/>
      <c r="AL202" s="74"/>
      <c r="AM202" s="74"/>
      <c r="AN202" s="74" t="str">
        <v>自投</v>
      </c>
      <c r="AO202" s="131">
        <v>36526</v>
      </c>
      <c r="AP202" s="74" t="str">
        <v>站外</v>
      </c>
      <c r="AQ202" s="74" t="str">
        <v>1639753233213454</v>
      </c>
      <c r="AR202" s="74"/>
      <c r="AS202" s="74" t="str">
        <v>1639753233213454</v>
      </c>
      <c r="AT202" s="74" t="str">
        <v>花西子</v>
      </c>
    </row>
    <row r="203">
      <c r="A203" s="74" t="str">
        <v>03144022c2b8ffcff3f0d6cfb2be0001</v>
      </c>
      <c r="B203" s="74"/>
      <c r="C203" s="74"/>
      <c r="D203" s="74" t="str">
        <v>ycss02;</v>
      </c>
      <c r="E203" s="74"/>
      <c r="F203" s="25"/>
      <c r="G203" s="74">
        <v>0</v>
      </c>
      <c r="H203" s="74"/>
      <c r="I203" s="74">
        <v>0</v>
      </c>
      <c r="J203" s="74"/>
      <c r="K203" s="74">
        <v>0</v>
      </c>
      <c r="L203" s="74"/>
      <c r="M203" s="74">
        <v>0</v>
      </c>
      <c r="N203" s="74"/>
      <c r="O203" s="74">
        <v>0</v>
      </c>
      <c r="P203" s="74"/>
      <c r="Q203" s="74">
        <v>0</v>
      </c>
      <c r="R203" s="74"/>
      <c r="S203" s="74" t="str">
        <v>未完结</v>
      </c>
      <c r="T203" s="74"/>
      <c r="U203" s="74"/>
      <c r="V203" s="74" t="str">
        <v>江西五六七数字科技有限公司</v>
      </c>
      <c r="W203" s="74" t="str">
        <v>抖音</v>
      </c>
      <c r="X203" s="74" t="str">
        <v>1642648003678215</v>
      </c>
      <c r="Y203" s="74" t="str">
        <v>AD信息流</v>
      </c>
      <c r="Z203" s="74"/>
      <c r="AA203" s="74" t="str">
        <v>否</v>
      </c>
      <c r="AB203" s="74" t="str">
        <v>是</v>
      </c>
      <c r="AC203" s="74" t="str">
        <v>否</v>
      </c>
      <c r="AD203" s="74" t="str">
        <v>是</v>
      </c>
      <c r="AE203" s="74"/>
      <c r="AF203" s="74"/>
      <c r="AG203" s="74"/>
      <c r="AH203" s="74" t="str">
        <v>白纸（张浩霖）</v>
      </c>
      <c r="AI203" s="74"/>
      <c r="AJ203" s="74" t="str">
        <v>杭州宜格化妆品有限公司</v>
      </c>
      <c r="AK203" s="74"/>
      <c r="AL203" s="74"/>
      <c r="AM203" s="74"/>
      <c r="AN203" s="74" t="str">
        <v>自投</v>
      </c>
      <c r="AO203" s="131">
        <v>36526</v>
      </c>
      <c r="AP203" s="74" t="str">
        <v>站外</v>
      </c>
      <c r="AQ203" s="74" t="str">
        <v>1642648003678215</v>
      </c>
      <c r="AR203" s="74"/>
      <c r="AS203" s="74" t="str">
        <v>1642648003678215</v>
      </c>
      <c r="AT203" s="74" t="str">
        <v>花西子</v>
      </c>
    </row>
    <row r="204">
      <c r="A204" s="74" t="str">
        <v>03144022c3a8ffcff3f0d6cfb2be0001</v>
      </c>
      <c r="B204" s="74"/>
      <c r="C204" s="74"/>
      <c r="D204" s="74" t="str">
        <v>ycss02;</v>
      </c>
      <c r="E204" s="74"/>
      <c r="F204" s="25"/>
      <c r="G204" s="74">
        <v>0</v>
      </c>
      <c r="H204" s="74"/>
      <c r="I204" s="74">
        <v>0</v>
      </c>
      <c r="J204" s="74"/>
      <c r="K204" s="74">
        <v>0</v>
      </c>
      <c r="L204" s="74"/>
      <c r="M204" s="74">
        <v>0</v>
      </c>
      <c r="N204" s="74"/>
      <c r="O204" s="74">
        <v>0</v>
      </c>
      <c r="P204" s="74"/>
      <c r="Q204" s="74">
        <v>0</v>
      </c>
      <c r="R204" s="74"/>
      <c r="S204" s="74" t="str">
        <v>未完结</v>
      </c>
      <c r="T204" s="74"/>
      <c r="U204" s="74"/>
      <c r="V204" s="74" t="str">
        <v>乐推（上海）文化传播有限公司</v>
      </c>
      <c r="W204" s="74" t="str">
        <v>抖音</v>
      </c>
      <c r="X204" s="74" t="str">
        <v>1646068321606668</v>
      </c>
      <c r="Y204" s="74" t="str">
        <v>AD信息流</v>
      </c>
      <c r="Z204" s="74"/>
      <c r="AA204" s="74" t="str">
        <v>否</v>
      </c>
      <c r="AB204" s="74" t="str">
        <v>是</v>
      </c>
      <c r="AC204" s="74" t="str">
        <v>否</v>
      </c>
      <c r="AD204" s="74" t="str">
        <v>是</v>
      </c>
      <c r="AE204" s="74"/>
      <c r="AF204" s="74"/>
      <c r="AG204" s="74"/>
      <c r="AH204" s="74" t="str">
        <v>白纸（张浩霖）</v>
      </c>
      <c r="AI204" s="74"/>
      <c r="AJ204" s="74" t="str">
        <v>杭州宜格化妆品有限公司</v>
      </c>
      <c r="AK204" s="74"/>
      <c r="AL204" s="74"/>
      <c r="AM204" s="74"/>
      <c r="AN204" s="74" t="str">
        <v>自投</v>
      </c>
      <c r="AO204" s="131">
        <v>36526</v>
      </c>
      <c r="AP204" s="74" t="str">
        <v>站外</v>
      </c>
      <c r="AQ204" s="74" t="str">
        <v>1646068321606668</v>
      </c>
      <c r="AR204" s="74"/>
      <c r="AS204" s="74" t="str">
        <v>1646068321606668</v>
      </c>
      <c r="AT204" s="74" t="str">
        <v>花西子</v>
      </c>
    </row>
    <row r="205">
      <c r="A205" s="74" t="str">
        <v>03144022c4b8ffcff3f0d6cfb2be0001</v>
      </c>
      <c r="B205" s="74"/>
      <c r="C205" s="74"/>
      <c r="D205" s="74" t="str">
        <v>ycss02;</v>
      </c>
      <c r="E205" s="74"/>
      <c r="F205" s="25"/>
      <c r="G205" s="74">
        <v>0</v>
      </c>
      <c r="H205" s="74"/>
      <c r="I205" s="74">
        <v>0</v>
      </c>
      <c r="J205" s="74"/>
      <c r="K205" s="74">
        <v>0</v>
      </c>
      <c r="L205" s="74"/>
      <c r="M205" s="74">
        <v>0</v>
      </c>
      <c r="N205" s="74"/>
      <c r="O205" s="74">
        <v>0</v>
      </c>
      <c r="P205" s="74"/>
      <c r="Q205" s="74">
        <v>0</v>
      </c>
      <c r="R205" s="74"/>
      <c r="S205" s="74" t="str">
        <v>未完结</v>
      </c>
      <c r="T205" s="74"/>
      <c r="U205" s="74"/>
      <c r="V205" s="74" t="str">
        <v>江西五六七数字科技有限公司</v>
      </c>
      <c r="W205" s="74" t="str">
        <v>抖音</v>
      </c>
      <c r="X205" s="74" t="str">
        <v>1650263841162253</v>
      </c>
      <c r="Y205" s="74" t="str">
        <v>AD信息流</v>
      </c>
      <c r="Z205" s="74"/>
      <c r="AA205" s="74" t="str">
        <v>否</v>
      </c>
      <c r="AB205" s="74" t="str">
        <v>是</v>
      </c>
      <c r="AC205" s="74" t="str">
        <v>否</v>
      </c>
      <c r="AD205" s="74" t="str">
        <v>是</v>
      </c>
      <c r="AE205" s="74"/>
      <c r="AF205" s="74"/>
      <c r="AG205" s="74"/>
      <c r="AH205" s="74" t="str">
        <v>白纸（张浩霖）</v>
      </c>
      <c r="AI205" s="74"/>
      <c r="AJ205" s="74" t="str">
        <v>杭州宜格化妆品有限公司</v>
      </c>
      <c r="AK205" s="74"/>
      <c r="AL205" s="74"/>
      <c r="AM205" s="74"/>
      <c r="AN205" s="74" t="str">
        <v>自投</v>
      </c>
      <c r="AO205" s="131">
        <v>36526</v>
      </c>
      <c r="AP205" s="74" t="str">
        <v>站外</v>
      </c>
      <c r="AQ205" s="74" t="str">
        <v>1650263841162253</v>
      </c>
      <c r="AR205" s="74"/>
      <c r="AS205" s="74" t="str">
        <v>1650263841162253</v>
      </c>
      <c r="AT205" s="74" t="str">
        <v>花西子</v>
      </c>
    </row>
    <row r="206">
      <c r="A206" s="74" t="str">
        <v>03144022c5a8ffcff3f0d6cfb2be0001</v>
      </c>
      <c r="B206" s="74"/>
      <c r="C206" s="74"/>
      <c r="D206" s="74" t="str">
        <v>ycss02;</v>
      </c>
      <c r="E206" s="74"/>
      <c r="F206" s="25"/>
      <c r="G206" s="74">
        <v>0</v>
      </c>
      <c r="H206" s="74"/>
      <c r="I206" s="74">
        <v>0</v>
      </c>
      <c r="J206" s="74"/>
      <c r="K206" s="74">
        <v>0</v>
      </c>
      <c r="L206" s="74"/>
      <c r="M206" s="74">
        <v>0</v>
      </c>
      <c r="N206" s="74"/>
      <c r="O206" s="74">
        <v>0</v>
      </c>
      <c r="P206" s="74"/>
      <c r="Q206" s="74">
        <v>0</v>
      </c>
      <c r="R206" s="74"/>
      <c r="S206" s="74" t="str">
        <v>未完结</v>
      </c>
      <c r="T206" s="74"/>
      <c r="U206" s="74"/>
      <c r="V206" s="74" t="str">
        <v>上海博观瑞思传媒科技有限公司</v>
      </c>
      <c r="W206" s="74" t="str">
        <v>抖音</v>
      </c>
      <c r="X206" s="74" t="str">
        <v>1676872811868174</v>
      </c>
      <c r="Y206" s="74" t="str">
        <v>AD信息流</v>
      </c>
      <c r="Z206" s="74"/>
      <c r="AA206" s="74" t="str">
        <v>否</v>
      </c>
      <c r="AB206" s="74" t="str">
        <v>是</v>
      </c>
      <c r="AC206" s="74" t="str">
        <v>否</v>
      </c>
      <c r="AD206" s="74" t="str">
        <v>是</v>
      </c>
      <c r="AE206" s="74"/>
      <c r="AF206" s="74"/>
      <c r="AG206" s="74"/>
      <c r="AH206" s="74" t="str">
        <v>白纸（张浩霖）</v>
      </c>
      <c r="AI206" s="74"/>
      <c r="AJ206" s="74" t="str">
        <v>杭州宜格化妆品有限公司</v>
      </c>
      <c r="AK206" s="74"/>
      <c r="AL206" s="74"/>
      <c r="AM206" s="74"/>
      <c r="AN206" s="74" t="str">
        <v>自投</v>
      </c>
      <c r="AO206" s="131">
        <v>36526</v>
      </c>
      <c r="AP206" s="74" t="str">
        <v>站外</v>
      </c>
      <c r="AQ206" s="74" t="str">
        <v>1676872811868174</v>
      </c>
      <c r="AR206" s="74"/>
      <c r="AS206" s="74" t="str">
        <v>1676872811868174</v>
      </c>
      <c r="AT206" s="74" t="str">
        <v>花西子</v>
      </c>
    </row>
    <row r="207">
      <c r="A207" s="74" t="str">
        <v>03144022c6b8ffcff3f0d6cfb2be0001</v>
      </c>
      <c r="B207" s="74"/>
      <c r="C207" s="74"/>
      <c r="D207" s="74" t="str">
        <v>ycss02;</v>
      </c>
      <c r="E207" s="74"/>
      <c r="F207" s="25"/>
      <c r="G207" s="74">
        <v>0</v>
      </c>
      <c r="H207" s="74"/>
      <c r="I207" s="74">
        <v>0</v>
      </c>
      <c r="J207" s="74"/>
      <c r="K207" s="74">
        <v>0</v>
      </c>
      <c r="L207" s="74"/>
      <c r="M207" s="74">
        <v>0</v>
      </c>
      <c r="N207" s="74"/>
      <c r="O207" s="74">
        <v>0</v>
      </c>
      <c r="P207" s="74"/>
      <c r="Q207" s="74">
        <v>0</v>
      </c>
      <c r="R207" s="74"/>
      <c r="S207" s="74" t="str">
        <v>未完结</v>
      </c>
      <c r="T207" s="74"/>
      <c r="U207" s="74"/>
      <c r="V207" s="74" t="str">
        <v>上海博观瑞思传媒科技有限公司</v>
      </c>
      <c r="W207" s="74" t="str">
        <v>抖音</v>
      </c>
      <c r="X207" s="74" t="str">
        <v>1676896800631816</v>
      </c>
      <c r="Y207" s="74" t="str">
        <v>AD信息流</v>
      </c>
      <c r="Z207" s="74"/>
      <c r="AA207" s="74" t="str">
        <v>否</v>
      </c>
      <c r="AB207" s="74" t="str">
        <v>是</v>
      </c>
      <c r="AC207" s="74" t="str">
        <v>否</v>
      </c>
      <c r="AD207" s="74" t="str">
        <v>是</v>
      </c>
      <c r="AE207" s="74"/>
      <c r="AF207" s="74"/>
      <c r="AG207" s="74"/>
      <c r="AH207" s="74" t="str">
        <v>白纸（张浩霖）</v>
      </c>
      <c r="AI207" s="74"/>
      <c r="AJ207" s="74" t="str">
        <v>杭州宜格化妆品有限公司</v>
      </c>
      <c r="AK207" s="74"/>
      <c r="AL207" s="74"/>
      <c r="AM207" s="74"/>
      <c r="AN207" s="74" t="str">
        <v>自投</v>
      </c>
      <c r="AO207" s="131">
        <v>36526</v>
      </c>
      <c r="AP207" s="74" t="str">
        <v>站外</v>
      </c>
      <c r="AQ207" s="74" t="str">
        <v>1676896800631816</v>
      </c>
      <c r="AR207" s="74"/>
      <c r="AS207" s="74" t="str">
        <v>1676896800631816</v>
      </c>
      <c r="AT207" s="74" t="str">
        <v>花西子</v>
      </c>
    </row>
    <row r="208">
      <c r="A208" s="74" t="str">
        <v>03144022c7b8ffcff3f0d6cfb2be0001</v>
      </c>
      <c r="B208" s="74"/>
      <c r="C208" s="74"/>
      <c r="D208" s="74" t="str">
        <v>ycss02;</v>
      </c>
      <c r="E208" s="74"/>
      <c r="F208" s="25"/>
      <c r="G208" s="74">
        <v>0</v>
      </c>
      <c r="H208" s="74"/>
      <c r="I208" s="74">
        <v>0</v>
      </c>
      <c r="J208" s="74"/>
      <c r="K208" s="74">
        <v>0</v>
      </c>
      <c r="L208" s="74"/>
      <c r="M208" s="74">
        <v>0</v>
      </c>
      <c r="N208" s="74"/>
      <c r="O208" s="74">
        <v>0</v>
      </c>
      <c r="P208" s="74"/>
      <c r="Q208" s="74">
        <v>0</v>
      </c>
      <c r="R208" s="74"/>
      <c r="S208" s="74" t="str">
        <v>未完结</v>
      </c>
      <c r="T208" s="74"/>
      <c r="U208" s="74"/>
      <c r="V208" s="74" t="str">
        <v>珠海视通超然文化传媒有限公司</v>
      </c>
      <c r="W208" s="74" t="str">
        <v>抖音</v>
      </c>
      <c r="X208" s="74" t="str">
        <v>1701900784348167</v>
      </c>
      <c r="Y208" s="74" t="str">
        <v>AD信息流</v>
      </c>
      <c r="Z208" s="74"/>
      <c r="AA208" s="74" t="str">
        <v>否</v>
      </c>
      <c r="AB208" s="74" t="str">
        <v>是</v>
      </c>
      <c r="AC208" s="74" t="str">
        <v>否</v>
      </c>
      <c r="AD208" s="74" t="str">
        <v>是</v>
      </c>
      <c r="AE208" s="74"/>
      <c r="AF208" s="74"/>
      <c r="AG208" s="74"/>
      <c r="AH208" s="74" t="str">
        <v>白纸（张浩霖）</v>
      </c>
      <c r="AI208" s="74"/>
      <c r="AJ208" s="74" t="str">
        <v>杭州宜格化妆品有限公司</v>
      </c>
      <c r="AK208" s="74"/>
      <c r="AL208" s="74"/>
      <c r="AM208" s="74"/>
      <c r="AN208" s="74" t="str">
        <v>自投</v>
      </c>
      <c r="AO208" s="131">
        <v>36526</v>
      </c>
      <c r="AP208" s="74" t="str">
        <v>站外</v>
      </c>
      <c r="AQ208" s="74" t="str">
        <v>1701900784348167</v>
      </c>
      <c r="AR208" s="74"/>
      <c r="AS208" s="74" t="str">
        <v>1701900784348167</v>
      </c>
      <c r="AT208" s="74" t="str">
        <v>花西子</v>
      </c>
    </row>
    <row r="209">
      <c r="A209" s="74" t="str">
        <v>03144022c8b8ffcff3f0d6cfb2be0001</v>
      </c>
      <c r="B209" s="74"/>
      <c r="C209" s="74"/>
      <c r="D209" s="74" t="str">
        <v>ycss02;</v>
      </c>
      <c r="E209" s="74"/>
      <c r="F209" s="25"/>
      <c r="G209" s="74">
        <v>0</v>
      </c>
      <c r="H209" s="74"/>
      <c r="I209" s="74">
        <v>0</v>
      </c>
      <c r="J209" s="74"/>
      <c r="K209" s="74">
        <v>0</v>
      </c>
      <c r="L209" s="74"/>
      <c r="M209" s="74">
        <v>0</v>
      </c>
      <c r="N209" s="74"/>
      <c r="O209" s="74">
        <v>0</v>
      </c>
      <c r="P209" s="74"/>
      <c r="Q209" s="74">
        <v>0</v>
      </c>
      <c r="R209" s="74"/>
      <c r="S209" s="74" t="str">
        <v>未完结</v>
      </c>
      <c r="T209" s="74"/>
      <c r="U209" s="74"/>
      <c r="V209" s="74" t="str">
        <v>群邑（上海）广告有限公司</v>
      </c>
      <c r="W209" s="74" t="str">
        <v>抖音</v>
      </c>
      <c r="X209" s="74" t="str">
        <v>1727635336734734</v>
      </c>
      <c r="Y209" s="74" t="str">
        <v>AD信息流</v>
      </c>
      <c r="Z209" s="74"/>
      <c r="AA209" s="74" t="str">
        <v>否</v>
      </c>
      <c r="AB209" s="74" t="str">
        <v>是</v>
      </c>
      <c r="AC209" s="74" t="str">
        <v>否</v>
      </c>
      <c r="AD209" s="74" t="str">
        <v>是</v>
      </c>
      <c r="AE209" s="74"/>
      <c r="AF209" s="74"/>
      <c r="AG209" s="74"/>
      <c r="AH209" s="74" t="str">
        <v>白纸（张浩霖）</v>
      </c>
      <c r="AI209" s="74"/>
      <c r="AJ209" s="74" t="str">
        <v>杭州宜格化妆品有限公司</v>
      </c>
      <c r="AK209" s="74"/>
      <c r="AL209" s="74"/>
      <c r="AM209" s="74"/>
      <c r="AN209" s="74" t="str">
        <v>代投</v>
      </c>
      <c r="AO209" s="131">
        <v>36526</v>
      </c>
      <c r="AP209" s="74" t="str">
        <v>站外</v>
      </c>
      <c r="AQ209" s="74" t="str">
        <v>1727635336734734</v>
      </c>
      <c r="AR209" s="74"/>
      <c r="AS209" s="74" t="str">
        <v>1727635336734734</v>
      </c>
      <c r="AT209" s="74" t="str">
        <v>花西子</v>
      </c>
    </row>
    <row r="210">
      <c r="A210" s="74" t="str">
        <v>03144022c9a8ffcff3f0d6cfb2be0001</v>
      </c>
      <c r="B210" s="74"/>
      <c r="C210" s="74"/>
      <c r="D210" s="74" t="str">
        <v>ycss02;</v>
      </c>
      <c r="E210" s="74"/>
      <c r="F210" s="25"/>
      <c r="G210" s="74">
        <v>0</v>
      </c>
      <c r="H210" s="74"/>
      <c r="I210" s="74">
        <v>0</v>
      </c>
      <c r="J210" s="74"/>
      <c r="K210" s="74">
        <v>0</v>
      </c>
      <c r="L210" s="74"/>
      <c r="M210" s="74">
        <v>0</v>
      </c>
      <c r="N210" s="74"/>
      <c r="O210" s="74">
        <v>0</v>
      </c>
      <c r="P210" s="74"/>
      <c r="Q210" s="74">
        <v>0</v>
      </c>
      <c r="R210" s="74"/>
      <c r="S210" s="74" t="str">
        <v>未完结</v>
      </c>
      <c r="T210" s="74"/>
      <c r="U210" s="74"/>
      <c r="V210" s="74" t="str">
        <v>广东省广告集团股份有限公司</v>
      </c>
      <c r="W210" s="74" t="str">
        <v>抖音</v>
      </c>
      <c r="X210" s="74" t="str">
        <v>1727907165074439</v>
      </c>
      <c r="Y210" s="74" t="str">
        <v>AD信息流</v>
      </c>
      <c r="Z210" s="74"/>
      <c r="AA210" s="74" t="str">
        <v>否</v>
      </c>
      <c r="AB210" s="74" t="str">
        <v>是</v>
      </c>
      <c r="AC210" s="74" t="str">
        <v>否</v>
      </c>
      <c r="AD210" s="74" t="str">
        <v>是</v>
      </c>
      <c r="AE210" s="74"/>
      <c r="AF210" s="74"/>
      <c r="AG210" s="74"/>
      <c r="AH210" s="74" t="str">
        <v>白纸（张浩霖）</v>
      </c>
      <c r="AI210" s="74"/>
      <c r="AJ210" s="74" t="str">
        <v>杭州宜格化妆品有限公司</v>
      </c>
      <c r="AK210" s="74"/>
      <c r="AL210" s="74"/>
      <c r="AM210" s="74"/>
      <c r="AN210" s="74" t="str">
        <v>代投</v>
      </c>
      <c r="AO210" s="131">
        <v>36526</v>
      </c>
      <c r="AP210" s="74" t="str">
        <v>站外</v>
      </c>
      <c r="AQ210" s="74" t="str">
        <v>1727907165074439</v>
      </c>
      <c r="AR210" s="74"/>
      <c r="AS210" s="74" t="str">
        <v>1727907165074439</v>
      </c>
      <c r="AT210" s="74" t="str">
        <v>花西子</v>
      </c>
    </row>
    <row r="211">
      <c r="A211" s="74" t="str">
        <v>03144022caa8ffcff3f0d6cfb2be0001</v>
      </c>
      <c r="B211" s="74"/>
      <c r="C211" s="74"/>
      <c r="D211" s="74" t="str">
        <v>ycss02;</v>
      </c>
      <c r="E211" s="74"/>
      <c r="F211" s="25"/>
      <c r="G211" s="74">
        <v>0</v>
      </c>
      <c r="H211" s="74"/>
      <c r="I211" s="74">
        <v>0</v>
      </c>
      <c r="J211" s="74"/>
      <c r="K211" s="74">
        <v>0</v>
      </c>
      <c r="L211" s="74"/>
      <c r="M211" s="74">
        <v>0</v>
      </c>
      <c r="N211" s="74"/>
      <c r="O211" s="74">
        <v>0</v>
      </c>
      <c r="P211" s="74"/>
      <c r="Q211" s="74">
        <v>0</v>
      </c>
      <c r="R211" s="74"/>
      <c r="S211" s="74" t="str">
        <v>未完结</v>
      </c>
      <c r="T211" s="74"/>
      <c r="U211" s="74"/>
      <c r="V211" s="74" t="str">
        <v>广东省广告集团股份有限公司</v>
      </c>
      <c r="W211" s="74" t="str">
        <v>抖音</v>
      </c>
      <c r="X211" s="74" t="str">
        <v>1728523267016711</v>
      </c>
      <c r="Y211" s="74" t="str">
        <v>AD信息流</v>
      </c>
      <c r="Z211" s="74"/>
      <c r="AA211" s="74" t="str">
        <v>否</v>
      </c>
      <c r="AB211" s="74" t="str">
        <v>是</v>
      </c>
      <c r="AC211" s="74" t="str">
        <v>否</v>
      </c>
      <c r="AD211" s="74" t="str">
        <v>是</v>
      </c>
      <c r="AE211" s="74"/>
      <c r="AF211" s="74"/>
      <c r="AG211" s="74"/>
      <c r="AH211" s="74" t="str">
        <v>白纸（张浩霖）</v>
      </c>
      <c r="AI211" s="74"/>
      <c r="AJ211" s="74" t="str">
        <v>杭州宜格化妆品有限公司</v>
      </c>
      <c r="AK211" s="74"/>
      <c r="AL211" s="74"/>
      <c r="AM211" s="74"/>
      <c r="AN211" s="74" t="str">
        <v>代投</v>
      </c>
      <c r="AO211" s="131">
        <v>36526</v>
      </c>
      <c r="AP211" s="74" t="str">
        <v>站外</v>
      </c>
      <c r="AQ211" s="74" t="str">
        <v>1728523267016711</v>
      </c>
      <c r="AR211" s="74"/>
      <c r="AS211" s="74" t="str">
        <v>1728523267016711</v>
      </c>
      <c r="AT211" s="74" t="str">
        <v>花西子</v>
      </c>
    </row>
    <row r="212">
      <c r="A212" s="74" t="str">
        <v>03144022cb98ffcff3f0d6cfb2be0001</v>
      </c>
      <c r="B212" s="74"/>
      <c r="C212" s="74"/>
      <c r="D212" s="74" t="str">
        <v>ycss02;</v>
      </c>
      <c r="E212" s="74"/>
      <c r="F212" s="25"/>
      <c r="G212" s="74">
        <v>0</v>
      </c>
      <c r="H212" s="74"/>
      <c r="I212" s="74">
        <v>0</v>
      </c>
      <c r="J212" s="74"/>
      <c r="K212" s="74">
        <v>0</v>
      </c>
      <c r="L212" s="74"/>
      <c r="M212" s="74">
        <v>0</v>
      </c>
      <c r="N212" s="74"/>
      <c r="O212" s="74">
        <v>0</v>
      </c>
      <c r="P212" s="74"/>
      <c r="Q212" s="74">
        <v>0</v>
      </c>
      <c r="R212" s="74"/>
      <c r="S212" s="74" t="str">
        <v>未完结</v>
      </c>
      <c r="T212" s="74"/>
      <c r="U212" s="74"/>
      <c r="V212" s="74" t="str">
        <v>广东省广告集团股份有限公司</v>
      </c>
      <c r="W212" s="74" t="str">
        <v>抖音</v>
      </c>
      <c r="X212" s="74" t="str">
        <v>1728523269498893</v>
      </c>
      <c r="Y212" s="74" t="str">
        <v>AD信息流</v>
      </c>
      <c r="Z212" s="74"/>
      <c r="AA212" s="74" t="str">
        <v>否</v>
      </c>
      <c r="AB212" s="74" t="str">
        <v>是</v>
      </c>
      <c r="AC212" s="74" t="str">
        <v>否</v>
      </c>
      <c r="AD212" s="74" t="str">
        <v>是</v>
      </c>
      <c r="AE212" s="74"/>
      <c r="AF212" s="74"/>
      <c r="AG212" s="74"/>
      <c r="AH212" s="74" t="str">
        <v>白纸（张浩霖）</v>
      </c>
      <c r="AI212" s="74"/>
      <c r="AJ212" s="74" t="str">
        <v>杭州宜格化妆品有限公司</v>
      </c>
      <c r="AK212" s="74"/>
      <c r="AL212" s="74"/>
      <c r="AM212" s="74"/>
      <c r="AN212" s="74" t="str">
        <v>代投</v>
      </c>
      <c r="AO212" s="131">
        <v>36526</v>
      </c>
      <c r="AP212" s="74" t="str">
        <v>站外</v>
      </c>
      <c r="AQ212" s="74" t="str">
        <v>1728523269498893</v>
      </c>
      <c r="AR212" s="74"/>
      <c r="AS212" s="74" t="str">
        <v>1728523269498893</v>
      </c>
      <c r="AT212" s="74" t="str">
        <v>花西子</v>
      </c>
    </row>
    <row r="213">
      <c r="A213" s="74" t="str">
        <v>03144022cc98ffcff3f0d6cfb2be0001</v>
      </c>
      <c r="B213" s="74"/>
      <c r="C213" s="74"/>
      <c r="D213" s="74" t="str">
        <v>ycss02;</v>
      </c>
      <c r="E213" s="74"/>
      <c r="F213" s="25"/>
      <c r="G213" s="74">
        <v>0</v>
      </c>
      <c r="H213" s="74"/>
      <c r="I213" s="74">
        <v>0</v>
      </c>
      <c r="J213" s="74"/>
      <c r="K213" s="74">
        <v>0</v>
      </c>
      <c r="L213" s="74"/>
      <c r="M213" s="74">
        <v>0</v>
      </c>
      <c r="N213" s="74"/>
      <c r="O213" s="74">
        <v>0</v>
      </c>
      <c r="P213" s="74"/>
      <c r="Q213" s="74">
        <v>0</v>
      </c>
      <c r="R213" s="74"/>
      <c r="S213" s="74" t="str">
        <v>未完结</v>
      </c>
      <c r="T213" s="74"/>
      <c r="U213" s="74"/>
      <c r="V213" s="74" t="str">
        <v>广东省广告集团股份有限公司</v>
      </c>
      <c r="W213" s="74" t="str">
        <v>抖音</v>
      </c>
      <c r="X213" s="74" t="str">
        <v>1728523271383053</v>
      </c>
      <c r="Y213" s="74" t="str">
        <v>AD信息流</v>
      </c>
      <c r="Z213" s="74"/>
      <c r="AA213" s="74" t="str">
        <v>否</v>
      </c>
      <c r="AB213" s="74" t="str">
        <v>是</v>
      </c>
      <c r="AC213" s="74" t="str">
        <v>否</v>
      </c>
      <c r="AD213" s="74" t="str">
        <v>是</v>
      </c>
      <c r="AE213" s="74"/>
      <c r="AF213" s="74"/>
      <c r="AG213" s="74"/>
      <c r="AH213" s="74" t="str">
        <v>白纸（张浩霖）</v>
      </c>
      <c r="AI213" s="74"/>
      <c r="AJ213" s="74" t="str">
        <v>杭州宜格化妆品有限公司</v>
      </c>
      <c r="AK213" s="74"/>
      <c r="AL213" s="74"/>
      <c r="AM213" s="74"/>
      <c r="AN213" s="74" t="str">
        <v>代投</v>
      </c>
      <c r="AO213" s="131">
        <v>36526</v>
      </c>
      <c r="AP213" s="74" t="str">
        <v>站外</v>
      </c>
      <c r="AQ213" s="74" t="str">
        <v>1728523271383053</v>
      </c>
      <c r="AR213" s="74"/>
      <c r="AS213" s="74" t="str">
        <v>1728523271383053</v>
      </c>
      <c r="AT213" s="74" t="str">
        <v>花西子</v>
      </c>
    </row>
    <row r="214">
      <c r="A214" s="74" t="str">
        <v>03144022cd88ffcff3f0d6cfb2be0001</v>
      </c>
      <c r="B214" s="74"/>
      <c r="C214" s="74"/>
      <c r="D214" s="74" t="str">
        <v>ycss02;</v>
      </c>
      <c r="E214" s="74"/>
      <c r="F214" s="25"/>
      <c r="G214" s="74">
        <v>0</v>
      </c>
      <c r="H214" s="74"/>
      <c r="I214" s="74">
        <v>0</v>
      </c>
      <c r="J214" s="74"/>
      <c r="K214" s="74">
        <v>0</v>
      </c>
      <c r="L214" s="74"/>
      <c r="M214" s="74">
        <v>0</v>
      </c>
      <c r="N214" s="74"/>
      <c r="O214" s="74">
        <v>0</v>
      </c>
      <c r="P214" s="74"/>
      <c r="Q214" s="74">
        <v>0</v>
      </c>
      <c r="R214" s="74"/>
      <c r="S214" s="74" t="str">
        <v>未完结</v>
      </c>
      <c r="T214" s="74"/>
      <c r="U214" s="74"/>
      <c r="V214" s="74" t="str">
        <v>群邑（上海）广告有限公司</v>
      </c>
      <c r="W214" s="74" t="str">
        <v>抖音</v>
      </c>
      <c r="X214" s="74" t="str">
        <v>1730073308801037</v>
      </c>
      <c r="Y214" s="74" t="str">
        <v>AD信息流</v>
      </c>
      <c r="Z214" s="74"/>
      <c r="AA214" s="74" t="str">
        <v>否</v>
      </c>
      <c r="AB214" s="74" t="str">
        <v>是</v>
      </c>
      <c r="AC214" s="74" t="str">
        <v>否</v>
      </c>
      <c r="AD214" s="74" t="str">
        <v>是</v>
      </c>
      <c r="AE214" s="74"/>
      <c r="AF214" s="74"/>
      <c r="AG214" s="74"/>
      <c r="AH214" s="74" t="str">
        <v>白纸（张浩霖）</v>
      </c>
      <c r="AI214" s="74"/>
      <c r="AJ214" s="74" t="str">
        <v>杭州宜格化妆品有限公司</v>
      </c>
      <c r="AK214" s="74"/>
      <c r="AL214" s="74"/>
      <c r="AM214" s="74"/>
      <c r="AN214" s="74" t="str">
        <v>代投</v>
      </c>
      <c r="AO214" s="131">
        <v>36526</v>
      </c>
      <c r="AP214" s="74" t="str">
        <v>站外</v>
      </c>
      <c r="AQ214" s="74" t="str">
        <v>1730073308801037</v>
      </c>
      <c r="AR214" s="74"/>
      <c r="AS214" s="74" t="str">
        <v>1730073308801037</v>
      </c>
      <c r="AT214" s="74" t="str">
        <v>花西子</v>
      </c>
    </row>
    <row r="215">
      <c r="A215" s="74" t="str">
        <v>03144022ce88ffcff3f0d6cfb2be0001</v>
      </c>
      <c r="B215" s="74"/>
      <c r="C215" s="74"/>
      <c r="D215" s="74" t="str">
        <v>ycss02;</v>
      </c>
      <c r="E215" s="74"/>
      <c r="F215" s="25"/>
      <c r="G215" s="74">
        <v>0</v>
      </c>
      <c r="H215" s="74"/>
      <c r="I215" s="74">
        <v>0</v>
      </c>
      <c r="J215" s="74"/>
      <c r="K215" s="74">
        <v>0</v>
      </c>
      <c r="L215" s="74"/>
      <c r="M215" s="74">
        <v>0</v>
      </c>
      <c r="N215" s="74"/>
      <c r="O215" s="74">
        <v>0</v>
      </c>
      <c r="P215" s="74"/>
      <c r="Q215" s="74">
        <v>0</v>
      </c>
      <c r="R215" s="74"/>
      <c r="S215" s="74" t="str">
        <v>未完结</v>
      </c>
      <c r="T215" s="74"/>
      <c r="U215" s="74"/>
      <c r="V215" s="74" t="str">
        <v>广东省广告集团股份有限公司</v>
      </c>
      <c r="W215" s="74" t="str">
        <v>抖音</v>
      </c>
      <c r="X215" s="74" t="str">
        <v>1731351048004615</v>
      </c>
      <c r="Y215" s="74" t="str">
        <v>AD信息流</v>
      </c>
      <c r="Z215" s="74"/>
      <c r="AA215" s="74" t="str">
        <v>否</v>
      </c>
      <c r="AB215" s="74" t="str">
        <v>是</v>
      </c>
      <c r="AC215" s="74" t="str">
        <v>否</v>
      </c>
      <c r="AD215" s="74" t="str">
        <v>是</v>
      </c>
      <c r="AE215" s="74"/>
      <c r="AF215" s="74"/>
      <c r="AG215" s="74"/>
      <c r="AH215" s="74" t="str">
        <v>白纸（张浩霖）</v>
      </c>
      <c r="AI215" s="74"/>
      <c r="AJ215" s="74" t="str">
        <v>杭州宜格化妆品有限公司</v>
      </c>
      <c r="AK215" s="74"/>
      <c r="AL215" s="74"/>
      <c r="AM215" s="74"/>
      <c r="AN215" s="74" t="str">
        <v>自投</v>
      </c>
      <c r="AO215" s="131">
        <v>36526</v>
      </c>
      <c r="AP215" s="74" t="str">
        <v>站外</v>
      </c>
      <c r="AQ215" s="74" t="str">
        <v>1731351048004615</v>
      </c>
      <c r="AR215" s="74"/>
      <c r="AS215" s="74" t="str">
        <v>1731351048004615</v>
      </c>
      <c r="AT215" s="74" t="str">
        <v>花西子</v>
      </c>
    </row>
    <row r="216">
      <c r="A216" s="74" t="str">
        <v>03144022cf98ffcff3f0d6cfb2be0001</v>
      </c>
      <c r="B216" s="74"/>
      <c r="C216" s="74"/>
      <c r="D216" s="74" t="str">
        <v>ycss02;</v>
      </c>
      <c r="E216" s="74"/>
      <c r="F216" s="25"/>
      <c r="G216" s="74">
        <v>0</v>
      </c>
      <c r="H216" s="74"/>
      <c r="I216" s="74">
        <v>0</v>
      </c>
      <c r="J216" s="74"/>
      <c r="K216" s="74">
        <v>0</v>
      </c>
      <c r="L216" s="74"/>
      <c r="M216" s="74">
        <v>0</v>
      </c>
      <c r="N216" s="74"/>
      <c r="O216" s="74">
        <v>0</v>
      </c>
      <c r="P216" s="74"/>
      <c r="Q216" s="74">
        <v>0</v>
      </c>
      <c r="R216" s="74"/>
      <c r="S216" s="74" t="str">
        <v>未完结</v>
      </c>
      <c r="T216" s="74"/>
      <c r="U216" s="74"/>
      <c r="V216" s="74" t="str">
        <v>广东省广告集团股份有限公司</v>
      </c>
      <c r="W216" s="74" t="str">
        <v>抖音</v>
      </c>
      <c r="X216" s="74" t="str">
        <v>1742589748362248</v>
      </c>
      <c r="Y216" s="74" t="str">
        <v>AD信息流</v>
      </c>
      <c r="Z216" s="74"/>
      <c r="AA216" s="74" t="str">
        <v>否</v>
      </c>
      <c r="AB216" s="74" t="str">
        <v>是</v>
      </c>
      <c r="AC216" s="74" t="str">
        <v>否</v>
      </c>
      <c r="AD216" s="74" t="str">
        <v>是</v>
      </c>
      <c r="AE216" s="74"/>
      <c r="AF216" s="74"/>
      <c r="AG216" s="74"/>
      <c r="AH216" s="74" t="str">
        <v>白纸（张浩霖）</v>
      </c>
      <c r="AI216" s="74"/>
      <c r="AJ216" s="74" t="str">
        <v>浙江宜格企业管理集团有限公司</v>
      </c>
      <c r="AK216" s="74"/>
      <c r="AL216" s="74"/>
      <c r="AM216" s="74"/>
      <c r="AN216" s="74" t="str">
        <v>自投</v>
      </c>
      <c r="AO216" s="131">
        <v>36526</v>
      </c>
      <c r="AP216" s="74" t="str">
        <v>站外</v>
      </c>
      <c r="AQ216" s="74" t="str">
        <v>1742589748362248</v>
      </c>
      <c r="AR216" s="74"/>
      <c r="AS216" s="74" t="str">
        <v>1742589748362248</v>
      </c>
      <c r="AT216" s="74" t="str">
        <v>花西子</v>
      </c>
    </row>
    <row r="217">
      <c r="A217" s="74" t="str">
        <v>03144022d088ffcff3f0d6cfb2be0001</v>
      </c>
      <c r="B217" s="74"/>
      <c r="C217" s="74"/>
      <c r="D217" s="74" t="str">
        <v>ycss02;</v>
      </c>
      <c r="E217" s="74"/>
      <c r="F217" s="25"/>
      <c r="G217" s="74">
        <v>0</v>
      </c>
      <c r="H217" s="74"/>
      <c r="I217" s="74">
        <v>0</v>
      </c>
      <c r="J217" s="74"/>
      <c r="K217" s="74">
        <v>0</v>
      </c>
      <c r="L217" s="74"/>
      <c r="M217" s="74">
        <v>0</v>
      </c>
      <c r="N217" s="74"/>
      <c r="O217" s="74">
        <v>0</v>
      </c>
      <c r="P217" s="74"/>
      <c r="Q217" s="74">
        <v>0</v>
      </c>
      <c r="R217" s="74"/>
      <c r="S217" s="74" t="str">
        <v>未完结</v>
      </c>
      <c r="T217" s="74"/>
      <c r="U217" s="74"/>
      <c r="V217" s="74" t="str">
        <v>广东省广告集团股份有限公司</v>
      </c>
      <c r="W217" s="74" t="str">
        <v>抖音</v>
      </c>
      <c r="X217" s="74" t="str">
        <v>1742589749370958</v>
      </c>
      <c r="Y217" s="74" t="str">
        <v>AD信息流</v>
      </c>
      <c r="Z217" s="74"/>
      <c r="AA217" s="74" t="str">
        <v>否</v>
      </c>
      <c r="AB217" s="74" t="str">
        <v>是</v>
      </c>
      <c r="AC217" s="74" t="str">
        <v>否</v>
      </c>
      <c r="AD217" s="74" t="str">
        <v>是</v>
      </c>
      <c r="AE217" s="74"/>
      <c r="AF217" s="74"/>
      <c r="AG217" s="74"/>
      <c r="AH217" s="74" t="str">
        <v>白纸（张浩霖）</v>
      </c>
      <c r="AI217" s="74"/>
      <c r="AJ217" s="74" t="str">
        <v>浙江宜格企业管理集团有限公司</v>
      </c>
      <c r="AK217" s="74"/>
      <c r="AL217" s="74"/>
      <c r="AM217" s="74"/>
      <c r="AN217" s="74" t="str">
        <v>自投</v>
      </c>
      <c r="AO217" s="131">
        <v>36526</v>
      </c>
      <c r="AP217" s="74" t="str">
        <v>站外</v>
      </c>
      <c r="AQ217" s="74" t="str">
        <v>1742589749370958</v>
      </c>
      <c r="AR217" s="74"/>
      <c r="AS217" s="74" t="str">
        <v>1742589749370958</v>
      </c>
      <c r="AT217" s="74" t="str">
        <v>花西子</v>
      </c>
    </row>
    <row r="218">
      <c r="A218" s="74" t="str">
        <v>03144022d178ffcff3f0d6cfb2be0001</v>
      </c>
      <c r="B218" s="74"/>
      <c r="C218" s="74"/>
      <c r="D218" s="74" t="str">
        <v>ycss02;</v>
      </c>
      <c r="E218" s="74"/>
      <c r="F218" s="25"/>
      <c r="G218" s="74">
        <v>0</v>
      </c>
      <c r="H218" s="74"/>
      <c r="I218" s="74">
        <v>0</v>
      </c>
      <c r="J218" s="74"/>
      <c r="K218" s="74">
        <v>0</v>
      </c>
      <c r="L218" s="74"/>
      <c r="M218" s="74">
        <v>0</v>
      </c>
      <c r="N218" s="74"/>
      <c r="O218" s="74">
        <v>0</v>
      </c>
      <c r="P218" s="74"/>
      <c r="Q218" s="74">
        <v>0</v>
      </c>
      <c r="R218" s="74"/>
      <c r="S218" s="74" t="str">
        <v>未完结</v>
      </c>
      <c r="T218" s="74"/>
      <c r="U218" s="74"/>
      <c r="V218" s="74" t="str">
        <v>广东省广告集团股份有限公司</v>
      </c>
      <c r="W218" s="74" t="str">
        <v>抖音</v>
      </c>
      <c r="X218" s="74" t="str">
        <v>1744631352392711</v>
      </c>
      <c r="Y218" s="74" t="str">
        <v>AD信息流</v>
      </c>
      <c r="Z218" s="74"/>
      <c r="AA218" s="74" t="str">
        <v>否</v>
      </c>
      <c r="AB218" s="74" t="str">
        <v>是</v>
      </c>
      <c r="AC218" s="74" t="str">
        <v>否</v>
      </c>
      <c r="AD218" s="74" t="str">
        <v>是</v>
      </c>
      <c r="AE218" s="74"/>
      <c r="AF218" s="74"/>
      <c r="AG218" s="74"/>
      <c r="AH218" s="74" t="str">
        <v>白纸（张浩霖）</v>
      </c>
      <c r="AI218" s="74"/>
      <c r="AJ218" s="74" t="str">
        <v>杭州宜格化妆品有限公司</v>
      </c>
      <c r="AK218" s="74"/>
      <c r="AL218" s="74"/>
      <c r="AM218" s="74"/>
      <c r="AN218" s="74" t="str">
        <v>代投</v>
      </c>
      <c r="AO218" s="131">
        <v>36526</v>
      </c>
      <c r="AP218" s="74" t="str">
        <v>站外</v>
      </c>
      <c r="AQ218" s="74" t="str">
        <v>1744631352392711</v>
      </c>
      <c r="AR218" s="74"/>
      <c r="AS218" s="74" t="str">
        <v>1744631352392711</v>
      </c>
      <c r="AT218" s="74" t="str">
        <v>花西子</v>
      </c>
    </row>
    <row r="219">
      <c r="A219" s="74" t="str">
        <v>03144022d278ffcff3f0d6cfb2be0001</v>
      </c>
      <c r="B219" s="74"/>
      <c r="C219" s="74"/>
      <c r="D219" s="74" t="str">
        <v>ycss02;</v>
      </c>
      <c r="E219" s="74"/>
      <c r="F219" s="25"/>
      <c r="G219" s="74">
        <v>0</v>
      </c>
      <c r="H219" s="74"/>
      <c r="I219" s="74">
        <v>0</v>
      </c>
      <c r="J219" s="74"/>
      <c r="K219" s="74">
        <v>0</v>
      </c>
      <c r="L219" s="74"/>
      <c r="M219" s="74">
        <v>0</v>
      </c>
      <c r="N219" s="74"/>
      <c r="O219" s="74">
        <v>0</v>
      </c>
      <c r="P219" s="74"/>
      <c r="Q219" s="74">
        <v>0</v>
      </c>
      <c r="R219" s="74"/>
      <c r="S219" s="74" t="str">
        <v>未完结</v>
      </c>
      <c r="T219" s="74"/>
      <c r="U219" s="74"/>
      <c r="V219" s="74" t="str">
        <v>群邑（上海）广告有限公司</v>
      </c>
      <c r="W219" s="74" t="str">
        <v>抖音</v>
      </c>
      <c r="X219" s="74" t="str">
        <v>1744649915421709</v>
      </c>
      <c r="Y219" s="74" t="str">
        <v>AD信息流</v>
      </c>
      <c r="Z219" s="74"/>
      <c r="AA219" s="74" t="str">
        <v>否</v>
      </c>
      <c r="AB219" s="74" t="str">
        <v>是</v>
      </c>
      <c r="AC219" s="74" t="str">
        <v>否</v>
      </c>
      <c r="AD219" s="74" t="str">
        <v>是</v>
      </c>
      <c r="AE219" s="74"/>
      <c r="AF219" s="74"/>
      <c r="AG219" s="74"/>
      <c r="AH219" s="74" t="str">
        <v>白纸（张浩霖）</v>
      </c>
      <c r="AI219" s="74"/>
      <c r="AJ219" s="74" t="str">
        <v>杭州宜格化妆品有限公司</v>
      </c>
      <c r="AK219" s="74"/>
      <c r="AL219" s="74"/>
      <c r="AM219" s="74"/>
      <c r="AN219" s="74" t="str">
        <v>代投</v>
      </c>
      <c r="AO219" s="131">
        <v>36526</v>
      </c>
      <c r="AP219" s="74" t="str">
        <v>站外</v>
      </c>
      <c r="AQ219" s="74" t="str">
        <v>1744649915421709</v>
      </c>
      <c r="AR219" s="74"/>
      <c r="AS219" s="74" t="str">
        <v>1744649915421709</v>
      </c>
      <c r="AT219" s="74" t="str">
        <v>花西子</v>
      </c>
    </row>
    <row r="220">
      <c r="A220" s="74" t="str">
        <v>03144022d378ffcff3f0d6cfb2be0001</v>
      </c>
      <c r="B220" s="74"/>
      <c r="C220" s="74"/>
      <c r="D220" s="74" t="str">
        <v>ycss02;</v>
      </c>
      <c r="E220" s="74"/>
      <c r="F220" s="25"/>
      <c r="G220" s="74">
        <v>0</v>
      </c>
      <c r="H220" s="74"/>
      <c r="I220" s="74">
        <v>0</v>
      </c>
      <c r="J220" s="74"/>
      <c r="K220" s="74">
        <v>0</v>
      </c>
      <c r="L220" s="74"/>
      <c r="M220" s="74">
        <v>0</v>
      </c>
      <c r="N220" s="74"/>
      <c r="O220" s="74">
        <v>0</v>
      </c>
      <c r="P220" s="74"/>
      <c r="Q220" s="74">
        <v>0</v>
      </c>
      <c r="R220" s="74"/>
      <c r="S220" s="74" t="str">
        <v>未完结</v>
      </c>
      <c r="T220" s="74"/>
      <c r="U220" s="74"/>
      <c r="V220" s="74" t="str">
        <v>群邑（上海）广告有限公司</v>
      </c>
      <c r="W220" s="74" t="str">
        <v>抖音</v>
      </c>
      <c r="X220" s="74" t="str">
        <v>1744649916001287</v>
      </c>
      <c r="Y220" s="74" t="str">
        <v>AD信息流</v>
      </c>
      <c r="Z220" s="74"/>
      <c r="AA220" s="74" t="str">
        <v>否</v>
      </c>
      <c r="AB220" s="74" t="str">
        <v>是</v>
      </c>
      <c r="AC220" s="74" t="str">
        <v>否</v>
      </c>
      <c r="AD220" s="74" t="str">
        <v>是</v>
      </c>
      <c r="AE220" s="74"/>
      <c r="AF220" s="74"/>
      <c r="AG220" s="74"/>
      <c r="AH220" s="74" t="str">
        <v>白纸（张浩霖）</v>
      </c>
      <c r="AI220" s="74"/>
      <c r="AJ220" s="74" t="str">
        <v>杭州宜格化妆品有限公司</v>
      </c>
      <c r="AK220" s="74"/>
      <c r="AL220" s="74"/>
      <c r="AM220" s="74"/>
      <c r="AN220" s="74" t="str">
        <v>代投</v>
      </c>
      <c r="AO220" s="131">
        <v>36526</v>
      </c>
      <c r="AP220" s="74" t="str">
        <v>站外</v>
      </c>
      <c r="AQ220" s="74" t="str">
        <v>1744649916001287</v>
      </c>
      <c r="AR220" s="74"/>
      <c r="AS220" s="74" t="str">
        <v>1744649916001287</v>
      </c>
      <c r="AT220" s="74" t="str">
        <v>花西子</v>
      </c>
    </row>
    <row r="221">
      <c r="A221" s="74" t="str">
        <v>03144022d468ffcff3f0d6cfb2be0001</v>
      </c>
      <c r="B221" s="74"/>
      <c r="C221" s="74"/>
      <c r="D221" s="74" t="str">
        <v>ycss02;</v>
      </c>
      <c r="E221" s="74"/>
      <c r="F221" s="25"/>
      <c r="G221" s="74">
        <v>0</v>
      </c>
      <c r="H221" s="74"/>
      <c r="I221" s="74">
        <v>0</v>
      </c>
      <c r="J221" s="74"/>
      <c r="K221" s="74">
        <v>0</v>
      </c>
      <c r="L221" s="74"/>
      <c r="M221" s="74">
        <v>0</v>
      </c>
      <c r="N221" s="74"/>
      <c r="O221" s="74">
        <v>0</v>
      </c>
      <c r="P221" s="74"/>
      <c r="Q221" s="74">
        <v>0</v>
      </c>
      <c r="R221" s="74"/>
      <c r="S221" s="74" t="str">
        <v>未完结</v>
      </c>
      <c r="T221" s="74"/>
      <c r="U221" s="74"/>
      <c r="V221" s="74" t="str">
        <v>群邑（上海）广告有限公司</v>
      </c>
      <c r="W221" s="74" t="str">
        <v>抖音</v>
      </c>
      <c r="X221" s="74" t="str">
        <v>1744649917219854</v>
      </c>
      <c r="Y221" s="74" t="str">
        <v>AD信息流</v>
      </c>
      <c r="Z221" s="74"/>
      <c r="AA221" s="74" t="str">
        <v>否</v>
      </c>
      <c r="AB221" s="74" t="str">
        <v>是</v>
      </c>
      <c r="AC221" s="74" t="str">
        <v>否</v>
      </c>
      <c r="AD221" s="74" t="str">
        <v>是</v>
      </c>
      <c r="AE221" s="74"/>
      <c r="AF221" s="74"/>
      <c r="AG221" s="74"/>
      <c r="AH221" s="74" t="str">
        <v>白纸（张浩霖）</v>
      </c>
      <c r="AI221" s="74"/>
      <c r="AJ221" s="74" t="str">
        <v>杭州宜格化妆品有限公司</v>
      </c>
      <c r="AK221" s="74"/>
      <c r="AL221" s="74"/>
      <c r="AM221" s="74"/>
      <c r="AN221" s="74" t="str">
        <v>代投</v>
      </c>
      <c r="AO221" s="131">
        <v>36526</v>
      </c>
      <c r="AP221" s="74" t="str">
        <v>站外</v>
      </c>
      <c r="AQ221" s="74" t="str">
        <v>1744649917219854</v>
      </c>
      <c r="AR221" s="74"/>
      <c r="AS221" s="74" t="str">
        <v>1744649917219854</v>
      </c>
      <c r="AT221" s="74" t="str">
        <v>花西子</v>
      </c>
    </row>
    <row r="222">
      <c r="A222" s="74" t="str">
        <v>03144022d568ffcff3f0d6cfb2be0001</v>
      </c>
      <c r="B222" s="74"/>
      <c r="C222" s="74"/>
      <c r="D222" s="74" t="str">
        <v>ycss02;</v>
      </c>
      <c r="E222" s="74"/>
      <c r="F222" s="25"/>
      <c r="G222" s="74">
        <v>0</v>
      </c>
      <c r="H222" s="74"/>
      <c r="I222" s="74">
        <v>0</v>
      </c>
      <c r="J222" s="74"/>
      <c r="K222" s="74">
        <v>0</v>
      </c>
      <c r="L222" s="74"/>
      <c r="M222" s="74">
        <v>0</v>
      </c>
      <c r="N222" s="74"/>
      <c r="O222" s="74">
        <v>0</v>
      </c>
      <c r="P222" s="74"/>
      <c r="Q222" s="74">
        <v>0</v>
      </c>
      <c r="R222" s="74"/>
      <c r="S222" s="74" t="str">
        <v>未完结</v>
      </c>
      <c r="T222" s="74"/>
      <c r="U222" s="74"/>
      <c r="V222" s="74" t="str">
        <v>广东省广告集团股份有限公司</v>
      </c>
      <c r="W222" s="74" t="str">
        <v>抖音</v>
      </c>
      <c r="X222" s="74" t="str">
        <v>1744729040047112</v>
      </c>
      <c r="Y222" s="74" t="str">
        <v>AD信息流</v>
      </c>
      <c r="Z222" s="74"/>
      <c r="AA222" s="74" t="str">
        <v>否</v>
      </c>
      <c r="AB222" s="74" t="str">
        <v>是</v>
      </c>
      <c r="AC222" s="74" t="str">
        <v>否</v>
      </c>
      <c r="AD222" s="74" t="str">
        <v>是</v>
      </c>
      <c r="AE222" s="74"/>
      <c r="AF222" s="74"/>
      <c r="AG222" s="74"/>
      <c r="AH222" s="74" t="str">
        <v>白纸（张浩霖）</v>
      </c>
      <c r="AI222" s="74"/>
      <c r="AJ222" s="74" t="str">
        <v>杭州宜格化妆品有限公司</v>
      </c>
      <c r="AK222" s="74"/>
      <c r="AL222" s="74"/>
      <c r="AM222" s="74"/>
      <c r="AN222" s="74" t="str">
        <v>代投</v>
      </c>
      <c r="AO222" s="131">
        <v>36526</v>
      </c>
      <c r="AP222" s="74" t="str">
        <v>站外</v>
      </c>
      <c r="AQ222" s="74" t="str">
        <v>1744729040047112</v>
      </c>
      <c r="AR222" s="74"/>
      <c r="AS222" s="74" t="str">
        <v>1744729040047112</v>
      </c>
      <c r="AT222" s="74" t="str">
        <v>花西子</v>
      </c>
    </row>
    <row r="223">
      <c r="A223" s="74" t="str">
        <v>03144022d658ffcff3f0d6cfb2be0001</v>
      </c>
      <c r="B223" s="74"/>
      <c r="C223" s="74"/>
      <c r="D223" s="74" t="str">
        <v>ycss02;</v>
      </c>
      <c r="E223" s="74"/>
      <c r="F223" s="25"/>
      <c r="G223" s="74">
        <v>0</v>
      </c>
      <c r="H223" s="74"/>
      <c r="I223" s="74">
        <v>0</v>
      </c>
      <c r="J223" s="74"/>
      <c r="K223" s="74">
        <v>0</v>
      </c>
      <c r="L223" s="74"/>
      <c r="M223" s="74">
        <v>0</v>
      </c>
      <c r="N223" s="74"/>
      <c r="O223" s="74">
        <v>0</v>
      </c>
      <c r="P223" s="74"/>
      <c r="Q223" s="74">
        <v>0</v>
      </c>
      <c r="R223" s="74"/>
      <c r="S223" s="74" t="str">
        <v>未完结</v>
      </c>
      <c r="T223" s="74"/>
      <c r="U223" s="74"/>
      <c r="V223" s="74" t="str">
        <v>广东省广告集团股份有限公司</v>
      </c>
      <c r="W223" s="74" t="str">
        <v>抖音</v>
      </c>
      <c r="X223" s="74" t="str">
        <v>1747107072823310</v>
      </c>
      <c r="Y223" s="74" t="str">
        <v>AD信息流</v>
      </c>
      <c r="Z223" s="74"/>
      <c r="AA223" s="74" t="str">
        <v>否</v>
      </c>
      <c r="AB223" s="74" t="str">
        <v>是</v>
      </c>
      <c r="AC223" s="74" t="str">
        <v>否</v>
      </c>
      <c r="AD223" s="74" t="str">
        <v>是</v>
      </c>
      <c r="AE223" s="74"/>
      <c r="AF223" s="74"/>
      <c r="AG223" s="74"/>
      <c r="AH223" s="74" t="str">
        <v>白纸（张浩霖）</v>
      </c>
      <c r="AI223" s="74"/>
      <c r="AJ223" s="74" t="str">
        <v>杭州宜格化妆品有限公司</v>
      </c>
      <c r="AK223" s="74"/>
      <c r="AL223" s="74"/>
      <c r="AM223" s="74"/>
      <c r="AN223" s="74" t="str">
        <v>自投</v>
      </c>
      <c r="AO223" s="131">
        <v>36526</v>
      </c>
      <c r="AP223" s="74" t="str">
        <v>站外</v>
      </c>
      <c r="AQ223" s="74" t="str">
        <v>1747107072823310</v>
      </c>
      <c r="AR223" s="74"/>
      <c r="AS223" s="74" t="str">
        <v>1747107072823310</v>
      </c>
      <c r="AT223" s="74" t="str">
        <v>花西子</v>
      </c>
    </row>
    <row r="224">
      <c r="A224" s="74" t="str">
        <v>03144022d768ffcff3f0d6cfb2be0001</v>
      </c>
      <c r="B224" s="74"/>
      <c r="C224" s="74"/>
      <c r="D224" s="74" t="str">
        <v>ycss02;</v>
      </c>
      <c r="E224" s="74"/>
      <c r="F224" s="25"/>
      <c r="G224" s="74">
        <v>0</v>
      </c>
      <c r="H224" s="74"/>
      <c r="I224" s="74">
        <v>0</v>
      </c>
      <c r="J224" s="74"/>
      <c r="K224" s="74">
        <v>0</v>
      </c>
      <c r="L224" s="74"/>
      <c r="M224" s="74">
        <v>0</v>
      </c>
      <c r="N224" s="74"/>
      <c r="O224" s="74">
        <v>0</v>
      </c>
      <c r="P224" s="74"/>
      <c r="Q224" s="74">
        <v>0</v>
      </c>
      <c r="R224" s="74"/>
      <c r="S224" s="74" t="str">
        <v>未完结</v>
      </c>
      <c r="T224" s="74"/>
      <c r="U224" s="74"/>
      <c r="V224" s="74" t="str">
        <v>广东省广告集团股份有限公司</v>
      </c>
      <c r="W224" s="74" t="str">
        <v>抖音</v>
      </c>
      <c r="X224" s="74" t="str">
        <v>1746462419856398</v>
      </c>
      <c r="Y224" s="74" t="str">
        <v>AD信息流</v>
      </c>
      <c r="Z224" s="74"/>
      <c r="AA224" s="74" t="str">
        <v>否</v>
      </c>
      <c r="AB224" s="74" t="str">
        <v>是</v>
      </c>
      <c r="AC224" s="74" t="str">
        <v>否</v>
      </c>
      <c r="AD224" s="74" t="str">
        <v>是</v>
      </c>
      <c r="AE224" s="74"/>
      <c r="AF224" s="74"/>
      <c r="AG224" s="74"/>
      <c r="AH224" s="74" t="str">
        <v>白纸（张浩霖）</v>
      </c>
      <c r="AI224" s="74"/>
      <c r="AJ224" s="74" t="str">
        <v>杭州宜格化妆品有限公司</v>
      </c>
      <c r="AK224" s="74"/>
      <c r="AL224" s="74"/>
      <c r="AM224" s="74"/>
      <c r="AN224" s="74" t="str">
        <v>自投</v>
      </c>
      <c r="AO224" s="131">
        <v>36526</v>
      </c>
      <c r="AP224" s="74" t="str">
        <v>站外</v>
      </c>
      <c r="AQ224" s="74" t="str">
        <v>1746462419856398</v>
      </c>
      <c r="AR224" s="74"/>
      <c r="AS224" s="74" t="str">
        <v>1746462419856398</v>
      </c>
      <c r="AT224" s="74" t="str">
        <v>花西子</v>
      </c>
    </row>
    <row r="225">
      <c r="A225" s="74" t="str">
        <v>03144022d868ffcff3f0d6cfb2be0001</v>
      </c>
      <c r="B225" s="74"/>
      <c r="C225" s="74"/>
      <c r="D225" s="74" t="str">
        <v>ycss02;</v>
      </c>
      <c r="E225" s="74"/>
      <c r="F225" s="25"/>
      <c r="G225" s="74">
        <v>0</v>
      </c>
      <c r="H225" s="74"/>
      <c r="I225" s="74">
        <v>0</v>
      </c>
      <c r="J225" s="74"/>
      <c r="K225" s="74">
        <v>0</v>
      </c>
      <c r="L225" s="74"/>
      <c r="M225" s="74">
        <v>0</v>
      </c>
      <c r="N225" s="74"/>
      <c r="O225" s="74">
        <v>0</v>
      </c>
      <c r="P225" s="74"/>
      <c r="Q225" s="74">
        <v>0</v>
      </c>
      <c r="R225" s="74"/>
      <c r="S225" s="74" t="str">
        <v>未完结</v>
      </c>
      <c r="T225" s="74"/>
      <c r="U225" s="74"/>
      <c r="V225" s="74" t="str">
        <v>湖北巨量引擎科技有限公司</v>
      </c>
      <c r="W225" s="74" t="str">
        <v>抖音</v>
      </c>
      <c r="X225" s="74" t="str">
        <v>1710588438708239</v>
      </c>
      <c r="Y225" s="74" t="str">
        <v>抖音官号DOU+</v>
      </c>
      <c r="Z225" s="74"/>
      <c r="AA225" s="74" t="str">
        <v>否</v>
      </c>
      <c r="AB225" s="74" t="str">
        <v>否</v>
      </c>
      <c r="AC225" s="74" t="str">
        <v>是</v>
      </c>
      <c r="AD225" s="74" t="str">
        <v>是</v>
      </c>
      <c r="AE225" s="74"/>
      <c r="AF225" s="74"/>
      <c r="AG225" s="74"/>
      <c r="AH225" s="74"/>
      <c r="AI225" s="74"/>
      <c r="AJ225" s="74" t="str">
        <v>杭州宜格化妆品有限公司</v>
      </c>
      <c r="AK225" s="74"/>
      <c r="AL225" s="74"/>
      <c r="AM225" s="74"/>
      <c r="AN225" s="74" t="str">
        <v>自投</v>
      </c>
      <c r="AO225" s="131">
        <v>36526</v>
      </c>
      <c r="AP225" s="74" t="str">
        <v>站内</v>
      </c>
      <c r="AQ225" s="74" t="str">
        <v>1710588438708239</v>
      </c>
      <c r="AR225" s="74"/>
      <c r="AS225" s="74" t="str">
        <v>花西子在海外</v>
      </c>
      <c r="AT225" s="74" t="str">
        <v>花西子</v>
      </c>
    </row>
    <row r="226">
      <c r="A226" s="74" t="str">
        <v>03144022d968ffcff3f0d6cfb2be0001</v>
      </c>
      <c r="B226" s="74"/>
      <c r="C226" s="74"/>
      <c r="D226" s="74" t="str">
        <v>ycss02;</v>
      </c>
      <c r="E226" s="74"/>
      <c r="F226" s="25"/>
      <c r="G226" s="74">
        <v>0</v>
      </c>
      <c r="H226" s="74"/>
      <c r="I226" s="74">
        <v>0</v>
      </c>
      <c r="J226" s="74"/>
      <c r="K226" s="74">
        <v>0</v>
      </c>
      <c r="L226" s="74"/>
      <c r="M226" s="74">
        <v>0</v>
      </c>
      <c r="N226" s="74"/>
      <c r="O226" s="74">
        <v>0</v>
      </c>
      <c r="P226" s="74"/>
      <c r="Q226" s="74">
        <v>0</v>
      </c>
      <c r="R226" s="74"/>
      <c r="S226" s="74" t="str">
        <v>未完结</v>
      </c>
      <c r="T226" s="74"/>
      <c r="U226" s="74"/>
      <c r="V226" s="74" t="str">
        <v>湖北巨量引擎科技有限公司</v>
      </c>
      <c r="W226" s="74" t="str">
        <v>抖音</v>
      </c>
      <c r="X226" s="74" t="str">
        <v>1689943229305863</v>
      </c>
      <c r="Y226" s="74" t="str">
        <v>矩阵号DOU+</v>
      </c>
      <c r="Z226" s="74"/>
      <c r="AA226" s="74" t="str">
        <v>否</v>
      </c>
      <c r="AB226" s="74" t="str">
        <v>否</v>
      </c>
      <c r="AC226" s="74" t="str">
        <v>是</v>
      </c>
      <c r="AD226" s="74" t="str">
        <v>是</v>
      </c>
      <c r="AE226" s="74"/>
      <c r="AF226" s="74"/>
      <c r="AG226" s="74"/>
      <c r="AH226" s="74"/>
      <c r="AI226" s="74"/>
      <c r="AJ226" s="74" t="str">
        <v>杭州宜格化妆品有限公司</v>
      </c>
      <c r="AK226" s="74"/>
      <c r="AL226" s="74"/>
      <c r="AM226" s="74"/>
      <c r="AN226" s="74" t="str">
        <v>自投</v>
      </c>
      <c r="AO226" s="131">
        <v>36526</v>
      </c>
      <c r="AP226" s="74" t="str">
        <v>站内</v>
      </c>
      <c r="AQ226" s="74" t="str">
        <v>1689943229305863</v>
      </c>
      <c r="AR226" s="74"/>
      <c r="AS226" s="74" t="str">
        <v>花西子妆养旗舰店</v>
      </c>
      <c r="AT226" s="74" t="str">
        <v>花西子</v>
      </c>
    </row>
    <row r="227">
      <c r="A227" s="74" t="str">
        <v>03144022da68ffcff3f0d6cfb2be0001</v>
      </c>
      <c r="B227" s="74"/>
      <c r="C227" s="74"/>
      <c r="D227" s="74" t="str">
        <v>ycss02;</v>
      </c>
      <c r="E227" s="74"/>
      <c r="F227" s="25"/>
      <c r="G227" s="74">
        <v>0</v>
      </c>
      <c r="H227" s="74"/>
      <c r="I227" s="74">
        <v>0</v>
      </c>
      <c r="J227" s="74"/>
      <c r="K227" s="74">
        <v>0</v>
      </c>
      <c r="L227" s="74"/>
      <c r="M227" s="74">
        <v>0</v>
      </c>
      <c r="N227" s="74"/>
      <c r="O227" s="74">
        <v>0</v>
      </c>
      <c r="P227" s="74"/>
      <c r="Q227" s="74">
        <v>0</v>
      </c>
      <c r="R227" s="74"/>
      <c r="S227" s="74" t="str">
        <v>未完结</v>
      </c>
      <c r="T227" s="74"/>
      <c r="U227" s="74"/>
      <c r="V227" s="74" t="str">
        <v>湖北巨量引擎科技有限公司</v>
      </c>
      <c r="W227" s="74" t="str">
        <v>抖音</v>
      </c>
      <c r="X227" s="74" t="str">
        <v>1673714311187471</v>
      </c>
      <c r="Y227" s="74" t="str">
        <v>矩阵号DOU+</v>
      </c>
      <c r="Z227" s="74"/>
      <c r="AA227" s="74" t="str">
        <v>否</v>
      </c>
      <c r="AB227" s="74" t="str">
        <v>否</v>
      </c>
      <c r="AC227" s="74" t="str">
        <v>是</v>
      </c>
      <c r="AD227" s="74" t="str">
        <v>是</v>
      </c>
      <c r="AE227" s="74"/>
      <c r="AF227" s="74"/>
      <c r="AG227" s="74"/>
      <c r="AH227" s="74"/>
      <c r="AI227" s="74"/>
      <c r="AJ227" s="74" t="str">
        <v>杭州宜格化妆品有限公司</v>
      </c>
      <c r="AK227" s="74"/>
      <c r="AL227" s="74"/>
      <c r="AM227" s="74"/>
      <c r="AN227" s="74" t="str">
        <v>自投</v>
      </c>
      <c r="AO227" s="131">
        <v>36526</v>
      </c>
      <c r="AP227" s="74" t="str">
        <v>站内</v>
      </c>
      <c r="AQ227" s="74" t="str">
        <v>1673714311187471</v>
      </c>
      <c r="AR227" s="74"/>
      <c r="AS227" s="74" t="str">
        <v>花西子官方旗舰店底妆精选</v>
      </c>
      <c r="AT227" s="74" t="str">
        <v>花西子</v>
      </c>
    </row>
    <row r="228">
      <c r="A228" s="74" t="str">
        <v>03144022db58ffcff3f0d6cfb2be0001</v>
      </c>
      <c r="B228" s="74"/>
      <c r="C228" s="74"/>
      <c r="D228" s="74" t="str">
        <v>ycss02;</v>
      </c>
      <c r="E228" s="74"/>
      <c r="F228" s="25"/>
      <c r="G228" s="74">
        <v>0</v>
      </c>
      <c r="H228" s="74"/>
      <c r="I228" s="74">
        <v>0</v>
      </c>
      <c r="J228" s="74"/>
      <c r="K228" s="74">
        <v>0</v>
      </c>
      <c r="L228" s="74"/>
      <c r="M228" s="74">
        <v>0</v>
      </c>
      <c r="N228" s="74"/>
      <c r="O228" s="74">
        <v>0</v>
      </c>
      <c r="P228" s="74"/>
      <c r="Q228" s="74">
        <v>0</v>
      </c>
      <c r="R228" s="74"/>
      <c r="S228" s="74" t="str">
        <v>未完结</v>
      </c>
      <c r="T228" s="74"/>
      <c r="U228" s="74"/>
      <c r="V228" s="74" t="str">
        <v>湖北巨量引擎科技有限公司</v>
      </c>
      <c r="W228" s="74" t="str">
        <v>抖音</v>
      </c>
      <c r="X228" s="74" t="str">
        <v>1709154203629639</v>
      </c>
      <c r="Y228" s="74" t="str">
        <v>矩阵号DOU+</v>
      </c>
      <c r="Z228" s="74"/>
      <c r="AA228" s="74" t="str">
        <v>否</v>
      </c>
      <c r="AB228" s="74" t="str">
        <v>否</v>
      </c>
      <c r="AC228" s="74" t="str">
        <v>是</v>
      </c>
      <c r="AD228" s="74" t="str">
        <v>是</v>
      </c>
      <c r="AE228" s="74"/>
      <c r="AF228" s="74"/>
      <c r="AG228" s="74"/>
      <c r="AH228" s="74"/>
      <c r="AI228" s="74"/>
      <c r="AJ228" s="74" t="str">
        <v>杭州宜格化妆品有限公司</v>
      </c>
      <c r="AK228" s="74"/>
      <c r="AL228" s="74"/>
      <c r="AM228" s="74"/>
      <c r="AN228" s="74" t="str">
        <v>自投</v>
      </c>
      <c r="AO228" s="131">
        <v>36526</v>
      </c>
      <c r="AP228" s="74" t="str">
        <v>站内</v>
      </c>
      <c r="AQ228" s="74" t="str">
        <v>1709154203629639</v>
      </c>
      <c r="AR228" s="74"/>
      <c r="AS228" s="74" t="str">
        <v>花西子礼物精选</v>
      </c>
      <c r="AT228" s="74" t="str">
        <v>花西子</v>
      </c>
    </row>
    <row r="229">
      <c r="A229" s="74" t="str">
        <v>03144022dc58ffcff3f0d6cfb2be0001</v>
      </c>
      <c r="B229" s="74"/>
      <c r="C229" s="74"/>
      <c r="D229" s="74" t="str">
        <v>ycss02;</v>
      </c>
      <c r="E229" s="74"/>
      <c r="F229" s="25"/>
      <c r="G229" s="74">
        <v>0</v>
      </c>
      <c r="H229" s="74"/>
      <c r="I229" s="74">
        <v>0</v>
      </c>
      <c r="J229" s="74"/>
      <c r="K229" s="74">
        <v>0</v>
      </c>
      <c r="L229" s="74"/>
      <c r="M229" s="74">
        <v>0</v>
      </c>
      <c r="N229" s="74"/>
      <c r="O229" s="74">
        <v>0</v>
      </c>
      <c r="P229" s="74"/>
      <c r="Q229" s="74">
        <v>0</v>
      </c>
      <c r="R229" s="74"/>
      <c r="S229" s="74" t="str">
        <v>未完结</v>
      </c>
      <c r="T229" s="74"/>
      <c r="U229" s="74"/>
      <c r="V229" s="74" t="str">
        <v>湖北巨量引擎科技有限公司</v>
      </c>
      <c r="W229" s="74" t="str">
        <v>抖音</v>
      </c>
      <c r="X229" s="74" t="str">
        <v>1676272771724301</v>
      </c>
      <c r="Y229" s="74" t="str">
        <v>矩阵号DOU+</v>
      </c>
      <c r="Z229" s="74"/>
      <c r="AA229" s="74" t="str">
        <v>否</v>
      </c>
      <c r="AB229" s="74" t="str">
        <v>否</v>
      </c>
      <c r="AC229" s="74" t="str">
        <v>是</v>
      </c>
      <c r="AD229" s="74" t="str">
        <v>是</v>
      </c>
      <c r="AE229" s="74"/>
      <c r="AF229" s="74"/>
      <c r="AG229" s="74"/>
      <c r="AH229" s="74"/>
      <c r="AI229" s="74"/>
      <c r="AJ229" s="74" t="str">
        <v>杭州宜格化妆品有限公司</v>
      </c>
      <c r="AK229" s="74"/>
      <c r="AL229" s="74"/>
      <c r="AM229" s="74"/>
      <c r="AN229" s="74" t="str">
        <v>自投</v>
      </c>
      <c r="AO229" s="131">
        <v>36526</v>
      </c>
      <c r="AP229" s="74" t="str">
        <v>站内</v>
      </c>
      <c r="AQ229" s="74" t="str">
        <v>1676272771724301</v>
      </c>
      <c r="AR229" s="74"/>
      <c r="AS229" s="74" t="str">
        <v>东方有佳人</v>
      </c>
      <c r="AT229" s="74" t="str">
        <v>花西子</v>
      </c>
    </row>
    <row r="230">
      <c r="A230" s="74" t="str">
        <v>03144022dd58ffcff3f0d6cfb2be0001</v>
      </c>
      <c r="B230" s="74"/>
      <c r="C230" s="74"/>
      <c r="D230" s="74" t="str">
        <v>ycss02;</v>
      </c>
      <c r="E230" s="74"/>
      <c r="F230" s="25"/>
      <c r="G230" s="74">
        <v>0</v>
      </c>
      <c r="H230" s="74"/>
      <c r="I230" s="74">
        <v>0</v>
      </c>
      <c r="J230" s="74"/>
      <c r="K230" s="74">
        <v>0</v>
      </c>
      <c r="L230" s="74"/>
      <c r="M230" s="74">
        <v>0</v>
      </c>
      <c r="N230" s="74"/>
      <c r="O230" s="74">
        <v>0</v>
      </c>
      <c r="P230" s="74"/>
      <c r="Q230" s="74">
        <v>0</v>
      </c>
      <c r="R230" s="74"/>
      <c r="S230" s="74" t="str">
        <v>未完结</v>
      </c>
      <c r="T230" s="74"/>
      <c r="U230" s="74"/>
      <c r="V230" s="74" t="str">
        <v>湖北巨量引擎科技有限公司</v>
      </c>
      <c r="W230" s="74" t="str">
        <v>抖音</v>
      </c>
      <c r="X230" s="74" t="str">
        <v>1713571308516366</v>
      </c>
      <c r="Y230" s="74" t="str">
        <v>DOU+</v>
      </c>
      <c r="Z230" s="74"/>
      <c r="AA230" s="74" t="str">
        <v>否</v>
      </c>
      <c r="AB230" s="74" t="str">
        <v>否</v>
      </c>
      <c r="AC230" s="74" t="str">
        <v>是</v>
      </c>
      <c r="AD230" s="74" t="str">
        <v>是</v>
      </c>
      <c r="AE230" s="74"/>
      <c r="AF230" s="74"/>
      <c r="AG230" s="74"/>
      <c r="AH230" s="74"/>
      <c r="AI230" s="74"/>
      <c r="AJ230" s="74" t="str">
        <v>杭州宜格化妆品有限公司</v>
      </c>
      <c r="AK230" s="74"/>
      <c r="AL230" s="74"/>
      <c r="AM230" s="74"/>
      <c r="AN230" s="74" t="str">
        <v>自投</v>
      </c>
      <c r="AO230" s="131">
        <v>36526</v>
      </c>
      <c r="AP230" s="74" t="str">
        <v>站内</v>
      </c>
      <c r="AQ230" s="74" t="str">
        <v>1713571308516366</v>
      </c>
      <c r="AR230" s="74"/>
      <c r="AS230" s="74" t="str">
        <v>戏曲红妆</v>
      </c>
      <c r="AT230" s="74" t="str">
        <v>花西子</v>
      </c>
    </row>
    <row r="231">
      <c r="A231" s="74" t="str">
        <v>03144022de58ffcff3f0d6cfb2be0001</v>
      </c>
      <c r="B231" s="74"/>
      <c r="C231" s="74"/>
      <c r="D231" s="74" t="str">
        <v>ycss02;</v>
      </c>
      <c r="E231" s="74"/>
      <c r="F231" s="25"/>
      <c r="G231" s="74">
        <v>0</v>
      </c>
      <c r="H231" s="74"/>
      <c r="I231" s="74">
        <v>0</v>
      </c>
      <c r="J231" s="74"/>
      <c r="K231" s="74">
        <v>0</v>
      </c>
      <c r="L231" s="74"/>
      <c r="M231" s="74">
        <v>0</v>
      </c>
      <c r="N231" s="74"/>
      <c r="O231" s="74">
        <v>0</v>
      </c>
      <c r="P231" s="74"/>
      <c r="Q231" s="74">
        <v>0</v>
      </c>
      <c r="R231" s="74"/>
      <c r="S231" s="74" t="str">
        <v>未完结</v>
      </c>
      <c r="T231" s="74"/>
      <c r="U231" s="74"/>
      <c r="V231" s="74" t="str">
        <v>上海寻梦信息技术有限公司</v>
      </c>
      <c r="W231" s="74" t="str">
        <v>拼多多</v>
      </c>
      <c r="X231" s="74" t="str">
        <v>DP011-013</v>
      </c>
      <c r="Y231" s="74" t="str">
        <v>拼多多-常规投放</v>
      </c>
      <c r="Z231" s="74"/>
      <c r="AA231" s="74"/>
      <c r="AB231" s="74"/>
      <c r="AC231" s="74" t="str">
        <v>否</v>
      </c>
      <c r="AD231" s="74"/>
      <c r="AE231" s="74"/>
      <c r="AF231" s="74"/>
      <c r="AG231" s="74"/>
      <c r="AH231" s="74" t="str">
        <v>鹿其（俞麟峰）</v>
      </c>
      <c r="AI231" s="74"/>
      <c r="AJ231" s="74" t="str">
        <v>杭州匠泽电子商务有限公司</v>
      </c>
      <c r="AK231" s="74"/>
      <c r="AL231" s="74"/>
      <c r="AM231" s="74"/>
      <c r="AN231" s="74" t="str">
        <v>自投</v>
      </c>
      <c r="AO231" s="131">
        <v>36526</v>
      </c>
      <c r="AP231" s="74" t="str">
        <v>站内</v>
      </c>
      <c r="AQ231" s="74" t="str">
        <v>DP011-PDD</v>
      </c>
      <c r="AR231" s="74"/>
      <c r="AS231" s="74" t="str">
        <v>拼多多花西子专卖店-多多搜索</v>
      </c>
      <c r="AT231" s="74" t="str">
        <v>花西子</v>
      </c>
    </row>
    <row r="232">
      <c r="A232" s="74" t="str">
        <v>03144022df48ffcff3f0d6cfb2be0001</v>
      </c>
      <c r="B232" s="74"/>
      <c r="C232" s="74"/>
      <c r="D232" s="74" t="str">
        <v>ycss02;</v>
      </c>
      <c r="E232" s="74"/>
      <c r="F232" s="25"/>
      <c r="G232" s="74">
        <v>0</v>
      </c>
      <c r="H232" s="74"/>
      <c r="I232" s="74">
        <v>0</v>
      </c>
      <c r="J232" s="74"/>
      <c r="K232" s="74">
        <v>0</v>
      </c>
      <c r="L232" s="74"/>
      <c r="M232" s="74">
        <v>0</v>
      </c>
      <c r="N232" s="74"/>
      <c r="O232" s="74">
        <v>0</v>
      </c>
      <c r="P232" s="74"/>
      <c r="Q232" s="74">
        <v>0</v>
      </c>
      <c r="R232" s="74"/>
      <c r="S232" s="74" t="str">
        <v>未完结</v>
      </c>
      <c r="T232" s="74"/>
      <c r="U232" s="74"/>
      <c r="V232" s="74" t="str">
        <v>上海寻梦信息技术有限公司</v>
      </c>
      <c r="W232" s="74" t="str">
        <v>拼多多</v>
      </c>
      <c r="X232" s="74" t="str">
        <v>DP011-012</v>
      </c>
      <c r="Y232" s="74" t="str">
        <v>拼多多-常规投放</v>
      </c>
      <c r="Z232" s="74"/>
      <c r="AA232" s="74"/>
      <c r="AB232" s="74"/>
      <c r="AC232" s="74" t="str">
        <v>否</v>
      </c>
      <c r="AD232" s="74"/>
      <c r="AE232" s="74"/>
      <c r="AF232" s="74"/>
      <c r="AG232" s="74"/>
      <c r="AH232" s="74" t="str">
        <v>鹿其（俞麟峰）</v>
      </c>
      <c r="AI232" s="74"/>
      <c r="AJ232" s="74" t="str">
        <v>杭州匠泽电子商务有限公司</v>
      </c>
      <c r="AK232" s="74"/>
      <c r="AL232" s="74"/>
      <c r="AM232" s="74"/>
      <c r="AN232" s="74" t="str">
        <v>自投</v>
      </c>
      <c r="AO232" s="131">
        <v>36526</v>
      </c>
      <c r="AP232" s="74" t="str">
        <v>站内</v>
      </c>
      <c r="AQ232" s="74" t="str">
        <v>DP011-PDD</v>
      </c>
      <c r="AR232" s="74"/>
      <c r="AS232" s="74" t="str">
        <v>拼多多花西子专卖店-多多场景</v>
      </c>
      <c r="AT232" s="74" t="str">
        <v>花西子</v>
      </c>
    </row>
    <row r="233">
      <c r="A233" s="74" t="str">
        <v>03144022e048ffcff3f0d6cfb2be0001</v>
      </c>
      <c r="B233" s="74"/>
      <c r="C233" s="74"/>
      <c r="D233" s="74" t="str">
        <v>ycss02;</v>
      </c>
      <c r="E233" s="74"/>
      <c r="F233" s="25"/>
      <c r="G233" s="74">
        <v>0</v>
      </c>
      <c r="H233" s="74"/>
      <c r="I233" s="74">
        <v>0</v>
      </c>
      <c r="J233" s="74"/>
      <c r="K233" s="74">
        <v>0</v>
      </c>
      <c r="L233" s="74"/>
      <c r="M233" s="74">
        <v>0</v>
      </c>
      <c r="N233" s="74"/>
      <c r="O233" s="74">
        <v>0</v>
      </c>
      <c r="P233" s="74"/>
      <c r="Q233" s="74">
        <v>0</v>
      </c>
      <c r="R233" s="74"/>
      <c r="S233" s="74" t="str">
        <v>未完结</v>
      </c>
      <c r="T233" s="74"/>
      <c r="U233" s="74"/>
      <c r="V233" s="74" t="str">
        <v>上海寻梦信息技术有限公司</v>
      </c>
      <c r="W233" s="74" t="str">
        <v>拼多多</v>
      </c>
      <c r="X233" s="74" t="str">
        <v>DP011-015</v>
      </c>
      <c r="Y233" s="74" t="str">
        <v>拼多多-常规投放</v>
      </c>
      <c r="Z233" s="74"/>
      <c r="AA233" s="74"/>
      <c r="AB233" s="74"/>
      <c r="AC233" s="74" t="str">
        <v>否</v>
      </c>
      <c r="AD233" s="74"/>
      <c r="AE233" s="74"/>
      <c r="AF233" s="74"/>
      <c r="AG233" s="74"/>
      <c r="AH233" s="74" t="str">
        <v>鹿其（俞麟峰）</v>
      </c>
      <c r="AI233" s="74"/>
      <c r="AJ233" s="74" t="str">
        <v>杭州匠泽电子商务有限公司</v>
      </c>
      <c r="AK233" s="74"/>
      <c r="AL233" s="74"/>
      <c r="AM233" s="74"/>
      <c r="AN233" s="74" t="str">
        <v>自投</v>
      </c>
      <c r="AO233" s="131">
        <v>36526</v>
      </c>
      <c r="AP233" s="74" t="str">
        <v>站内</v>
      </c>
      <c r="AQ233" s="74" t="str">
        <v>DP011-PDD</v>
      </c>
      <c r="AR233" s="74"/>
      <c r="AS233" s="74" t="str">
        <v>拼多多花西子专卖店-全站推广</v>
      </c>
      <c r="AT233" s="74" t="str">
        <v>花西子</v>
      </c>
    </row>
    <row r="234">
      <c r="A234" s="74" t="str">
        <v>03144022e168ffcff3f0d6cfb2be0001</v>
      </c>
      <c r="B234" s="74"/>
      <c r="C234" s="74"/>
      <c r="D234" s="74" t="str">
        <v>ycss02;</v>
      </c>
      <c r="E234" s="74"/>
      <c r="F234" s="25"/>
      <c r="G234" s="74">
        <v>0</v>
      </c>
      <c r="H234" s="74"/>
      <c r="I234" s="74">
        <v>0</v>
      </c>
      <c r="J234" s="74"/>
      <c r="K234" s="74">
        <v>0</v>
      </c>
      <c r="L234" s="74"/>
      <c r="M234" s="74">
        <v>0</v>
      </c>
      <c r="N234" s="74"/>
      <c r="O234" s="74">
        <v>0</v>
      </c>
      <c r="P234" s="74"/>
      <c r="Q234" s="74">
        <v>0</v>
      </c>
      <c r="R234" s="74"/>
      <c r="S234" s="74" t="str">
        <v>未完结</v>
      </c>
      <c r="T234" s="74"/>
      <c r="U234" s="74"/>
      <c r="V234" s="74" t="str">
        <v>上海寻梦信息技术有限公司</v>
      </c>
      <c r="W234" s="74" t="str">
        <v>拼多多</v>
      </c>
      <c r="X234" s="74" t="str">
        <v>DP011-014</v>
      </c>
      <c r="Y234" s="74" t="str">
        <v>拼多多-常规投放</v>
      </c>
      <c r="Z234" s="74"/>
      <c r="AA234" s="74"/>
      <c r="AB234" s="74"/>
      <c r="AC234" s="74" t="str">
        <v>否</v>
      </c>
      <c r="AD234" s="74"/>
      <c r="AE234" s="74"/>
      <c r="AF234" s="74"/>
      <c r="AG234" s="74"/>
      <c r="AH234" s="74" t="str">
        <v>鹿其（俞麟峰）</v>
      </c>
      <c r="AI234" s="74"/>
      <c r="AJ234" s="74" t="str">
        <v>杭州匠泽电子商务有限公司</v>
      </c>
      <c r="AK234" s="74"/>
      <c r="AL234" s="74"/>
      <c r="AM234" s="74"/>
      <c r="AN234" s="74" t="str">
        <v>自投</v>
      </c>
      <c r="AO234" s="131">
        <v>36526</v>
      </c>
      <c r="AP234" s="74" t="str">
        <v>站内</v>
      </c>
      <c r="AQ234" s="74" t="str">
        <v>DP011-PDD</v>
      </c>
      <c r="AR234" s="74"/>
      <c r="AS234" s="74" t="str">
        <v>拼多多花西子专卖店-明星店铺</v>
      </c>
      <c r="AT234" s="74" t="str">
        <v>花西子</v>
      </c>
    </row>
    <row r="235">
      <c r="A235" s="74" t="str">
        <v>03144022e258ffcff3f0d6cfb2be0001</v>
      </c>
      <c r="B235" s="74"/>
      <c r="C235" s="74"/>
      <c r="D235" s="74" t="str">
        <v>ycss02;</v>
      </c>
      <c r="E235" s="74"/>
      <c r="F235" s="25"/>
      <c r="G235" s="74">
        <v>0</v>
      </c>
      <c r="H235" s="74"/>
      <c r="I235" s="74">
        <v>0</v>
      </c>
      <c r="J235" s="74"/>
      <c r="K235" s="74">
        <v>0</v>
      </c>
      <c r="L235" s="74"/>
      <c r="M235" s="74">
        <v>0</v>
      </c>
      <c r="N235" s="74"/>
      <c r="O235" s="74">
        <v>0</v>
      </c>
      <c r="P235" s="74"/>
      <c r="Q235" s="74">
        <v>0</v>
      </c>
      <c r="R235" s="74"/>
      <c r="S235" s="74" t="str">
        <v>未完结</v>
      </c>
      <c r="T235" s="74"/>
      <c r="U235" s="74"/>
      <c r="V235" s="74" t="str">
        <v>上海寻梦信息技术有限公司</v>
      </c>
      <c r="W235" s="74" t="str">
        <v>拼多多</v>
      </c>
      <c r="X235" s="74" t="str">
        <v>DP011-011</v>
      </c>
      <c r="Y235" s="74" t="str">
        <v>拼多多-常规投放</v>
      </c>
      <c r="Z235" s="74"/>
      <c r="AA235" s="74"/>
      <c r="AB235" s="74"/>
      <c r="AC235" s="74" t="str">
        <v>否</v>
      </c>
      <c r="AD235" s="74"/>
      <c r="AE235" s="74"/>
      <c r="AF235" s="74"/>
      <c r="AG235" s="74"/>
      <c r="AH235" s="74" t="str">
        <v>鹿其（俞麟峰）</v>
      </c>
      <c r="AI235" s="74"/>
      <c r="AJ235" s="74" t="str">
        <v>杭州匠泽电子商务有限公司</v>
      </c>
      <c r="AK235" s="74"/>
      <c r="AL235" s="74"/>
      <c r="AM235" s="74"/>
      <c r="AN235" s="74" t="str">
        <v>自投</v>
      </c>
      <c r="AO235" s="131">
        <v>36526</v>
      </c>
      <c r="AP235" s="74" t="str">
        <v>站内</v>
      </c>
      <c r="AQ235" s="74" t="str">
        <v>DP011-PDD</v>
      </c>
      <c r="AR235" s="74"/>
      <c r="AS235" s="74" t="str">
        <v>拼多多花西子专卖店-直播推广</v>
      </c>
      <c r="AT235" s="74" t="str">
        <v>花西子</v>
      </c>
    </row>
    <row r="236">
      <c r="A236" s="74" t="str">
        <v>03144022e358ffcff3f0d6cfb2be0001</v>
      </c>
      <c r="B236" s="74"/>
      <c r="C236" s="74"/>
      <c r="D236" s="74" t="str">
        <v>ycss02;</v>
      </c>
      <c r="E236" s="74"/>
      <c r="F236" s="25"/>
      <c r="G236" s="74">
        <v>0</v>
      </c>
      <c r="H236" s="74"/>
      <c r="I236" s="74">
        <v>0</v>
      </c>
      <c r="J236" s="74"/>
      <c r="K236" s="74">
        <v>0</v>
      </c>
      <c r="L236" s="74"/>
      <c r="M236" s="74">
        <v>0</v>
      </c>
      <c r="N236" s="74"/>
      <c r="O236" s="74">
        <v>0</v>
      </c>
      <c r="P236" s="74"/>
      <c r="Q236" s="74">
        <v>0</v>
      </c>
      <c r="R236" s="74"/>
      <c r="S236" s="74" t="str">
        <v>未完结</v>
      </c>
      <c r="T236" s="74"/>
      <c r="U236" s="74"/>
      <c r="V236" s="74" t="str">
        <v>上海寻梦信息技术有限公司</v>
      </c>
      <c r="W236" s="74" t="str">
        <v>拼多多</v>
      </c>
      <c r="X236" s="74" t="str">
        <v>DP011-010</v>
      </c>
      <c r="Y236" s="74" t="str">
        <v>拼多多-联合投放</v>
      </c>
      <c r="Z236" s="74"/>
      <c r="AA236" s="74"/>
      <c r="AB236" s="74"/>
      <c r="AC236" s="74" t="str">
        <v>否</v>
      </c>
      <c r="AD236" s="74"/>
      <c r="AE236" s="74"/>
      <c r="AF236" s="74"/>
      <c r="AG236" s="74"/>
      <c r="AH236" s="74" t="str">
        <v>鹿其（俞麟峰）</v>
      </c>
      <c r="AI236" s="74"/>
      <c r="AJ236" s="74" t="str">
        <v>杭州匠泽电子商务有限公司</v>
      </c>
      <c r="AK236" s="74"/>
      <c r="AL236" s="74"/>
      <c r="AM236" s="74"/>
      <c r="AN236" s="74" t="str">
        <v>自投</v>
      </c>
      <c r="AO236" s="131">
        <v>36526</v>
      </c>
      <c r="AP236" s="74" t="str">
        <v>站内</v>
      </c>
      <c r="AQ236" s="74" t="str">
        <v>DP011-PDD</v>
      </c>
      <c r="AR236" s="74"/>
      <c r="AS236" s="74" t="str">
        <v>拼多多花西子专卖店-联合活动</v>
      </c>
      <c r="AT236" s="74" t="str">
        <v>花西子</v>
      </c>
    </row>
    <row r="237">
      <c r="A237" s="74" t="str">
        <v>03144022e448ffcff3f0d6cfb2be0001</v>
      </c>
      <c r="B237" s="74"/>
      <c r="C237" s="74"/>
      <c r="D237" s="74" t="str">
        <v>ycss02;</v>
      </c>
      <c r="E237" s="74"/>
      <c r="F237" s="25"/>
      <c r="G237" s="74">
        <v>0</v>
      </c>
      <c r="H237" s="74"/>
      <c r="I237" s="74">
        <v>0</v>
      </c>
      <c r="J237" s="74"/>
      <c r="K237" s="74">
        <v>0</v>
      </c>
      <c r="L237" s="74"/>
      <c r="M237" s="74">
        <v>0</v>
      </c>
      <c r="N237" s="74"/>
      <c r="O237" s="74">
        <v>0</v>
      </c>
      <c r="P237" s="74"/>
      <c r="Q237" s="74">
        <v>0</v>
      </c>
      <c r="R237" s="74"/>
      <c r="S237" s="74" t="str">
        <v>未完结</v>
      </c>
      <c r="T237" s="74"/>
      <c r="U237" s="74"/>
      <c r="V237" s="74" t="str">
        <v>上海寻梦信息技术有限公司</v>
      </c>
      <c r="W237" s="74" t="str">
        <v>拼多多</v>
      </c>
      <c r="X237" s="74" t="str">
        <v>DP069-013</v>
      </c>
      <c r="Y237" s="74" t="str">
        <v>拼多多-常规投放</v>
      </c>
      <c r="Z237" s="74"/>
      <c r="AA237" s="74"/>
      <c r="AB237" s="74"/>
      <c r="AC237" s="74" t="str">
        <v>否</v>
      </c>
      <c r="AD237" s="74"/>
      <c r="AE237" s="74"/>
      <c r="AF237" s="74"/>
      <c r="AG237" s="74"/>
      <c r="AH237" s="74" t="str">
        <v>鹿其（俞麟峰）</v>
      </c>
      <c r="AI237" s="74"/>
      <c r="AJ237" s="74" t="str">
        <v>杭州匠泽电子商务有限公司</v>
      </c>
      <c r="AK237" s="74"/>
      <c r="AL237" s="74"/>
      <c r="AM237" s="74"/>
      <c r="AN237" s="74" t="str">
        <v>自投</v>
      </c>
      <c r="AO237" s="131">
        <v>36526</v>
      </c>
      <c r="AP237" s="74" t="str">
        <v>站内</v>
      </c>
      <c r="AQ237" s="74" t="str">
        <v>DP069-PDD</v>
      </c>
      <c r="AR237" s="74"/>
      <c r="AS237" s="74" t="str">
        <v>拼多多花西子美妆专卖店-多多搜索</v>
      </c>
      <c r="AT237" s="74" t="str">
        <v>花西子</v>
      </c>
    </row>
    <row r="238">
      <c r="A238" s="74" t="str">
        <v>03144022e558ffcff3f0d6cfb2be0001</v>
      </c>
      <c r="B238" s="74"/>
      <c r="C238" s="74"/>
      <c r="D238" s="74" t="str">
        <v>ycss02;</v>
      </c>
      <c r="E238" s="74"/>
      <c r="F238" s="25"/>
      <c r="G238" s="74">
        <v>0</v>
      </c>
      <c r="H238" s="74"/>
      <c r="I238" s="74">
        <v>0</v>
      </c>
      <c r="J238" s="74"/>
      <c r="K238" s="74">
        <v>0</v>
      </c>
      <c r="L238" s="74"/>
      <c r="M238" s="74">
        <v>0</v>
      </c>
      <c r="N238" s="74"/>
      <c r="O238" s="74">
        <v>0</v>
      </c>
      <c r="P238" s="74"/>
      <c r="Q238" s="74">
        <v>0</v>
      </c>
      <c r="R238" s="74"/>
      <c r="S238" s="74" t="str">
        <v>未完结</v>
      </c>
      <c r="T238" s="74"/>
      <c r="U238" s="74"/>
      <c r="V238" s="74" t="str">
        <v>上海寻梦信息技术有限公司</v>
      </c>
      <c r="W238" s="74" t="str">
        <v>拼多多</v>
      </c>
      <c r="X238" s="74" t="str">
        <v>DP069-012</v>
      </c>
      <c r="Y238" s="74" t="str">
        <v>拼多多-常规投放</v>
      </c>
      <c r="Z238" s="74"/>
      <c r="AA238" s="74"/>
      <c r="AB238" s="74"/>
      <c r="AC238" s="74" t="str">
        <v>否</v>
      </c>
      <c r="AD238" s="74"/>
      <c r="AE238" s="74"/>
      <c r="AF238" s="74"/>
      <c r="AG238" s="74"/>
      <c r="AH238" s="74" t="str">
        <v>鹿其（俞麟峰）</v>
      </c>
      <c r="AI238" s="74"/>
      <c r="AJ238" s="74" t="str">
        <v>杭州匠泽电子商务有限公司</v>
      </c>
      <c r="AK238" s="74"/>
      <c r="AL238" s="74"/>
      <c r="AM238" s="74"/>
      <c r="AN238" s="74" t="str">
        <v>自投</v>
      </c>
      <c r="AO238" s="131">
        <v>36526</v>
      </c>
      <c r="AP238" s="74" t="str">
        <v>站内</v>
      </c>
      <c r="AQ238" s="74" t="str">
        <v>DP069-PDD</v>
      </c>
      <c r="AR238" s="74"/>
      <c r="AS238" s="74" t="str">
        <v>拼多多花西子美妆专卖店-多多场景</v>
      </c>
      <c r="AT238" s="74" t="str">
        <v>花西子</v>
      </c>
    </row>
    <row r="239">
      <c r="A239" s="74" t="str">
        <v>03144022e648ffcff3f0d6cfb2be0002</v>
      </c>
      <c r="B239" s="74"/>
      <c r="C239" s="74"/>
      <c r="D239" s="74" t="str">
        <v>ycss02;</v>
      </c>
      <c r="E239" s="74"/>
      <c r="F239" s="25"/>
      <c r="G239" s="74">
        <v>0</v>
      </c>
      <c r="H239" s="74"/>
      <c r="I239" s="74">
        <v>0</v>
      </c>
      <c r="J239" s="74"/>
      <c r="K239" s="74">
        <v>0</v>
      </c>
      <c r="L239" s="74"/>
      <c r="M239" s="74">
        <v>0</v>
      </c>
      <c r="N239" s="74"/>
      <c r="O239" s="74">
        <v>0</v>
      </c>
      <c r="P239" s="74"/>
      <c r="Q239" s="74">
        <v>0</v>
      </c>
      <c r="R239" s="74"/>
      <c r="S239" s="74" t="str">
        <v>未完结</v>
      </c>
      <c r="T239" s="74"/>
      <c r="U239" s="74"/>
      <c r="V239" s="74" t="str">
        <v>上海寻梦信息技术有限公司</v>
      </c>
      <c r="W239" s="74" t="str">
        <v>拼多多</v>
      </c>
      <c r="X239" s="74" t="str">
        <v>DP069-015</v>
      </c>
      <c r="Y239" s="74" t="str">
        <v>拼多多-常规投放</v>
      </c>
      <c r="Z239" s="74"/>
      <c r="AA239" s="74"/>
      <c r="AB239" s="74"/>
      <c r="AC239" s="74" t="str">
        <v>否</v>
      </c>
      <c r="AD239" s="74"/>
      <c r="AE239" s="74"/>
      <c r="AF239" s="74"/>
      <c r="AG239" s="74"/>
      <c r="AH239" s="74" t="str">
        <v>鹿其（俞麟峰）</v>
      </c>
      <c r="AI239" s="74"/>
      <c r="AJ239" s="74" t="str">
        <v>杭州匠泽电子商务有限公司</v>
      </c>
      <c r="AK239" s="74"/>
      <c r="AL239" s="74"/>
      <c r="AM239" s="74"/>
      <c r="AN239" s="74" t="str">
        <v>自投</v>
      </c>
      <c r="AO239" s="131">
        <v>36526</v>
      </c>
      <c r="AP239" s="74" t="str">
        <v>站内</v>
      </c>
      <c r="AQ239" s="74" t="str">
        <v>DP069-PDD</v>
      </c>
      <c r="AR239" s="74"/>
      <c r="AS239" s="74" t="str">
        <v>拼多多花西子美妆专卖店-全站推广</v>
      </c>
      <c r="AT239" s="74" t="str">
        <v>花西子</v>
      </c>
    </row>
    <row r="240">
      <c r="A240" s="74" t="str">
        <v>03144022e738ffcff3f0d6cfb2be0002</v>
      </c>
      <c r="B240" s="74"/>
      <c r="C240" s="74"/>
      <c r="D240" s="74" t="str">
        <v>ycss02;</v>
      </c>
      <c r="E240" s="74"/>
      <c r="F240" s="25"/>
      <c r="G240" s="74">
        <v>0</v>
      </c>
      <c r="H240" s="74"/>
      <c r="I240" s="74">
        <v>0</v>
      </c>
      <c r="J240" s="74"/>
      <c r="K240" s="74">
        <v>0</v>
      </c>
      <c r="L240" s="74"/>
      <c r="M240" s="74">
        <v>0</v>
      </c>
      <c r="N240" s="74"/>
      <c r="O240" s="74">
        <v>0</v>
      </c>
      <c r="P240" s="74"/>
      <c r="Q240" s="74">
        <v>0</v>
      </c>
      <c r="R240" s="74"/>
      <c r="S240" s="74" t="str">
        <v>未完结</v>
      </c>
      <c r="T240" s="74"/>
      <c r="U240" s="74"/>
      <c r="V240" s="74" t="str">
        <v>上海寻梦信息技术有限公司</v>
      </c>
      <c r="W240" s="74" t="str">
        <v>拼多多</v>
      </c>
      <c r="X240" s="74" t="str">
        <v>DP069-014</v>
      </c>
      <c r="Y240" s="74" t="str">
        <v>拼多多-常规投放</v>
      </c>
      <c r="Z240" s="74"/>
      <c r="AA240" s="74"/>
      <c r="AB240" s="74"/>
      <c r="AC240" s="74" t="str">
        <v>否</v>
      </c>
      <c r="AD240" s="74"/>
      <c r="AE240" s="74"/>
      <c r="AF240" s="74"/>
      <c r="AG240" s="74"/>
      <c r="AH240" s="74" t="str">
        <v>鹿其（俞麟峰）</v>
      </c>
      <c r="AI240" s="74"/>
      <c r="AJ240" s="74" t="str">
        <v>杭州匠泽电子商务有限公司</v>
      </c>
      <c r="AK240" s="74"/>
      <c r="AL240" s="74"/>
      <c r="AM240" s="74"/>
      <c r="AN240" s="74" t="str">
        <v>自投</v>
      </c>
      <c r="AO240" s="131">
        <v>36526</v>
      </c>
      <c r="AP240" s="74" t="str">
        <v>站内</v>
      </c>
      <c r="AQ240" s="74" t="str">
        <v>DP069-PDD</v>
      </c>
      <c r="AR240" s="74"/>
      <c r="AS240" s="74" t="str">
        <v>拼多多花西子美妆专卖店-明星店铺</v>
      </c>
      <c r="AT240" s="74" t="str">
        <v>花西子</v>
      </c>
    </row>
    <row r="241">
      <c r="A241" s="74" t="str">
        <v>03144022e838ffcff3f0d6cfb2be0002</v>
      </c>
      <c r="B241" s="74"/>
      <c r="C241" s="74"/>
      <c r="D241" s="74" t="str">
        <v>ycss02;</v>
      </c>
      <c r="E241" s="74"/>
      <c r="F241" s="25"/>
      <c r="G241" s="74">
        <v>0</v>
      </c>
      <c r="H241" s="74"/>
      <c r="I241" s="74">
        <v>0</v>
      </c>
      <c r="J241" s="74"/>
      <c r="K241" s="74">
        <v>0</v>
      </c>
      <c r="L241" s="74"/>
      <c r="M241" s="74">
        <v>0</v>
      </c>
      <c r="N241" s="74"/>
      <c r="O241" s="74">
        <v>0</v>
      </c>
      <c r="P241" s="74"/>
      <c r="Q241" s="74">
        <v>0</v>
      </c>
      <c r="R241" s="74"/>
      <c r="S241" s="74" t="str">
        <v>未完结</v>
      </c>
      <c r="T241" s="74"/>
      <c r="U241" s="74"/>
      <c r="V241" s="74" t="str">
        <v>上海寻梦信息技术有限公司</v>
      </c>
      <c r="W241" s="74" t="str">
        <v>拼多多</v>
      </c>
      <c r="X241" s="74" t="str">
        <v>DP069-011</v>
      </c>
      <c r="Y241" s="74" t="str">
        <v>拼多多-常规投放</v>
      </c>
      <c r="Z241" s="74"/>
      <c r="AA241" s="74"/>
      <c r="AB241" s="74"/>
      <c r="AC241" s="74" t="str">
        <v>否</v>
      </c>
      <c r="AD241" s="74"/>
      <c r="AE241" s="74"/>
      <c r="AF241" s="74"/>
      <c r="AG241" s="74"/>
      <c r="AH241" s="74" t="str">
        <v>鹿其（俞麟峰）</v>
      </c>
      <c r="AI241" s="74"/>
      <c r="AJ241" s="74" t="str">
        <v>杭州匠泽电子商务有限公司</v>
      </c>
      <c r="AK241" s="74"/>
      <c r="AL241" s="74"/>
      <c r="AM241" s="74"/>
      <c r="AN241" s="74" t="str">
        <v>自投</v>
      </c>
      <c r="AO241" s="131">
        <v>36526</v>
      </c>
      <c r="AP241" s="74" t="str">
        <v>站内</v>
      </c>
      <c r="AQ241" s="74" t="str">
        <v>DP069-PDD</v>
      </c>
      <c r="AR241" s="74"/>
      <c r="AS241" s="74" t="str">
        <v>拼多多花西子美妆专卖店-直播推广</v>
      </c>
      <c r="AT241" s="74" t="str">
        <v>花西子</v>
      </c>
    </row>
    <row r="242">
      <c r="A242" s="74" t="str">
        <v>03144022e928ffcff3f0d6cfb2be0002</v>
      </c>
      <c r="B242" s="74"/>
      <c r="C242" s="74"/>
      <c r="D242" s="74" t="str">
        <v>ycss02;</v>
      </c>
      <c r="E242" s="74"/>
      <c r="F242" s="25"/>
      <c r="G242" s="74">
        <v>0</v>
      </c>
      <c r="H242" s="74"/>
      <c r="I242" s="74">
        <v>0</v>
      </c>
      <c r="J242" s="74"/>
      <c r="K242" s="74">
        <v>0</v>
      </c>
      <c r="L242" s="74"/>
      <c r="M242" s="74">
        <v>0</v>
      </c>
      <c r="N242" s="74"/>
      <c r="O242" s="74">
        <v>0</v>
      </c>
      <c r="P242" s="74"/>
      <c r="Q242" s="74">
        <v>0</v>
      </c>
      <c r="R242" s="74"/>
      <c r="S242" s="74" t="str">
        <v>未完结</v>
      </c>
      <c r="T242" s="74"/>
      <c r="U242" s="74"/>
      <c r="V242" s="74" t="str">
        <v>上海寻梦信息技术有限公司</v>
      </c>
      <c r="W242" s="74" t="str">
        <v>拼多多</v>
      </c>
      <c r="X242" s="74" t="str">
        <v>DP069-010</v>
      </c>
      <c r="Y242" s="74" t="str">
        <v>拼多多-联合投放</v>
      </c>
      <c r="Z242" s="74"/>
      <c r="AA242" s="74"/>
      <c r="AB242" s="74"/>
      <c r="AC242" s="74" t="str">
        <v>否</v>
      </c>
      <c r="AD242" s="74"/>
      <c r="AE242" s="74"/>
      <c r="AF242" s="74"/>
      <c r="AG242" s="74"/>
      <c r="AH242" s="74" t="str">
        <v>鹿其（俞麟峰）</v>
      </c>
      <c r="AI242" s="74"/>
      <c r="AJ242" s="74" t="str">
        <v>杭州匠泽电子商务有限公司</v>
      </c>
      <c r="AK242" s="74"/>
      <c r="AL242" s="74"/>
      <c r="AM242" s="74"/>
      <c r="AN242" s="74" t="str">
        <v>自投</v>
      </c>
      <c r="AO242" s="131">
        <v>36526</v>
      </c>
      <c r="AP242" s="74" t="str">
        <v>站内</v>
      </c>
      <c r="AQ242" s="74" t="str">
        <v>DP069-PDD</v>
      </c>
      <c r="AR242" s="74"/>
      <c r="AS242" s="74" t="str">
        <v>拼多多花西子美妆专卖店-联合活动</v>
      </c>
      <c r="AT242" s="74" t="str">
        <v>花西子</v>
      </c>
    </row>
    <row r="243">
      <c r="A243" s="74" t="str">
        <v>03144022ea28ffcff3f0d6cfb2be0002</v>
      </c>
      <c r="B243" s="74"/>
      <c r="C243" s="74"/>
      <c r="D243" s="74" t="str">
        <v>ycss02;</v>
      </c>
      <c r="E243" s="74"/>
      <c r="F243" s="25"/>
      <c r="G243" s="74">
        <v>0</v>
      </c>
      <c r="H243" s="74"/>
      <c r="I243" s="74">
        <v>0</v>
      </c>
      <c r="J243" s="74"/>
      <c r="K243" s="74">
        <v>0</v>
      </c>
      <c r="L243" s="74"/>
      <c r="M243" s="74">
        <v>0</v>
      </c>
      <c r="N243" s="74"/>
      <c r="O243" s="74">
        <v>0</v>
      </c>
      <c r="P243" s="74"/>
      <c r="Q243" s="74">
        <v>0</v>
      </c>
      <c r="R243" s="74"/>
      <c r="S243" s="74" t="str">
        <v>未完结</v>
      </c>
      <c r="T243" s="74"/>
      <c r="U243" s="74"/>
      <c r="V243" s="74" t="str">
        <v>上海寻梦信息技术有限公司</v>
      </c>
      <c r="W243" s="74" t="str">
        <v>拼多多</v>
      </c>
      <c r="X243" s="74" t="str">
        <v>DP071-013</v>
      </c>
      <c r="Y243" s="74" t="str">
        <v>拼多多-常规投放</v>
      </c>
      <c r="Z243" s="74"/>
      <c r="AA243" s="74"/>
      <c r="AB243" s="74"/>
      <c r="AC243" s="74" t="str">
        <v>否</v>
      </c>
      <c r="AD243" s="74"/>
      <c r="AE243" s="74"/>
      <c r="AF243" s="74"/>
      <c r="AG243" s="74"/>
      <c r="AH243" s="74" t="str">
        <v>鹿其（俞麟峰）</v>
      </c>
      <c r="AI243" s="74"/>
      <c r="AJ243" s="74" t="str">
        <v>杭州匠泽电子商务有限公司</v>
      </c>
      <c r="AK243" s="74"/>
      <c r="AL243" s="74"/>
      <c r="AM243" s="74"/>
      <c r="AN243" s="74" t="str">
        <v>自投</v>
      </c>
      <c r="AO243" s="131">
        <v>36526</v>
      </c>
      <c r="AP243" s="74" t="str">
        <v>站内</v>
      </c>
      <c r="AQ243" s="74" t="str">
        <v>DP071-PDD</v>
      </c>
      <c r="AR243" s="74"/>
      <c r="AS243" s="74" t="str">
        <v>拼多多花西子美妆旗舰店-多多搜索</v>
      </c>
      <c r="AT243" s="74" t="str">
        <v>花西子</v>
      </c>
    </row>
    <row r="244">
      <c r="A244" s="74" t="str">
        <v>03144022eb28ffcff3f0d6cfb2be0002</v>
      </c>
      <c r="B244" s="74"/>
      <c r="C244" s="74"/>
      <c r="D244" s="74" t="str">
        <v>ycss02;</v>
      </c>
      <c r="E244" s="74"/>
      <c r="F244" s="25"/>
      <c r="G244" s="74">
        <v>0</v>
      </c>
      <c r="H244" s="74"/>
      <c r="I244" s="74">
        <v>0</v>
      </c>
      <c r="J244" s="74"/>
      <c r="K244" s="74">
        <v>0</v>
      </c>
      <c r="L244" s="74"/>
      <c r="M244" s="74">
        <v>0</v>
      </c>
      <c r="N244" s="74"/>
      <c r="O244" s="74">
        <v>0</v>
      </c>
      <c r="P244" s="74"/>
      <c r="Q244" s="74">
        <v>0</v>
      </c>
      <c r="R244" s="74"/>
      <c r="S244" s="74" t="str">
        <v>未完结</v>
      </c>
      <c r="T244" s="74"/>
      <c r="U244" s="74"/>
      <c r="V244" s="74" t="str">
        <v>上海寻梦信息技术有限公司</v>
      </c>
      <c r="W244" s="74" t="str">
        <v>拼多多</v>
      </c>
      <c r="X244" s="74" t="str">
        <v>DP071-012</v>
      </c>
      <c r="Y244" s="74" t="str">
        <v>拼多多-常规投放</v>
      </c>
      <c r="Z244" s="74"/>
      <c r="AA244" s="74"/>
      <c r="AB244" s="74"/>
      <c r="AC244" s="74" t="str">
        <v>否</v>
      </c>
      <c r="AD244" s="74"/>
      <c r="AE244" s="74"/>
      <c r="AF244" s="74"/>
      <c r="AG244" s="74"/>
      <c r="AH244" s="74" t="str">
        <v>鹿其（俞麟峰）</v>
      </c>
      <c r="AI244" s="74"/>
      <c r="AJ244" s="74" t="str">
        <v>杭州匠泽电子商务有限公司</v>
      </c>
      <c r="AK244" s="74"/>
      <c r="AL244" s="74"/>
      <c r="AM244" s="74"/>
      <c r="AN244" s="74" t="str">
        <v>自投</v>
      </c>
      <c r="AO244" s="131">
        <v>36526</v>
      </c>
      <c r="AP244" s="74" t="str">
        <v>站内</v>
      </c>
      <c r="AQ244" s="74" t="str">
        <v>DP071-PDD</v>
      </c>
      <c r="AR244" s="74"/>
      <c r="AS244" s="74" t="str">
        <v>拼多多花西子美妆旗舰店-多多场景</v>
      </c>
      <c r="AT244" s="74" t="str">
        <v>花西子</v>
      </c>
    </row>
    <row r="245">
      <c r="A245" s="74" t="str">
        <v>03144022ec18ffcff3f0d6cfb2be0002</v>
      </c>
      <c r="B245" s="74"/>
      <c r="C245" s="74"/>
      <c r="D245" s="74" t="str">
        <v>ycss02;</v>
      </c>
      <c r="E245" s="74"/>
      <c r="F245" s="25"/>
      <c r="G245" s="74">
        <v>0</v>
      </c>
      <c r="H245" s="74"/>
      <c r="I245" s="74">
        <v>0</v>
      </c>
      <c r="J245" s="74"/>
      <c r="K245" s="74">
        <v>0</v>
      </c>
      <c r="L245" s="74"/>
      <c r="M245" s="74">
        <v>0</v>
      </c>
      <c r="N245" s="74"/>
      <c r="O245" s="74">
        <v>0</v>
      </c>
      <c r="P245" s="74"/>
      <c r="Q245" s="74">
        <v>0</v>
      </c>
      <c r="R245" s="74"/>
      <c r="S245" s="74" t="str">
        <v>未完结</v>
      </c>
      <c r="T245" s="74"/>
      <c r="U245" s="74"/>
      <c r="V245" s="74" t="str">
        <v>上海寻梦信息技术有限公司</v>
      </c>
      <c r="W245" s="74" t="str">
        <v>拼多多</v>
      </c>
      <c r="X245" s="74" t="str">
        <v>DP071-015</v>
      </c>
      <c r="Y245" s="74" t="str">
        <v>拼多多-常规投放</v>
      </c>
      <c r="Z245" s="74"/>
      <c r="AA245" s="74"/>
      <c r="AB245" s="74"/>
      <c r="AC245" s="74" t="str">
        <v>否</v>
      </c>
      <c r="AD245" s="74"/>
      <c r="AE245" s="74"/>
      <c r="AF245" s="74"/>
      <c r="AG245" s="74"/>
      <c r="AH245" s="74" t="str">
        <v>鹿其（俞麟峰）</v>
      </c>
      <c r="AI245" s="74"/>
      <c r="AJ245" s="74" t="str">
        <v>杭州匠泽电子商务有限公司</v>
      </c>
      <c r="AK245" s="74"/>
      <c r="AL245" s="74"/>
      <c r="AM245" s="74"/>
      <c r="AN245" s="74" t="str">
        <v>自投</v>
      </c>
      <c r="AO245" s="131">
        <v>36526</v>
      </c>
      <c r="AP245" s="74" t="str">
        <v>站内</v>
      </c>
      <c r="AQ245" s="74" t="str">
        <v>DP071-PDD</v>
      </c>
      <c r="AR245" s="74"/>
      <c r="AS245" s="74" t="str">
        <v>拼多多花西子美妆旗舰店-全站推广</v>
      </c>
      <c r="AT245" s="74" t="str">
        <v>花西子</v>
      </c>
    </row>
    <row r="246">
      <c r="A246" s="74" t="str">
        <v>03144022ed18ffcff3f0d6cfb2be0002</v>
      </c>
      <c r="B246" s="74"/>
      <c r="C246" s="74"/>
      <c r="D246" s="74" t="str">
        <v>ycss02;</v>
      </c>
      <c r="E246" s="74"/>
      <c r="F246" s="25"/>
      <c r="G246" s="74">
        <v>0</v>
      </c>
      <c r="H246" s="74"/>
      <c r="I246" s="74">
        <v>0</v>
      </c>
      <c r="J246" s="74"/>
      <c r="K246" s="74">
        <v>0</v>
      </c>
      <c r="L246" s="74"/>
      <c r="M246" s="74">
        <v>0</v>
      </c>
      <c r="N246" s="74"/>
      <c r="O246" s="74">
        <v>0</v>
      </c>
      <c r="P246" s="74"/>
      <c r="Q246" s="74">
        <v>0</v>
      </c>
      <c r="R246" s="74"/>
      <c r="S246" s="74" t="str">
        <v>未完结</v>
      </c>
      <c r="T246" s="74"/>
      <c r="U246" s="74"/>
      <c r="V246" s="74" t="str">
        <v>上海寻梦信息技术有限公司</v>
      </c>
      <c r="W246" s="74" t="str">
        <v>拼多多</v>
      </c>
      <c r="X246" s="74" t="str">
        <v>DP071-014</v>
      </c>
      <c r="Y246" s="74" t="str">
        <v>拼多多-常规投放</v>
      </c>
      <c r="Z246" s="74"/>
      <c r="AA246" s="74"/>
      <c r="AB246" s="74"/>
      <c r="AC246" s="74" t="str">
        <v>否</v>
      </c>
      <c r="AD246" s="74"/>
      <c r="AE246" s="74"/>
      <c r="AF246" s="74"/>
      <c r="AG246" s="74"/>
      <c r="AH246" s="74" t="str">
        <v>鹿其（俞麟峰）</v>
      </c>
      <c r="AI246" s="74"/>
      <c r="AJ246" s="74" t="str">
        <v>杭州匠泽电子商务有限公司</v>
      </c>
      <c r="AK246" s="74"/>
      <c r="AL246" s="74"/>
      <c r="AM246" s="74"/>
      <c r="AN246" s="74" t="str">
        <v>自投</v>
      </c>
      <c r="AO246" s="131">
        <v>36526</v>
      </c>
      <c r="AP246" s="74" t="str">
        <v>站内</v>
      </c>
      <c r="AQ246" s="74" t="str">
        <v>DP071-PDD</v>
      </c>
      <c r="AR246" s="74"/>
      <c r="AS246" s="74" t="str">
        <v>拼多多花西子美妆旗舰店-明星店铺</v>
      </c>
      <c r="AT246" s="74" t="str">
        <v>花西子</v>
      </c>
    </row>
    <row r="247">
      <c r="A247" s="74" t="str">
        <v>03144022ee08ffcff3f0d6cfb2be0002</v>
      </c>
      <c r="B247" s="74"/>
      <c r="C247" s="74"/>
      <c r="D247" s="74" t="str">
        <v>ycss02;</v>
      </c>
      <c r="E247" s="74"/>
      <c r="F247" s="25"/>
      <c r="G247" s="74">
        <v>0</v>
      </c>
      <c r="H247" s="74"/>
      <c r="I247" s="74">
        <v>0</v>
      </c>
      <c r="J247" s="74"/>
      <c r="K247" s="74">
        <v>0</v>
      </c>
      <c r="L247" s="74"/>
      <c r="M247" s="74">
        <v>0</v>
      </c>
      <c r="N247" s="74"/>
      <c r="O247" s="74">
        <v>0</v>
      </c>
      <c r="P247" s="74"/>
      <c r="Q247" s="74">
        <v>0</v>
      </c>
      <c r="R247" s="74"/>
      <c r="S247" s="74" t="str">
        <v>未完结</v>
      </c>
      <c r="T247" s="74"/>
      <c r="U247" s="74"/>
      <c r="V247" s="74" t="str">
        <v>上海寻梦信息技术有限公司</v>
      </c>
      <c r="W247" s="74" t="str">
        <v>拼多多</v>
      </c>
      <c r="X247" s="74" t="str">
        <v>DP071-011</v>
      </c>
      <c r="Y247" s="74" t="str">
        <v>拼多多-常规投放</v>
      </c>
      <c r="Z247" s="74"/>
      <c r="AA247" s="74"/>
      <c r="AB247" s="74"/>
      <c r="AC247" s="74" t="str">
        <v>否</v>
      </c>
      <c r="AD247" s="74"/>
      <c r="AE247" s="74"/>
      <c r="AF247" s="74"/>
      <c r="AG247" s="74"/>
      <c r="AH247" s="74" t="str">
        <v>鹿其（俞麟峰）</v>
      </c>
      <c r="AI247" s="74"/>
      <c r="AJ247" s="74" t="str">
        <v>杭州匠泽电子商务有限公司</v>
      </c>
      <c r="AK247" s="74"/>
      <c r="AL247" s="74"/>
      <c r="AM247" s="74"/>
      <c r="AN247" s="74" t="str">
        <v>自投</v>
      </c>
      <c r="AO247" s="131">
        <v>36526</v>
      </c>
      <c r="AP247" s="74" t="str">
        <v>站内</v>
      </c>
      <c r="AQ247" s="74" t="str">
        <v>DP071-PDD</v>
      </c>
      <c r="AR247" s="74"/>
      <c r="AS247" s="74" t="str">
        <v>拼多多花西子美妆旗舰店-直播推广</v>
      </c>
      <c r="AT247" s="74" t="str">
        <v>花西子</v>
      </c>
    </row>
    <row r="248">
      <c r="A248" s="74" t="str">
        <v>03144022ef08ffcff3f0d6cfb2be0000</v>
      </c>
      <c r="B248" s="74"/>
      <c r="C248" s="74"/>
      <c r="D248" s="74" t="str">
        <v>ycss02;</v>
      </c>
      <c r="E248" s="74"/>
      <c r="F248" s="25"/>
      <c r="G248" s="74">
        <v>0</v>
      </c>
      <c r="H248" s="74"/>
      <c r="I248" s="74">
        <v>0</v>
      </c>
      <c r="J248" s="74"/>
      <c r="K248" s="74">
        <v>0</v>
      </c>
      <c r="L248" s="74"/>
      <c r="M248" s="74">
        <v>0</v>
      </c>
      <c r="N248" s="74"/>
      <c r="O248" s="74">
        <v>0</v>
      </c>
      <c r="P248" s="74"/>
      <c r="Q248" s="74">
        <v>0</v>
      </c>
      <c r="R248" s="74"/>
      <c r="S248" s="74" t="str">
        <v>未完结</v>
      </c>
      <c r="T248" s="74"/>
      <c r="U248" s="74"/>
      <c r="V248" s="74" t="str">
        <v>上海寻梦信息技术有限公司</v>
      </c>
      <c r="W248" s="74" t="str">
        <v>拼多多</v>
      </c>
      <c r="X248" s="74" t="str">
        <v>DP071-010</v>
      </c>
      <c r="Y248" s="74" t="str">
        <v>拼多多-联合投放</v>
      </c>
      <c r="Z248" s="74"/>
      <c r="AA248" s="74"/>
      <c r="AB248" s="74"/>
      <c r="AC248" s="74" t="str">
        <v>否</v>
      </c>
      <c r="AD248" s="74"/>
      <c r="AE248" s="74"/>
      <c r="AF248" s="74"/>
      <c r="AG248" s="74"/>
      <c r="AH248" s="74" t="str">
        <v>鹿其（俞麟峰）</v>
      </c>
      <c r="AI248" s="74"/>
      <c r="AJ248" s="74" t="str">
        <v>杭州匠泽电子商务有限公司</v>
      </c>
      <c r="AK248" s="74"/>
      <c r="AL248" s="74"/>
      <c r="AM248" s="74"/>
      <c r="AN248" s="74" t="str">
        <v>自投</v>
      </c>
      <c r="AO248" s="131">
        <v>36526</v>
      </c>
      <c r="AP248" s="74" t="str">
        <v>站内</v>
      </c>
      <c r="AQ248" s="74" t="str">
        <v>DP071-PDD</v>
      </c>
      <c r="AR248" s="74"/>
      <c r="AS248" s="74" t="str">
        <v>拼多多花西子美妆旗舰店-联合活动</v>
      </c>
      <c r="AT248" s="74" t="str">
        <v>花西子</v>
      </c>
    </row>
    <row r="249">
      <c r="A249" s="74" t="str">
        <v>03144022eff8ffcff3f0d6cfb2be0001</v>
      </c>
      <c r="B249" s="74"/>
      <c r="C249" s="74"/>
      <c r="D249" s="74" t="str">
        <v>ycss02;</v>
      </c>
      <c r="E249" s="74"/>
      <c r="F249" s="25"/>
      <c r="G249" s="74">
        <v>0</v>
      </c>
      <c r="H249" s="74"/>
      <c r="I249" s="74">
        <v>0</v>
      </c>
      <c r="J249" s="74"/>
      <c r="K249" s="74">
        <v>0</v>
      </c>
      <c r="L249" s="74"/>
      <c r="M249" s="74">
        <v>0</v>
      </c>
      <c r="N249" s="74"/>
      <c r="O249" s="74">
        <v>0</v>
      </c>
      <c r="P249" s="74"/>
      <c r="Q249" s="74">
        <v>0</v>
      </c>
      <c r="R249" s="74"/>
      <c r="S249" s="74" t="str">
        <v>未完结</v>
      </c>
      <c r="T249" s="74"/>
      <c r="U249" s="74"/>
      <c r="V249" s="74" t="str">
        <v>上海寻梦信息技术有限公司</v>
      </c>
      <c r="W249" s="74" t="str">
        <v>拼多多</v>
      </c>
      <c r="X249" s="74" t="str">
        <v>DP030-013</v>
      </c>
      <c r="Y249" s="74" t="str">
        <v>拼多多-常规投放</v>
      </c>
      <c r="Z249" s="74"/>
      <c r="AA249" s="74"/>
      <c r="AB249" s="74"/>
      <c r="AC249" s="74" t="str">
        <v>否</v>
      </c>
      <c r="AD249" s="74"/>
      <c r="AE249" s="74"/>
      <c r="AF249" s="74"/>
      <c r="AG249" s="74"/>
      <c r="AH249" s="74" t="str">
        <v>鹿其（俞麟峰）</v>
      </c>
      <c r="AI249" s="74"/>
      <c r="AJ249" s="74" t="str">
        <v>杭州匠泽电子商务有限公司</v>
      </c>
      <c r="AK249" s="74"/>
      <c r="AL249" s="74"/>
      <c r="AM249" s="74"/>
      <c r="AN249" s="74" t="str">
        <v>自投</v>
      </c>
      <c r="AO249" s="131">
        <v>36526</v>
      </c>
      <c r="AP249" s="74" t="str">
        <v>站内</v>
      </c>
      <c r="AQ249" s="74" t="str">
        <v>DP030-PDD</v>
      </c>
      <c r="AR249" s="74"/>
      <c r="AS249" s="74" t="str">
        <v>拼多多花西子匠泽店-多多搜索</v>
      </c>
      <c r="AT249" s="74" t="str">
        <v>花西子</v>
      </c>
    </row>
    <row r="250">
      <c r="A250" s="74" t="str">
        <v>03144022f0e8ffcff3f0d6cfb2be0001</v>
      </c>
      <c r="B250" s="74"/>
      <c r="C250" s="74"/>
      <c r="D250" s="74" t="str">
        <v>ycss02;</v>
      </c>
      <c r="E250" s="74"/>
      <c r="F250" s="25"/>
      <c r="G250" s="74">
        <v>0</v>
      </c>
      <c r="H250" s="74"/>
      <c r="I250" s="74">
        <v>0</v>
      </c>
      <c r="J250" s="74"/>
      <c r="K250" s="74">
        <v>0</v>
      </c>
      <c r="L250" s="74"/>
      <c r="M250" s="74">
        <v>0</v>
      </c>
      <c r="N250" s="74"/>
      <c r="O250" s="74">
        <v>0</v>
      </c>
      <c r="P250" s="74"/>
      <c r="Q250" s="74">
        <v>0</v>
      </c>
      <c r="R250" s="74"/>
      <c r="S250" s="74" t="str">
        <v>未完结</v>
      </c>
      <c r="T250" s="74"/>
      <c r="U250" s="74"/>
      <c r="V250" s="74" t="str">
        <v>上海寻梦信息技术有限公司</v>
      </c>
      <c r="W250" s="74" t="str">
        <v>拼多多</v>
      </c>
      <c r="X250" s="74" t="str">
        <v>DP030-012</v>
      </c>
      <c r="Y250" s="74" t="str">
        <v>拼多多-常规投放</v>
      </c>
      <c r="Z250" s="74"/>
      <c r="AA250" s="74"/>
      <c r="AB250" s="74"/>
      <c r="AC250" s="74" t="str">
        <v>否</v>
      </c>
      <c r="AD250" s="74"/>
      <c r="AE250" s="74"/>
      <c r="AF250" s="74"/>
      <c r="AG250" s="74"/>
      <c r="AH250" s="74" t="str">
        <v>鹿其（俞麟峰）</v>
      </c>
      <c r="AI250" s="74"/>
      <c r="AJ250" s="74" t="str">
        <v>杭州匠泽电子商务有限公司</v>
      </c>
      <c r="AK250" s="74"/>
      <c r="AL250" s="74"/>
      <c r="AM250" s="74"/>
      <c r="AN250" s="74" t="str">
        <v>自投</v>
      </c>
      <c r="AO250" s="131">
        <v>36526</v>
      </c>
      <c r="AP250" s="74" t="str">
        <v>站内</v>
      </c>
      <c r="AQ250" s="74" t="str">
        <v>DP030-PDD</v>
      </c>
      <c r="AR250" s="74"/>
      <c r="AS250" s="74" t="str">
        <v>拼多多花西子匠泽店-多多场景</v>
      </c>
      <c r="AT250" s="74" t="str">
        <v>花西子</v>
      </c>
    </row>
    <row r="251">
      <c r="A251" s="74" t="str">
        <v>03144022f1e8ffcff3f0d6cfb2be0001</v>
      </c>
      <c r="B251" s="74"/>
      <c r="C251" s="74"/>
      <c r="D251" s="74" t="str">
        <v>ycss02;</v>
      </c>
      <c r="E251" s="74"/>
      <c r="F251" s="25"/>
      <c r="G251" s="74">
        <v>0</v>
      </c>
      <c r="H251" s="74"/>
      <c r="I251" s="74">
        <v>0</v>
      </c>
      <c r="J251" s="74"/>
      <c r="K251" s="74">
        <v>0</v>
      </c>
      <c r="L251" s="74"/>
      <c r="M251" s="74">
        <v>0</v>
      </c>
      <c r="N251" s="74"/>
      <c r="O251" s="74">
        <v>0</v>
      </c>
      <c r="P251" s="74"/>
      <c r="Q251" s="74">
        <v>0</v>
      </c>
      <c r="R251" s="74"/>
      <c r="S251" s="74" t="str">
        <v>未完结</v>
      </c>
      <c r="T251" s="74"/>
      <c r="U251" s="74"/>
      <c r="V251" s="74" t="str">
        <v>上海寻梦信息技术有限公司</v>
      </c>
      <c r="W251" s="74" t="str">
        <v>拼多多</v>
      </c>
      <c r="X251" s="74" t="str">
        <v>DP030-015</v>
      </c>
      <c r="Y251" s="74" t="str">
        <v>拼多多-常规投放</v>
      </c>
      <c r="Z251" s="74"/>
      <c r="AA251" s="74"/>
      <c r="AB251" s="74"/>
      <c r="AC251" s="74" t="str">
        <v>否</v>
      </c>
      <c r="AD251" s="74"/>
      <c r="AE251" s="74"/>
      <c r="AF251" s="74"/>
      <c r="AG251" s="74"/>
      <c r="AH251" s="74" t="str">
        <v>鹿其（俞麟峰）</v>
      </c>
      <c r="AI251" s="74"/>
      <c r="AJ251" s="74" t="str">
        <v>杭州匠泽电子商务有限公司</v>
      </c>
      <c r="AK251" s="74"/>
      <c r="AL251" s="74"/>
      <c r="AM251" s="74"/>
      <c r="AN251" s="74" t="str">
        <v>自投</v>
      </c>
      <c r="AO251" s="131">
        <v>36526</v>
      </c>
      <c r="AP251" s="74" t="str">
        <v>站内</v>
      </c>
      <c r="AQ251" s="74" t="str">
        <v>DP030-PDD</v>
      </c>
      <c r="AR251" s="74"/>
      <c r="AS251" s="74" t="str">
        <v>拼多多花西子匠泽店-全站推广</v>
      </c>
      <c r="AT251" s="74" t="str">
        <v>花西子</v>
      </c>
    </row>
    <row r="252">
      <c r="A252" s="74" t="str">
        <v>03144022f328ffcff3f0d6cfb2be0001</v>
      </c>
      <c r="B252" s="74"/>
      <c r="C252" s="74"/>
      <c r="D252" s="74" t="str">
        <v>ycss02;</v>
      </c>
      <c r="E252" s="74"/>
      <c r="F252" s="25"/>
      <c r="G252" s="74">
        <v>0</v>
      </c>
      <c r="H252" s="74"/>
      <c r="I252" s="74">
        <v>0</v>
      </c>
      <c r="J252" s="74"/>
      <c r="K252" s="74">
        <v>0</v>
      </c>
      <c r="L252" s="74"/>
      <c r="M252" s="74">
        <v>0</v>
      </c>
      <c r="N252" s="74"/>
      <c r="O252" s="74">
        <v>0</v>
      </c>
      <c r="P252" s="74"/>
      <c r="Q252" s="74">
        <v>0</v>
      </c>
      <c r="R252" s="74"/>
      <c r="S252" s="74" t="str">
        <v>未完结</v>
      </c>
      <c r="T252" s="74"/>
      <c r="U252" s="74"/>
      <c r="V252" s="74" t="str">
        <v>上海寻梦信息技术有限公司</v>
      </c>
      <c r="W252" s="74" t="str">
        <v>拼多多</v>
      </c>
      <c r="X252" s="74" t="str">
        <v>DP030-014</v>
      </c>
      <c r="Y252" s="74" t="str">
        <v>拼多多-常规投放</v>
      </c>
      <c r="Z252" s="74"/>
      <c r="AA252" s="74"/>
      <c r="AB252" s="74"/>
      <c r="AC252" s="74" t="str">
        <v>否</v>
      </c>
      <c r="AD252" s="74"/>
      <c r="AE252" s="74"/>
      <c r="AF252" s="74"/>
      <c r="AG252" s="74"/>
      <c r="AH252" s="74" t="str">
        <v>鹿其（俞麟峰）</v>
      </c>
      <c r="AI252" s="74"/>
      <c r="AJ252" s="74" t="str">
        <v>杭州匠泽电子商务有限公司</v>
      </c>
      <c r="AK252" s="74"/>
      <c r="AL252" s="74"/>
      <c r="AM252" s="74"/>
      <c r="AN252" s="74" t="str">
        <v>自投</v>
      </c>
      <c r="AO252" s="131">
        <v>36526</v>
      </c>
      <c r="AP252" s="74" t="str">
        <v>站内</v>
      </c>
      <c r="AQ252" s="74" t="str">
        <v>DP030-PDD</v>
      </c>
      <c r="AR252" s="74"/>
      <c r="AS252" s="74" t="str">
        <v>拼多多花西子匠泽店-明星店铺</v>
      </c>
      <c r="AT252" s="74" t="str">
        <v>花西子</v>
      </c>
    </row>
    <row r="253">
      <c r="A253" s="74" t="str">
        <v>03144022f428ffcff3f0d6cfb2be0001</v>
      </c>
      <c r="B253" s="74"/>
      <c r="C253" s="74"/>
      <c r="D253" s="74" t="str">
        <v>ycss02;</v>
      </c>
      <c r="E253" s="74"/>
      <c r="F253" s="25"/>
      <c r="G253" s="74">
        <v>0</v>
      </c>
      <c r="H253" s="74"/>
      <c r="I253" s="74">
        <v>0</v>
      </c>
      <c r="J253" s="74"/>
      <c r="K253" s="74">
        <v>0</v>
      </c>
      <c r="L253" s="74"/>
      <c r="M253" s="74">
        <v>0</v>
      </c>
      <c r="N253" s="74"/>
      <c r="O253" s="74">
        <v>0</v>
      </c>
      <c r="P253" s="74"/>
      <c r="Q253" s="74">
        <v>0</v>
      </c>
      <c r="R253" s="74"/>
      <c r="S253" s="74" t="str">
        <v>未完结</v>
      </c>
      <c r="T253" s="74"/>
      <c r="U253" s="74"/>
      <c r="V253" s="74" t="str">
        <v>上海寻梦信息技术有限公司</v>
      </c>
      <c r="W253" s="74" t="str">
        <v>拼多多</v>
      </c>
      <c r="X253" s="74" t="str">
        <v>DP030-011</v>
      </c>
      <c r="Y253" s="74" t="str">
        <v>拼多多-常规投放</v>
      </c>
      <c r="Z253" s="74"/>
      <c r="AA253" s="74"/>
      <c r="AB253" s="74"/>
      <c r="AC253" s="74" t="str">
        <v>否</v>
      </c>
      <c r="AD253" s="74"/>
      <c r="AE253" s="74"/>
      <c r="AF253" s="74"/>
      <c r="AG253" s="74"/>
      <c r="AH253" s="74" t="str">
        <v>鹿其（俞麟峰）</v>
      </c>
      <c r="AI253" s="74"/>
      <c r="AJ253" s="74" t="str">
        <v>杭州匠泽电子商务有限公司</v>
      </c>
      <c r="AK253" s="74"/>
      <c r="AL253" s="74"/>
      <c r="AM253" s="74"/>
      <c r="AN253" s="74" t="str">
        <v>自投</v>
      </c>
      <c r="AO253" s="131">
        <v>36526</v>
      </c>
      <c r="AP253" s="74" t="str">
        <v>站内</v>
      </c>
      <c r="AQ253" s="74" t="str">
        <v>DP030-PDD</v>
      </c>
      <c r="AR253" s="74"/>
      <c r="AS253" s="74" t="str">
        <v>拼多多花西子匠泽店-直播推广</v>
      </c>
      <c r="AT253" s="74" t="str">
        <v>花西子</v>
      </c>
    </row>
    <row r="254">
      <c r="A254" s="74" t="str">
        <v>03144022f528ffcff3f0d6cfb2be0001</v>
      </c>
      <c r="B254" s="74"/>
      <c r="C254" s="74"/>
      <c r="D254" s="74" t="str">
        <v>ycss02;</v>
      </c>
      <c r="E254" s="74"/>
      <c r="F254" s="25"/>
      <c r="G254" s="74">
        <v>0</v>
      </c>
      <c r="H254" s="74"/>
      <c r="I254" s="74">
        <v>0</v>
      </c>
      <c r="J254" s="74"/>
      <c r="K254" s="74">
        <v>0</v>
      </c>
      <c r="L254" s="74"/>
      <c r="M254" s="74">
        <v>0</v>
      </c>
      <c r="N254" s="74"/>
      <c r="O254" s="74">
        <v>0</v>
      </c>
      <c r="P254" s="74"/>
      <c r="Q254" s="74">
        <v>0</v>
      </c>
      <c r="R254" s="74"/>
      <c r="S254" s="74" t="str">
        <v>未完结</v>
      </c>
      <c r="T254" s="74"/>
      <c r="U254" s="74"/>
      <c r="V254" s="74" t="str">
        <v>上海寻梦信息技术有限公司</v>
      </c>
      <c r="W254" s="74" t="str">
        <v>拼多多</v>
      </c>
      <c r="X254" s="74" t="str">
        <v>DP030-010</v>
      </c>
      <c r="Y254" s="74" t="str">
        <v>拼多多-联合投放</v>
      </c>
      <c r="Z254" s="74"/>
      <c r="AA254" s="74"/>
      <c r="AB254" s="74"/>
      <c r="AC254" s="74" t="str">
        <v>否</v>
      </c>
      <c r="AD254" s="74"/>
      <c r="AE254" s="74"/>
      <c r="AF254" s="74"/>
      <c r="AG254" s="74"/>
      <c r="AH254" s="74" t="str">
        <v>鹿其（俞麟峰）</v>
      </c>
      <c r="AI254" s="74"/>
      <c r="AJ254" s="74" t="str">
        <v>杭州匠泽电子商务有限公司</v>
      </c>
      <c r="AK254" s="74"/>
      <c r="AL254" s="74"/>
      <c r="AM254" s="74"/>
      <c r="AN254" s="74" t="str">
        <v>自投</v>
      </c>
      <c r="AO254" s="131">
        <v>36526</v>
      </c>
      <c r="AP254" s="74" t="str">
        <v>站内</v>
      </c>
      <c r="AQ254" s="74" t="str">
        <v>DP030-PDD</v>
      </c>
      <c r="AR254" s="74"/>
      <c r="AS254" s="74" t="str">
        <v>拼多多花西子匠泽店-联合活动</v>
      </c>
      <c r="AT254" s="74" t="str">
        <v>花西子</v>
      </c>
    </row>
    <row r="255">
      <c r="A255" s="74" t="str">
        <v>03144022f628ffcff3f0d6cfb2be0001</v>
      </c>
      <c r="B255" s="74"/>
      <c r="C255" s="74"/>
      <c r="D255" s="74" t="str">
        <v>ycss02;</v>
      </c>
      <c r="E255" s="74"/>
      <c r="F255" s="25"/>
      <c r="G255" s="74">
        <v>0</v>
      </c>
      <c r="H255" s="74"/>
      <c r="I255" s="74">
        <v>0</v>
      </c>
      <c r="J255" s="74"/>
      <c r="K255" s="74">
        <v>0</v>
      </c>
      <c r="L255" s="74"/>
      <c r="M255" s="74">
        <v>0</v>
      </c>
      <c r="N255" s="74"/>
      <c r="O255" s="74">
        <v>0</v>
      </c>
      <c r="P255" s="74"/>
      <c r="Q255" s="74">
        <v>0</v>
      </c>
      <c r="R255" s="74"/>
      <c r="S255" s="74" t="str">
        <v>未完结</v>
      </c>
      <c r="T255" s="74"/>
      <c r="U255" s="74"/>
      <c r="V255" s="74" t="str">
        <v>上海寻梦信息技术有限公司</v>
      </c>
      <c r="W255" s="74" t="str">
        <v>拼多多</v>
      </c>
      <c r="X255" s="74" t="str">
        <v>DP011-PDD</v>
      </c>
      <c r="Y255" s="74" t="str">
        <v>拼多多-常规投放</v>
      </c>
      <c r="Z255" s="74"/>
      <c r="AA255" s="74"/>
      <c r="AB255" s="74"/>
      <c r="AC255" s="74" t="str">
        <v>是</v>
      </c>
      <c r="AD255" s="74"/>
      <c r="AE255" s="74"/>
      <c r="AF255" s="74"/>
      <c r="AG255" s="74"/>
      <c r="AH255" s="74"/>
      <c r="AI255" s="74"/>
      <c r="AJ255" s="74" t="str">
        <v>杭州匠泽电子商务有限公司</v>
      </c>
      <c r="AK255" s="74"/>
      <c r="AL255" s="74"/>
      <c r="AM255" s="74"/>
      <c r="AN255" s="74" t="str">
        <v>自投</v>
      </c>
      <c r="AO255" s="131">
        <v>36526</v>
      </c>
      <c r="AP255" s="74" t="str">
        <v>站内</v>
      </c>
      <c r="AQ255" s="74" t="str">
        <v>DP011-PDD</v>
      </c>
      <c r="AR255" s="74"/>
      <c r="AS255" s="74" t="str">
        <v>拼多多花西子专卖店</v>
      </c>
      <c r="AT255" s="74" t="str">
        <v>花西子</v>
      </c>
    </row>
    <row r="256">
      <c r="A256" s="74" t="str">
        <v>03144022f718ffcff3f0d6cfb2be0001</v>
      </c>
      <c r="B256" s="74"/>
      <c r="C256" s="74"/>
      <c r="D256" s="74" t="str">
        <v>ycss02;</v>
      </c>
      <c r="E256" s="74"/>
      <c r="F256" s="25"/>
      <c r="G256" s="74">
        <v>0</v>
      </c>
      <c r="H256" s="74"/>
      <c r="I256" s="74">
        <v>0</v>
      </c>
      <c r="J256" s="74"/>
      <c r="K256" s="74">
        <v>0</v>
      </c>
      <c r="L256" s="74"/>
      <c r="M256" s="74">
        <v>0</v>
      </c>
      <c r="N256" s="74"/>
      <c r="O256" s="74">
        <v>0</v>
      </c>
      <c r="P256" s="74"/>
      <c r="Q256" s="74">
        <v>0</v>
      </c>
      <c r="R256" s="74"/>
      <c r="S256" s="74" t="str">
        <v>未完结</v>
      </c>
      <c r="T256" s="74"/>
      <c r="U256" s="74"/>
      <c r="V256" s="74" t="str">
        <v>上海寻梦信息技术有限公司</v>
      </c>
      <c r="W256" s="74" t="str">
        <v>拼多多</v>
      </c>
      <c r="X256" s="74" t="str">
        <v>DP069-PDD</v>
      </c>
      <c r="Y256" s="74" t="str">
        <v>拼多多-常规投放</v>
      </c>
      <c r="Z256" s="74"/>
      <c r="AA256" s="74"/>
      <c r="AB256" s="74"/>
      <c r="AC256" s="74" t="str">
        <v>是</v>
      </c>
      <c r="AD256" s="74"/>
      <c r="AE256" s="74"/>
      <c r="AF256" s="74"/>
      <c r="AG256" s="74"/>
      <c r="AH256" s="74"/>
      <c r="AI256" s="74"/>
      <c r="AJ256" s="74" t="str">
        <v>杭州匠泽电子商务有限公司</v>
      </c>
      <c r="AK256" s="74"/>
      <c r="AL256" s="74"/>
      <c r="AM256" s="74"/>
      <c r="AN256" s="74" t="str">
        <v>自投</v>
      </c>
      <c r="AO256" s="131">
        <v>36526</v>
      </c>
      <c r="AP256" s="74" t="str">
        <v>站内</v>
      </c>
      <c r="AQ256" s="74" t="str">
        <v>DP069-PDD</v>
      </c>
      <c r="AR256" s="74"/>
      <c r="AS256" s="74" t="str">
        <v>拼多多花西子美妆专卖店</v>
      </c>
      <c r="AT256" s="74" t="str">
        <v>花西子</v>
      </c>
    </row>
    <row r="257">
      <c r="A257" s="74" t="str">
        <v>03144022f818ffcff3f0d6cfb2be0001</v>
      </c>
      <c r="B257" s="74"/>
      <c r="C257" s="74"/>
      <c r="D257" s="74" t="str">
        <v>ycss02;</v>
      </c>
      <c r="E257" s="74"/>
      <c r="F257" s="25"/>
      <c r="G257" s="74">
        <v>0</v>
      </c>
      <c r="H257" s="74"/>
      <c r="I257" s="74">
        <v>0</v>
      </c>
      <c r="J257" s="74"/>
      <c r="K257" s="74">
        <v>0</v>
      </c>
      <c r="L257" s="74"/>
      <c r="M257" s="74">
        <v>0</v>
      </c>
      <c r="N257" s="74"/>
      <c r="O257" s="74">
        <v>0</v>
      </c>
      <c r="P257" s="74"/>
      <c r="Q257" s="74">
        <v>0</v>
      </c>
      <c r="R257" s="74"/>
      <c r="S257" s="74" t="str">
        <v>未完结</v>
      </c>
      <c r="T257" s="74"/>
      <c r="U257" s="74"/>
      <c r="V257" s="74" t="str">
        <v>上海寻梦信息技术有限公司</v>
      </c>
      <c r="W257" s="74" t="str">
        <v>拼多多</v>
      </c>
      <c r="X257" s="74" t="str">
        <v>DP071-PDD</v>
      </c>
      <c r="Y257" s="74" t="str">
        <v>拼多多-联合投放</v>
      </c>
      <c r="Z257" s="74"/>
      <c r="AA257" s="74"/>
      <c r="AB257" s="74"/>
      <c r="AC257" s="74" t="str">
        <v>是</v>
      </c>
      <c r="AD257" s="74"/>
      <c r="AE257" s="74"/>
      <c r="AF257" s="74"/>
      <c r="AG257" s="74"/>
      <c r="AH257" s="74"/>
      <c r="AI257" s="74"/>
      <c r="AJ257" s="74" t="str">
        <v>杭州匠泽电子商务有限公司</v>
      </c>
      <c r="AK257" s="74"/>
      <c r="AL257" s="74"/>
      <c r="AM257" s="74"/>
      <c r="AN257" s="74" t="str">
        <v>自投</v>
      </c>
      <c r="AO257" s="131">
        <v>36526</v>
      </c>
      <c r="AP257" s="74" t="str">
        <v>站内</v>
      </c>
      <c r="AQ257" s="74" t="str">
        <v>DP071-PDD</v>
      </c>
      <c r="AR257" s="74"/>
      <c r="AS257" s="74" t="str">
        <v>拼多多花西子美妆旗舰店</v>
      </c>
      <c r="AT257" s="74" t="str">
        <v>花西子</v>
      </c>
    </row>
    <row r="258">
      <c r="A258" s="74" t="str">
        <v>03144022f918ffcff3f0d6cfb2be0001</v>
      </c>
      <c r="B258" s="74"/>
      <c r="C258" s="74"/>
      <c r="D258" s="74" t="str">
        <v>ycss02;</v>
      </c>
      <c r="E258" s="74"/>
      <c r="F258" s="25"/>
      <c r="G258" s="74">
        <v>0</v>
      </c>
      <c r="H258" s="74"/>
      <c r="I258" s="74">
        <v>0</v>
      </c>
      <c r="J258" s="74"/>
      <c r="K258" s="74">
        <v>0</v>
      </c>
      <c r="L258" s="74"/>
      <c r="M258" s="74">
        <v>0</v>
      </c>
      <c r="N258" s="74"/>
      <c r="O258" s="74">
        <v>0</v>
      </c>
      <c r="P258" s="74"/>
      <c r="Q258" s="74">
        <v>0</v>
      </c>
      <c r="R258" s="74"/>
      <c r="S258" s="74" t="str">
        <v>未完结</v>
      </c>
      <c r="T258" s="74"/>
      <c r="U258" s="74"/>
      <c r="V258" s="74" t="str">
        <v>上海寻梦信息技术有限公司</v>
      </c>
      <c r="W258" s="74" t="str">
        <v>拼多多</v>
      </c>
      <c r="X258" s="74" t="str">
        <v>DP030-PDD</v>
      </c>
      <c r="Y258" s="74" t="str">
        <v>拼多多-常规投放</v>
      </c>
      <c r="Z258" s="74"/>
      <c r="AA258" s="74"/>
      <c r="AB258" s="74"/>
      <c r="AC258" s="74" t="str">
        <v>是</v>
      </c>
      <c r="AD258" s="74"/>
      <c r="AE258" s="74"/>
      <c r="AF258" s="74"/>
      <c r="AG258" s="74"/>
      <c r="AH258" s="74"/>
      <c r="AI258" s="74"/>
      <c r="AJ258" s="74" t="str">
        <v>杭州匠泽电子商务有限公司</v>
      </c>
      <c r="AK258" s="74"/>
      <c r="AL258" s="74"/>
      <c r="AM258" s="74"/>
      <c r="AN258" s="74" t="str">
        <v>自投</v>
      </c>
      <c r="AO258" s="131">
        <v>36526</v>
      </c>
      <c r="AP258" s="74" t="str">
        <v>站内</v>
      </c>
      <c r="AQ258" s="74" t="str">
        <v>DP030-PDD</v>
      </c>
      <c r="AR258" s="74"/>
      <c r="AS258" s="74" t="str">
        <v>拼多多花西子匠泽店</v>
      </c>
      <c r="AT258" s="74" t="str">
        <v>花西子</v>
      </c>
    </row>
    <row r="259">
      <c r="A259" s="74" t="str">
        <v>03144022a5b8ffcff3f0d6cfb2be0001</v>
      </c>
      <c r="B259" s="74"/>
      <c r="C259" s="74"/>
      <c r="D259" s="74" t="str">
        <v>ycss02;</v>
      </c>
      <c r="E259" s="74"/>
      <c r="F259" s="25"/>
      <c r="G259" s="74">
        <v>0</v>
      </c>
      <c r="H259" s="74"/>
      <c r="I259" s="74">
        <v>0</v>
      </c>
      <c r="J259" s="74"/>
      <c r="K259" s="74">
        <v>0</v>
      </c>
      <c r="L259" s="74"/>
      <c r="M259" s="74">
        <v>0</v>
      </c>
      <c r="N259" s="74"/>
      <c r="O259" s="74">
        <v>0</v>
      </c>
      <c r="P259" s="74"/>
      <c r="Q259" s="74">
        <v>0</v>
      </c>
      <c r="R259" s="74"/>
      <c r="S259" s="74" t="str">
        <v>未完结</v>
      </c>
      <c r="T259" s="74"/>
      <c r="U259" s="74"/>
      <c r="V259" s="74" t="str">
        <v>武汉巨量星图科技有限公司</v>
      </c>
      <c r="W259" s="74" t="str">
        <v>抖音</v>
      </c>
      <c r="X259" s="74" t="str">
        <v>1709153479960584</v>
      </c>
      <c r="Y259" s="74"/>
      <c r="Z259" s="74"/>
      <c r="AA259" s="74"/>
      <c r="AB259" s="74"/>
      <c r="AC259" s="74" t="str">
        <v>是</v>
      </c>
      <c r="AD259" s="74"/>
      <c r="AE259" s="74"/>
      <c r="AF259" s="74"/>
      <c r="AG259" s="74"/>
      <c r="AH259" s="74" t="str">
        <v>杜若</v>
      </c>
      <c r="AI259" s="74"/>
      <c r="AJ259" s="74" t="str">
        <v>杭州宜格化妆品有限公司</v>
      </c>
      <c r="AK259" s="74"/>
      <c r="AL259" s="74"/>
      <c r="AM259" s="74"/>
      <c r="AN259" s="74" t="str">
        <v>自投</v>
      </c>
      <c r="AO259" s="131">
        <v>36526</v>
      </c>
      <c r="AP259" s="74"/>
      <c r="AQ259" s="74" t="str">
        <v>1709153479960584</v>
      </c>
      <c r="AR259" s="74"/>
      <c r="AS259" s="74" t="str">
        <v>1709153479960584</v>
      </c>
      <c r="AT259" s="74" t="str">
        <v>花西子</v>
      </c>
    </row>
    <row r="260">
      <c r="A260" s="74" t="str">
        <v>03144022a778ffcff3f0d6cfb2be0001</v>
      </c>
      <c r="B260" s="74"/>
      <c r="C260" s="74"/>
      <c r="D260" s="74" t="str">
        <v>ycss02;</v>
      </c>
      <c r="E260" s="74"/>
      <c r="F260" s="25"/>
      <c r="G260" s="74">
        <v>0</v>
      </c>
      <c r="H260" s="74"/>
      <c r="I260" s="74">
        <v>0</v>
      </c>
      <c r="J260" s="74"/>
      <c r="K260" s="74">
        <v>0</v>
      </c>
      <c r="L260" s="74"/>
      <c r="M260" s="74">
        <v>0</v>
      </c>
      <c r="N260" s="74"/>
      <c r="O260" s="74">
        <v>0</v>
      </c>
      <c r="P260" s="74"/>
      <c r="Q260" s="74">
        <v>0</v>
      </c>
      <c r="R260" s="74"/>
      <c r="S260" s="74" t="str">
        <v>未完结</v>
      </c>
      <c r="T260" s="74"/>
      <c r="U260" s="74"/>
      <c r="V260" s="74" t="str">
        <v>上海宇枫电子商务有限公司</v>
      </c>
      <c r="W260" s="74" t="str">
        <v>微博</v>
      </c>
      <c r="X260" s="74">
        <v>6965612965</v>
      </c>
      <c r="Y260" s="74" t="str">
        <v>微博推广</v>
      </c>
      <c r="Z260" s="74"/>
      <c r="AA260" s="74" t="str">
        <v>是</v>
      </c>
      <c r="AB260" s="74" t="str">
        <v>否</v>
      </c>
      <c r="AC260" s="74" t="str">
        <v>否</v>
      </c>
      <c r="AD260" s="74" t="str">
        <v>否</v>
      </c>
      <c r="AE260" s="74"/>
      <c r="AF260" s="74"/>
      <c r="AG260" s="74"/>
      <c r="AH260" s="74" t="str">
        <v>白纸（张浩霖）</v>
      </c>
      <c r="AI260" s="74"/>
      <c r="AJ260" s="74" t="str">
        <v>杭州宜格化妆品有限公司</v>
      </c>
      <c r="AK260" s="74"/>
      <c r="AL260" s="74"/>
      <c r="AM260" s="74"/>
      <c r="AN260" s="74" t="str">
        <v>自投</v>
      </c>
      <c r="AO260" s="131">
        <v>36526</v>
      </c>
      <c r="AP260" s="74" t="str">
        <v>站外</v>
      </c>
      <c r="AQ260" s="74">
        <v>6965612965</v>
      </c>
      <c r="AR260" s="74"/>
      <c r="AS260" s="74" t="str">
        <v>花西子美妆日记</v>
      </c>
      <c r="AT260" s="74" t="str">
        <v>花西子</v>
      </c>
    </row>
    <row r="261">
      <c r="A261" s="74" t="str">
        <v>03144022a878ffcff3f0d6cfb2be0001</v>
      </c>
      <c r="B261" s="74"/>
      <c r="C261" s="74"/>
      <c r="D261" s="74" t="str">
        <v>ycss02;</v>
      </c>
      <c r="E261" s="74"/>
      <c r="F261" s="25"/>
      <c r="G261" s="74">
        <v>0</v>
      </c>
      <c r="H261" s="74"/>
      <c r="I261" s="74">
        <v>0</v>
      </c>
      <c r="J261" s="74"/>
      <c r="K261" s="74">
        <v>0</v>
      </c>
      <c r="L261" s="74"/>
      <c r="M261" s="74">
        <v>0</v>
      </c>
      <c r="N261" s="74"/>
      <c r="O261" s="74">
        <v>0</v>
      </c>
      <c r="P261" s="74"/>
      <c r="Q261" s="74">
        <v>0</v>
      </c>
      <c r="R261" s="74"/>
      <c r="S261" s="74" t="str">
        <v>未完结</v>
      </c>
      <c r="T261" s="74"/>
      <c r="U261" s="74"/>
      <c r="V261" s="74" t="str">
        <v>上海博观瑞思传媒科技有限公司</v>
      </c>
      <c r="W261" s="74" t="str">
        <v>抖音</v>
      </c>
      <c r="X261" s="74" t="str">
        <v>1760519091540999</v>
      </c>
      <c r="Y261" s="74" t="str">
        <v>矩阵号千川信息流</v>
      </c>
      <c r="Z261" s="74"/>
      <c r="AA261" s="74"/>
      <c r="AB261" s="74"/>
      <c r="AC261" s="74" t="str">
        <v>否</v>
      </c>
      <c r="AD261" s="74"/>
      <c r="AE261" s="74"/>
      <c r="AF261" s="74"/>
      <c r="AG261" s="74"/>
      <c r="AH261" s="74" t="str">
        <v>兴泉（韩兴泉）</v>
      </c>
      <c r="AI261" s="74"/>
      <c r="AJ261" s="74" t="str">
        <v>杭州宜格化妆品有限公司</v>
      </c>
      <c r="AK261" s="74"/>
      <c r="AL261" s="74"/>
      <c r="AM261" s="74"/>
      <c r="AN261" s="74" t="str">
        <v>自投</v>
      </c>
      <c r="AO261" s="131">
        <v>36526</v>
      </c>
      <c r="AP261" s="74" t="str">
        <v>站外</v>
      </c>
      <c r="AQ261" s="74" t="str">
        <v>1760519091540999</v>
      </c>
      <c r="AR261" s="74"/>
      <c r="AS261" s="74" t="str">
        <v>博观3户-彩妆有术</v>
      </c>
      <c r="AT261" s="74" t="str">
        <v>花西子</v>
      </c>
    </row>
    <row r="262">
      <c r="A262" s="74" t="str">
        <v>03144022a988ffcff3f0d6cfb2be0001</v>
      </c>
      <c r="B262" s="74"/>
      <c r="C262" s="74"/>
      <c r="D262" s="74" t="str">
        <v>ycss02;</v>
      </c>
      <c r="E262" s="74"/>
      <c r="F262" s="25"/>
      <c r="G262" s="74">
        <v>0</v>
      </c>
      <c r="H262" s="74"/>
      <c r="I262" s="74">
        <v>0</v>
      </c>
      <c r="J262" s="74"/>
      <c r="K262" s="74">
        <v>0</v>
      </c>
      <c r="L262" s="74"/>
      <c r="M262" s="74">
        <v>0</v>
      </c>
      <c r="N262" s="74"/>
      <c r="O262" s="74">
        <v>0</v>
      </c>
      <c r="P262" s="74"/>
      <c r="Q262" s="74">
        <v>0</v>
      </c>
      <c r="R262" s="74"/>
      <c r="S262" s="74" t="str">
        <v>未完结</v>
      </c>
      <c r="T262" s="74"/>
      <c r="U262" s="74"/>
      <c r="V262" s="74" t="str">
        <v>上海博观瑞思传媒科技有限公司</v>
      </c>
      <c r="W262" s="74" t="str">
        <v>抖音</v>
      </c>
      <c r="X262" s="74" t="str">
        <v>1761057340544014</v>
      </c>
      <c r="Y262" s="74" t="str">
        <v>矩阵号千川信息流</v>
      </c>
      <c r="Z262" s="74"/>
      <c r="AA262" s="74"/>
      <c r="AB262" s="74"/>
      <c r="AC262" s="74" t="str">
        <v>否</v>
      </c>
      <c r="AD262" s="74"/>
      <c r="AE262" s="74"/>
      <c r="AF262" s="74"/>
      <c r="AG262" s="74"/>
      <c r="AH262" s="74" t="str">
        <v>兴泉（韩兴泉）</v>
      </c>
      <c r="AI262" s="74"/>
      <c r="AJ262" s="74" t="str">
        <v>杭州宜格化妆品有限公司</v>
      </c>
      <c r="AK262" s="74"/>
      <c r="AL262" s="74"/>
      <c r="AM262" s="74"/>
      <c r="AN262" s="74" t="str">
        <v>自投</v>
      </c>
      <c r="AO262" s="131">
        <v>36526</v>
      </c>
      <c r="AP262" s="74" t="str">
        <v>站外</v>
      </c>
      <c r="AQ262" s="74" t="str">
        <v>1761057340544014</v>
      </c>
      <c r="AR262" s="74"/>
      <c r="AS262" s="74" t="str">
        <v>博观6户-彩妆有术</v>
      </c>
      <c r="AT262" s="74" t="str">
        <v>花西子</v>
      </c>
    </row>
    <row r="263">
      <c r="A263" s="74" t="str">
        <v>03144022aa98ffcff3f0d6cfb2be0001</v>
      </c>
      <c r="B263" s="74"/>
      <c r="C263" s="74"/>
      <c r="D263" s="74" t="str">
        <v>ycss02;</v>
      </c>
      <c r="E263" s="74"/>
      <c r="F263" s="25"/>
      <c r="G263" s="74">
        <v>0</v>
      </c>
      <c r="H263" s="74"/>
      <c r="I263" s="74">
        <v>0</v>
      </c>
      <c r="J263" s="74"/>
      <c r="K263" s="74">
        <v>0</v>
      </c>
      <c r="L263" s="74"/>
      <c r="M263" s="74">
        <v>0</v>
      </c>
      <c r="N263" s="74"/>
      <c r="O263" s="74">
        <v>0</v>
      </c>
      <c r="P263" s="74"/>
      <c r="Q263" s="74">
        <v>0</v>
      </c>
      <c r="R263" s="74"/>
      <c r="S263" s="74" t="str">
        <v>未完结</v>
      </c>
      <c r="T263" s="74"/>
      <c r="U263" s="74"/>
      <c r="V263" s="74" t="str">
        <v>上海博观瑞思传媒科技有限公司</v>
      </c>
      <c r="W263" s="74" t="str">
        <v>抖音</v>
      </c>
      <c r="X263" s="74" t="str">
        <v>1761057229537293</v>
      </c>
      <c r="Y263" s="74" t="str">
        <v>矩阵号千川信息流</v>
      </c>
      <c r="Z263" s="74"/>
      <c r="AA263" s="74"/>
      <c r="AB263" s="74"/>
      <c r="AC263" s="74"/>
      <c r="AD263" s="74"/>
      <c r="AE263" s="74"/>
      <c r="AF263" s="74"/>
      <c r="AG263" s="74"/>
      <c r="AH263" s="74" t="str">
        <v>兴泉（韩兴泉）</v>
      </c>
      <c r="AI263" s="74"/>
      <c r="AJ263" s="74" t="str">
        <v>杭州宜格化妆品有限公司</v>
      </c>
      <c r="AK263" s="74"/>
      <c r="AL263" s="74"/>
      <c r="AM263" s="74"/>
      <c r="AN263" s="74" t="str">
        <v>自投</v>
      </c>
      <c r="AO263" s="131">
        <v>36526</v>
      </c>
      <c r="AP263" s="74" t="str">
        <v>站外</v>
      </c>
      <c r="AQ263" s="74" t="str">
        <v>1761057229537293</v>
      </c>
      <c r="AR263" s="74"/>
      <c r="AS263" s="74" t="str">
        <v>博观5户-礼物精选</v>
      </c>
      <c r="AT263" s="74" t="str">
        <v>花西子</v>
      </c>
    </row>
    <row r="264">
      <c r="A264" s="74" t="str">
        <v>03144022aba8ffcff3f0d6cfb2be0001</v>
      </c>
      <c r="B264" s="74"/>
      <c r="C264" s="74"/>
      <c r="D264" s="74" t="str">
        <v>ycss02;</v>
      </c>
      <c r="E264" s="74"/>
      <c r="F264" s="25"/>
      <c r="G264" s="74">
        <v>0</v>
      </c>
      <c r="H264" s="74"/>
      <c r="I264" s="74">
        <v>0</v>
      </c>
      <c r="J264" s="74"/>
      <c r="K264" s="74">
        <v>0</v>
      </c>
      <c r="L264" s="74"/>
      <c r="M264" s="74">
        <v>0</v>
      </c>
      <c r="N264" s="74"/>
      <c r="O264" s="74">
        <v>0</v>
      </c>
      <c r="P264" s="74"/>
      <c r="Q264" s="74">
        <v>0</v>
      </c>
      <c r="R264" s="74"/>
      <c r="S264" s="74" t="str">
        <v>未完结</v>
      </c>
      <c r="T264" s="74"/>
      <c r="U264" s="74"/>
      <c r="V264" s="74" t="str">
        <v>上海博观瑞思传媒科技有限公司</v>
      </c>
      <c r="W264" s="74" t="str">
        <v>抖音</v>
      </c>
      <c r="X264" s="74" t="str">
        <v>1760519144208530</v>
      </c>
      <c r="Y264" s="74" t="str">
        <v>矩阵号千川信息流</v>
      </c>
      <c r="Z264" s="74"/>
      <c r="AA264" s="74"/>
      <c r="AB264" s="74"/>
      <c r="AC264" s="74"/>
      <c r="AD264" s="74"/>
      <c r="AE264" s="74"/>
      <c r="AF264" s="74"/>
      <c r="AG264" s="74"/>
      <c r="AH264" s="74" t="str">
        <v>兴泉（韩兴泉）</v>
      </c>
      <c r="AI264" s="74"/>
      <c r="AJ264" s="74" t="str">
        <v>杭州宜格化妆品有限公司</v>
      </c>
      <c r="AK264" s="74"/>
      <c r="AL264" s="74"/>
      <c r="AM264" s="74"/>
      <c r="AN264" s="74" t="str">
        <v>自投</v>
      </c>
      <c r="AO264" s="131">
        <v>36526</v>
      </c>
      <c r="AP264" s="74" t="str">
        <v>站外</v>
      </c>
      <c r="AQ264" s="74" t="str">
        <v>1760519144208530</v>
      </c>
      <c r="AR264" s="74"/>
      <c r="AS264" s="74" t="str">
        <v>博观4户-东方有佳人</v>
      </c>
      <c r="AT264" s="74" t="str">
        <v>花西子</v>
      </c>
    </row>
    <row r="265">
      <c r="A265" s="74" t="str">
        <v>03144022ac98ffcff3f0d6cfb2be0001</v>
      </c>
      <c r="B265" s="74"/>
      <c r="C265" s="74"/>
      <c r="D265" s="74" t="str">
        <v>ycss02;</v>
      </c>
      <c r="E265" s="74"/>
      <c r="F265" s="25"/>
      <c r="G265" s="74">
        <v>0</v>
      </c>
      <c r="H265" s="74"/>
      <c r="I265" s="74">
        <v>0</v>
      </c>
      <c r="J265" s="74"/>
      <c r="K265" s="74">
        <v>0</v>
      </c>
      <c r="L265" s="74"/>
      <c r="M265" s="74">
        <v>0</v>
      </c>
      <c r="N265" s="74"/>
      <c r="O265" s="74">
        <v>0</v>
      </c>
      <c r="P265" s="74"/>
      <c r="Q265" s="74">
        <v>0</v>
      </c>
      <c r="R265" s="74"/>
      <c r="S265" s="74" t="str">
        <v>未完结</v>
      </c>
      <c r="T265" s="74"/>
      <c r="U265" s="74"/>
      <c r="V265" s="74" t="str">
        <v>知定堂文化传媒（上海）有限公司</v>
      </c>
      <c r="W265" s="74" t="str">
        <v>抖音</v>
      </c>
      <c r="X265" s="74" t="str">
        <v>1761153809509390</v>
      </c>
      <c r="Y265" s="74" t="str">
        <v>矩阵号千川信息流</v>
      </c>
      <c r="Z265" s="74"/>
      <c r="AA265" s="74"/>
      <c r="AB265" s="74"/>
      <c r="AC265" s="74"/>
      <c r="AD265" s="74"/>
      <c r="AE265" s="74"/>
      <c r="AF265" s="74"/>
      <c r="AG265" s="74"/>
      <c r="AH265" s="74" t="str">
        <v>兴泉（韩兴泉）</v>
      </c>
      <c r="AI265" s="74"/>
      <c r="AJ265" s="74" t="str">
        <v>杭州宜格化妆品有限公司</v>
      </c>
      <c r="AK265" s="74"/>
      <c r="AL265" s="74"/>
      <c r="AM265" s="74"/>
      <c r="AN265" s="74" t="str">
        <v>自投</v>
      </c>
      <c r="AO265" s="131">
        <v>36526</v>
      </c>
      <c r="AP265" s="74" t="str">
        <v>站外</v>
      </c>
      <c r="AQ265" s="74"/>
      <c r="AR265" s="74"/>
      <c r="AS265" s="74" t="str">
        <v>知定堂1户-妆养</v>
      </c>
      <c r="AT265" s="74" t="str">
        <v>花西子</v>
      </c>
    </row>
    <row r="266">
      <c r="A266" s="74" t="str">
        <v>03144022ada8ffcff3f0d6cfb2be0001</v>
      </c>
      <c r="B266" s="74"/>
      <c r="C266" s="74"/>
      <c r="D266" s="74" t="str">
        <v>ycss02;</v>
      </c>
      <c r="E266" s="74"/>
      <c r="F266" s="25"/>
      <c r="G266" s="74">
        <v>0</v>
      </c>
      <c r="H266" s="74"/>
      <c r="I266" s="74">
        <v>0</v>
      </c>
      <c r="J266" s="74"/>
      <c r="K266" s="74">
        <v>0</v>
      </c>
      <c r="L266" s="74"/>
      <c r="M266" s="74">
        <v>0</v>
      </c>
      <c r="N266" s="74"/>
      <c r="O266" s="74">
        <v>0</v>
      </c>
      <c r="P266" s="74"/>
      <c r="Q266" s="74">
        <v>0</v>
      </c>
      <c r="R266" s="74"/>
      <c r="S266" s="74" t="str">
        <v>未完结</v>
      </c>
      <c r="T266" s="74"/>
      <c r="U266" s="74"/>
      <c r="V266" s="74" t="str">
        <v>群邑（上海）广告有限公司</v>
      </c>
      <c r="W266" s="74" t="str">
        <v>抖音</v>
      </c>
      <c r="X266" s="74" t="str">
        <v>1730073309761544</v>
      </c>
      <c r="Y266" s="74" t="str">
        <v>AD信息流</v>
      </c>
      <c r="Z266" s="74"/>
      <c r="AA266" s="74" t="str">
        <v>否</v>
      </c>
      <c r="AB266" s="74" t="str">
        <v>是</v>
      </c>
      <c r="AC266" s="74" t="str">
        <v>否</v>
      </c>
      <c r="AD266" s="74" t="str">
        <v>是</v>
      </c>
      <c r="AE266" s="74"/>
      <c r="AF266" s="74"/>
      <c r="AG266" s="74"/>
      <c r="AH266" s="74" t="str">
        <v>白纸（张浩霖）</v>
      </c>
      <c r="AI266" s="74"/>
      <c r="AJ266" s="74" t="str">
        <v>杭州宜格化妆品有限公司</v>
      </c>
      <c r="AK266" s="74"/>
      <c r="AL266" s="74"/>
      <c r="AM266" s="74"/>
      <c r="AN266" s="74" t="str">
        <v>代投</v>
      </c>
      <c r="AO266" s="131">
        <v>36526</v>
      </c>
      <c r="AP266" s="74" t="str">
        <v>站外</v>
      </c>
      <c r="AQ266" s="74" t="str">
        <v>1730073309761544</v>
      </c>
      <c r="AR266" s="74"/>
      <c r="AS266" s="74" t="str">
        <v>1730073309761544</v>
      </c>
      <c r="AT266" s="74" t="str">
        <v>花西子</v>
      </c>
    </row>
    <row r="267">
      <c r="A267" s="74" t="str">
        <v>03144022aeb8ffcff3f0d6cfb2be0001</v>
      </c>
      <c r="B267" s="74"/>
      <c r="C267" s="74"/>
      <c r="D267" s="74" t="str">
        <v>ycss02;</v>
      </c>
      <c r="E267" s="74"/>
      <c r="F267" s="25"/>
      <c r="G267" s="74">
        <v>0</v>
      </c>
      <c r="H267" s="74"/>
      <c r="I267" s="74">
        <v>0</v>
      </c>
      <c r="J267" s="74"/>
      <c r="K267" s="74">
        <v>0</v>
      </c>
      <c r="L267" s="74"/>
      <c r="M267" s="74">
        <v>0</v>
      </c>
      <c r="N267" s="74"/>
      <c r="O267" s="74">
        <v>0</v>
      </c>
      <c r="P267" s="74"/>
      <c r="Q267" s="74">
        <v>0</v>
      </c>
      <c r="R267" s="74"/>
      <c r="S267" s="74" t="str">
        <v>未完结</v>
      </c>
      <c r="T267" s="74"/>
      <c r="U267" s="74"/>
      <c r="V267" s="74" t="str">
        <v>广东省广告集团股份有限公司</v>
      </c>
      <c r="W267" s="74" t="str">
        <v>抖音</v>
      </c>
      <c r="X267" s="74" t="str">
        <v>1731427092912135</v>
      </c>
      <c r="Y267" s="74" t="str">
        <v>AD信息流</v>
      </c>
      <c r="Z267" s="74"/>
      <c r="AA267" s="74" t="str">
        <v>否</v>
      </c>
      <c r="AB267" s="74" t="str">
        <v>是</v>
      </c>
      <c r="AC267" s="74" t="str">
        <v>否</v>
      </c>
      <c r="AD267" s="74" t="str">
        <v>是</v>
      </c>
      <c r="AE267" s="74"/>
      <c r="AF267" s="74"/>
      <c r="AG267" s="74"/>
      <c r="AH267" s="74" t="str">
        <v>白纸（张浩霖）</v>
      </c>
      <c r="AI267" s="74"/>
      <c r="AJ267" s="74" t="str">
        <v>杭州宜格化妆品有限公司</v>
      </c>
      <c r="AK267" s="74"/>
      <c r="AL267" s="74"/>
      <c r="AM267" s="74"/>
      <c r="AN267" s="74" t="str">
        <v>代投</v>
      </c>
      <c r="AO267" s="131">
        <v>36526</v>
      </c>
      <c r="AP267" s="74" t="str">
        <v>站外</v>
      </c>
      <c r="AQ267" s="74" t="str">
        <v>1731427092912135</v>
      </c>
      <c r="AR267" s="74"/>
      <c r="AS267" s="74" t="str">
        <v>1731427092912135</v>
      </c>
      <c r="AT267" s="74" t="str">
        <v>花西子</v>
      </c>
    </row>
    <row r="268">
      <c r="A268" s="74" t="str">
        <v>03144022b2b8ffcff3f0d6cfb2be0001</v>
      </c>
      <c r="B268" s="74"/>
      <c r="C268" s="74"/>
      <c r="D268" s="74" t="str">
        <v>ycss02;</v>
      </c>
      <c r="E268" s="74"/>
      <c r="F268" s="25"/>
      <c r="G268" s="74">
        <v>0</v>
      </c>
      <c r="H268" s="74"/>
      <c r="I268" s="74">
        <v>0</v>
      </c>
      <c r="J268" s="74"/>
      <c r="K268" s="74">
        <v>0</v>
      </c>
      <c r="L268" s="74"/>
      <c r="M268" s="74">
        <v>0</v>
      </c>
      <c r="N268" s="74"/>
      <c r="O268" s="74">
        <v>0</v>
      </c>
      <c r="P268" s="74"/>
      <c r="Q268" s="74">
        <v>0</v>
      </c>
      <c r="R268" s="74"/>
      <c r="S268" s="74" t="str">
        <v>未完结</v>
      </c>
      <c r="T268" s="74"/>
      <c r="U268" s="74"/>
      <c r="V268" s="74" t="str">
        <v>北京云锐国际文化传媒有限公司</v>
      </c>
      <c r="W268" s="74" t="str">
        <v>抖音</v>
      </c>
      <c r="X268" s="74" t="str">
        <v>1727265617683470</v>
      </c>
      <c r="Y268" s="74" t="str">
        <v>千川信息流</v>
      </c>
      <c r="Z268" s="74"/>
      <c r="AA268" s="74"/>
      <c r="AB268" s="74"/>
      <c r="AC268" s="74"/>
      <c r="AD268" s="74"/>
      <c r="AE268" s="74"/>
      <c r="AF268" s="74"/>
      <c r="AG268" s="74"/>
      <c r="AH268" s="74" t="str">
        <v>兴泉（韩兴泉）</v>
      </c>
      <c r="AI268" s="74"/>
      <c r="AJ268" s="74" t="str">
        <v>杭州宜格化妆品有限公司</v>
      </c>
      <c r="AK268" s="74"/>
      <c r="AL268" s="74"/>
      <c r="AM268" s="74"/>
      <c r="AN268" s="74" t="str">
        <v>自投</v>
      </c>
      <c r="AO268" s="131">
        <v>36526</v>
      </c>
      <c r="AP268" s="74"/>
      <c r="AQ268" s="74" t="str">
        <v>1727265617683470</v>
      </c>
      <c r="AR268" s="74"/>
      <c r="AS268" s="74" t="str">
        <v>云锐-直播-官号2</v>
      </c>
      <c r="AT268" s="74" t="str">
        <v>花西子</v>
      </c>
    </row>
    <row r="269">
      <c r="A269" s="74" t="str">
        <v>03144022b3b8ffcff3f0d6cfb2be0001</v>
      </c>
      <c r="B269" s="74"/>
      <c r="C269" s="74"/>
      <c r="D269" s="74" t="str">
        <v>ycss02;</v>
      </c>
      <c r="E269" s="74"/>
      <c r="F269" s="25"/>
      <c r="G269" s="74">
        <v>0</v>
      </c>
      <c r="H269" s="74"/>
      <c r="I269" s="74">
        <v>0</v>
      </c>
      <c r="J269" s="74"/>
      <c r="K269" s="74">
        <v>0</v>
      </c>
      <c r="L269" s="74"/>
      <c r="M269" s="74">
        <v>0</v>
      </c>
      <c r="N269" s="74"/>
      <c r="O269" s="74">
        <v>0</v>
      </c>
      <c r="P269" s="74"/>
      <c r="Q269" s="74">
        <v>0</v>
      </c>
      <c r="R269" s="74"/>
      <c r="S269" s="74" t="str">
        <v>未完结</v>
      </c>
      <c r="T269" s="74"/>
      <c r="U269" s="74"/>
      <c r="V269" s="74" t="str">
        <v>广东省广告集团股份有限公司</v>
      </c>
      <c r="W269" s="74" t="str">
        <v>抖音</v>
      </c>
      <c r="X269" s="74" t="str">
        <v>1727435690629130</v>
      </c>
      <c r="Y269" s="74" t="str">
        <v>千川信息流</v>
      </c>
      <c r="Z269" s="74"/>
      <c r="AA269" s="74"/>
      <c r="AB269" s="74"/>
      <c r="AC269" s="74"/>
      <c r="AD269" s="74"/>
      <c r="AE269" s="74"/>
      <c r="AF269" s="74"/>
      <c r="AG269" s="74"/>
      <c r="AH269" s="74" t="str">
        <v>兴泉（韩兴泉）</v>
      </c>
      <c r="AI269" s="74"/>
      <c r="AJ269" s="74" t="str">
        <v>杭州宜格化妆品有限公司</v>
      </c>
      <c r="AK269" s="74"/>
      <c r="AL269" s="74"/>
      <c r="AM269" s="74"/>
      <c r="AN269" s="74" t="str">
        <v>自投</v>
      </c>
      <c r="AO269" s="131">
        <v>36526</v>
      </c>
      <c r="AP269" s="74"/>
      <c r="AQ269" s="74" t="str">
        <v>1727435690629130</v>
      </c>
      <c r="AR269" s="74"/>
      <c r="AS269" s="74" t="str">
        <v>省广-直播-官号1</v>
      </c>
      <c r="AT269" s="74" t="str">
        <v>花西子</v>
      </c>
    </row>
    <row r="270">
      <c r="A270" s="74" t="str">
        <v>03144022b4c8ffcff3f0d6cfb2be0001</v>
      </c>
      <c r="B270" s="74"/>
      <c r="C270" s="74"/>
      <c r="D270" s="74" t="str">
        <v>ycss02;</v>
      </c>
      <c r="E270" s="74"/>
      <c r="F270" s="25"/>
      <c r="G270" s="74">
        <v>0</v>
      </c>
      <c r="H270" s="74"/>
      <c r="I270" s="74">
        <v>0</v>
      </c>
      <c r="J270" s="74"/>
      <c r="K270" s="74">
        <v>0</v>
      </c>
      <c r="L270" s="74"/>
      <c r="M270" s="74">
        <v>0</v>
      </c>
      <c r="N270" s="74"/>
      <c r="O270" s="74">
        <v>0</v>
      </c>
      <c r="P270" s="74"/>
      <c r="Q270" s="74">
        <v>0</v>
      </c>
      <c r="R270" s="74"/>
      <c r="S270" s="74" t="str">
        <v>未完结</v>
      </c>
      <c r="T270" s="74"/>
      <c r="U270" s="74"/>
      <c r="V270" s="74" t="str">
        <v>广东省广告集团股份有限公司</v>
      </c>
      <c r="W270" s="74" t="str">
        <v>抖音</v>
      </c>
      <c r="X270" s="74" t="str">
        <v>1743277556435982</v>
      </c>
      <c r="Y270" s="74" t="str">
        <v>矩阵号千川信息流</v>
      </c>
      <c r="Z270" s="74"/>
      <c r="AA270" s="74"/>
      <c r="AB270" s="74"/>
      <c r="AC270" s="74"/>
      <c r="AD270" s="74"/>
      <c r="AE270" s="74"/>
      <c r="AF270" s="74"/>
      <c r="AG270" s="74"/>
      <c r="AH270" s="74" t="str">
        <v>兴泉（韩兴泉）</v>
      </c>
      <c r="AI270" s="74"/>
      <c r="AJ270" s="74" t="str">
        <v>杭州宜格化妆品有限公司</v>
      </c>
      <c r="AK270" s="74"/>
      <c r="AL270" s="74"/>
      <c r="AM270" s="74"/>
      <c r="AN270" s="74" t="str">
        <v>自投</v>
      </c>
      <c r="AO270" s="131">
        <v>36526</v>
      </c>
      <c r="AP270" s="74"/>
      <c r="AQ270" s="74" t="str">
        <v>1743277556435982</v>
      </c>
      <c r="AR270" s="74"/>
      <c r="AS270" s="74" t="str">
        <v>省广-矩阵直播-妆养</v>
      </c>
      <c r="AT270" s="74" t="str">
        <v>花西子</v>
      </c>
    </row>
    <row r="271">
      <c r="A271" s="74" t="str">
        <v>03144022b5d8ffcff3f0d6cfb2be0001</v>
      </c>
      <c r="B271" s="74"/>
      <c r="C271" s="74"/>
      <c r="D271" s="74" t="str">
        <v>ycss02;</v>
      </c>
      <c r="E271" s="74"/>
      <c r="F271" s="25"/>
      <c r="G271" s="74">
        <v>0</v>
      </c>
      <c r="H271" s="74"/>
      <c r="I271" s="74">
        <v>0</v>
      </c>
      <c r="J271" s="74"/>
      <c r="K271" s="74">
        <v>0</v>
      </c>
      <c r="L271" s="74"/>
      <c r="M271" s="74">
        <v>0</v>
      </c>
      <c r="N271" s="74"/>
      <c r="O271" s="74">
        <v>0</v>
      </c>
      <c r="P271" s="74"/>
      <c r="Q271" s="74">
        <v>0</v>
      </c>
      <c r="R271" s="74"/>
      <c r="S271" s="74" t="str">
        <v>未完结</v>
      </c>
      <c r="T271" s="74"/>
      <c r="U271" s="74"/>
      <c r="V271" s="74" t="str">
        <v>知定堂文化传媒（上海）有限公司</v>
      </c>
      <c r="W271" s="74" t="str">
        <v>抖音</v>
      </c>
      <c r="X271" s="74" t="str">
        <v>1766309736108040</v>
      </c>
      <c r="Y271" s="74" t="str">
        <v>矩阵号千川信息流</v>
      </c>
      <c r="Z271" s="74"/>
      <c r="AA271" s="74"/>
      <c r="AB271" s="74"/>
      <c r="AC271" s="74"/>
      <c r="AD271" s="74"/>
      <c r="AE271" s="74"/>
      <c r="AF271" s="74"/>
      <c r="AG271" s="74"/>
      <c r="AH271" s="74" t="str">
        <v>兴泉（韩兴泉）</v>
      </c>
      <c r="AI271" s="74"/>
      <c r="AJ271" s="74" t="str">
        <v>杭州宜格化妆品有限公司</v>
      </c>
      <c r="AK271" s="74"/>
      <c r="AL271" s="74"/>
      <c r="AM271" s="74"/>
      <c r="AN271" s="74" t="str">
        <v>自投</v>
      </c>
      <c r="AO271" s="131">
        <v>36526</v>
      </c>
      <c r="AP271" s="74"/>
      <c r="AQ271" s="74" t="str">
        <v>1766309736108040</v>
      </c>
      <c r="AR271" s="74"/>
      <c r="AS271" s="74" t="str">
        <v>知定堂2户-妆养</v>
      </c>
      <c r="AT271" s="74" t="str">
        <v>花西子</v>
      </c>
    </row>
    <row r="272">
      <c r="A272" s="74" t="str">
        <v>03144022b6d8ffcff3f0d6cfb2be0001</v>
      </c>
      <c r="B272" s="74"/>
      <c r="C272" s="74"/>
      <c r="D272" s="74" t="str">
        <v>ycss02;</v>
      </c>
      <c r="E272" s="74"/>
      <c r="F272" s="25"/>
      <c r="G272" s="74">
        <v>0</v>
      </c>
      <c r="H272" s="74"/>
      <c r="I272" s="74">
        <v>0</v>
      </c>
      <c r="J272" s="74"/>
      <c r="K272" s="74">
        <v>0</v>
      </c>
      <c r="L272" s="74"/>
      <c r="M272" s="74">
        <v>0</v>
      </c>
      <c r="N272" s="74"/>
      <c r="O272" s="74">
        <v>0</v>
      </c>
      <c r="P272" s="74"/>
      <c r="Q272" s="74">
        <v>0</v>
      </c>
      <c r="R272" s="74"/>
      <c r="S272" s="74" t="str">
        <v>未完结</v>
      </c>
      <c r="T272" s="74"/>
      <c r="U272" s="74"/>
      <c r="V272" s="74" t="str">
        <v>知定堂文化传媒（上海）有限公司</v>
      </c>
      <c r="W272" s="74" t="str">
        <v>抖音</v>
      </c>
      <c r="X272" s="74" t="str">
        <v>1766564041175070</v>
      </c>
      <c r="Y272" s="74" t="str">
        <v>矩阵号千川信息流</v>
      </c>
      <c r="Z272" s="74"/>
      <c r="AA272" s="74"/>
      <c r="AB272" s="74"/>
      <c r="AC272" s="74"/>
      <c r="AD272" s="74"/>
      <c r="AE272" s="74"/>
      <c r="AF272" s="74"/>
      <c r="AG272" s="74"/>
      <c r="AH272" s="74" t="str">
        <v>兴泉（韩兴泉）</v>
      </c>
      <c r="AI272" s="74"/>
      <c r="AJ272" s="74" t="str">
        <v>杭州宜格化妆品有限公司</v>
      </c>
      <c r="AK272" s="74"/>
      <c r="AL272" s="74"/>
      <c r="AM272" s="74"/>
      <c r="AN272" s="74" t="str">
        <v>自投</v>
      </c>
      <c r="AO272" s="131">
        <v>36526</v>
      </c>
      <c r="AP272" s="74"/>
      <c r="AQ272" s="74" t="str">
        <v>1766564041175070</v>
      </c>
      <c r="AR272" s="74"/>
      <c r="AS272" s="74" t="str">
        <v>知定堂3户-东方有佳人</v>
      </c>
      <c r="AT272" s="74" t="str">
        <v>花西子</v>
      </c>
    </row>
    <row r="273">
      <c r="A273" s="74" t="str">
        <v>03144022b7d8ffcff3f0d6cfb2be0001</v>
      </c>
      <c r="B273" s="74"/>
      <c r="C273" s="74"/>
      <c r="D273" s="74" t="str">
        <v>ycss02;</v>
      </c>
      <c r="E273" s="74"/>
      <c r="F273" s="25"/>
      <c r="G273" s="74">
        <v>0</v>
      </c>
      <c r="H273" s="74"/>
      <c r="I273" s="74">
        <v>0</v>
      </c>
      <c r="J273" s="74"/>
      <c r="K273" s="74">
        <v>0</v>
      </c>
      <c r="L273" s="74"/>
      <c r="M273" s="74">
        <v>0</v>
      </c>
      <c r="N273" s="74"/>
      <c r="O273" s="74">
        <v>0</v>
      </c>
      <c r="P273" s="74"/>
      <c r="Q273" s="74">
        <v>0</v>
      </c>
      <c r="R273" s="74"/>
      <c r="S273" s="74" t="str">
        <v>未完结</v>
      </c>
      <c r="T273" s="74"/>
      <c r="U273" s="74"/>
      <c r="V273" s="74" t="str">
        <v>上海小花猫文化传播有限公司</v>
      </c>
      <c r="W273" s="74" t="str">
        <v>B站</v>
      </c>
      <c r="X273" s="74" t="s">
        <v>83</v>
      </c>
      <c r="Y273" s="74" t="str">
        <v>B站起飞加热</v>
      </c>
      <c r="Z273" s="74"/>
      <c r="AA273" s="74" t="str">
        <v>是</v>
      </c>
      <c r="AB273" s="74" t="str">
        <v>否</v>
      </c>
      <c r="AC273" s="74" t="str">
        <v>否</v>
      </c>
      <c r="AD273" s="74" t="str">
        <v>是</v>
      </c>
      <c r="AE273" s="74"/>
      <c r="AF273" s="74"/>
      <c r="AG273" s="74"/>
      <c r="AH273" s="74" t="str">
        <v>一样（谢炀）</v>
      </c>
      <c r="AI273" s="74"/>
      <c r="AJ273" s="74" t="str">
        <v>杭州宜格化妆品有限公司</v>
      </c>
      <c r="AK273" s="74"/>
      <c r="AL273" s="74"/>
      <c r="AM273" s="74"/>
      <c r="AN273" s="74" t="str">
        <v>代投</v>
      </c>
      <c r="AO273" s="131">
        <v>36526</v>
      </c>
      <c r="AP273" s="74" t="str">
        <v>站外</v>
      </c>
      <c r="AQ273" s="74" t="s">
        <v>83</v>
      </c>
      <c r="AR273" s="74"/>
      <c r="AS273" s="74" t="s">
        <v>83</v>
      </c>
      <c r="AT273" s="74" t="str">
        <v>花西子</v>
      </c>
    </row>
    <row r="274">
      <c r="A274" s="74" t="str">
        <v>03144022b8c8ffcff3f0d6cfb2be0001</v>
      </c>
      <c r="B274" s="74"/>
      <c r="C274" s="74"/>
      <c r="D274" s="74" t="str">
        <v>ycss02;</v>
      </c>
      <c r="E274" s="74"/>
      <c r="F274" s="25"/>
      <c r="G274" s="74">
        <v>0</v>
      </c>
      <c r="H274" s="74"/>
      <c r="I274" s="74">
        <v>0</v>
      </c>
      <c r="J274" s="74"/>
      <c r="K274" s="74">
        <v>0</v>
      </c>
      <c r="L274" s="74"/>
      <c r="M274" s="74">
        <v>0</v>
      </c>
      <c r="N274" s="74"/>
      <c r="O274" s="74">
        <v>0</v>
      </c>
      <c r="P274" s="74"/>
      <c r="Q274" s="74">
        <v>0</v>
      </c>
      <c r="R274" s="74"/>
      <c r="S274" s="74" t="str">
        <v>未完结</v>
      </c>
      <c r="T274" s="74"/>
      <c r="U274" s="74"/>
      <c r="V274" s="74" t="str">
        <v>上海无堂网络科技有限公司</v>
      </c>
      <c r="W274" s="74" t="str">
        <v>B站</v>
      </c>
      <c r="X274" s="74" t="s">
        <v>85</v>
      </c>
      <c r="Y274" s="74" t="str">
        <v>B站起飞加热</v>
      </c>
      <c r="Z274" s="74"/>
      <c r="AA274" s="74" t="str">
        <v>是</v>
      </c>
      <c r="AB274" s="74" t="str">
        <v>否</v>
      </c>
      <c r="AC274" s="74" t="str">
        <v>否</v>
      </c>
      <c r="AD274" s="74" t="str">
        <v>是</v>
      </c>
      <c r="AE274" s="74"/>
      <c r="AF274" s="74"/>
      <c r="AG274" s="74"/>
      <c r="AH274" s="74" t="str">
        <v>一样（谢炀）</v>
      </c>
      <c r="AI274" s="74"/>
      <c r="AJ274" s="74" t="str">
        <v>杭州宜格化妆品有限公司</v>
      </c>
      <c r="AK274" s="74"/>
      <c r="AL274" s="74"/>
      <c r="AM274" s="74"/>
      <c r="AN274" s="74" t="str">
        <v>代投</v>
      </c>
      <c r="AO274" s="131">
        <v>36526</v>
      </c>
      <c r="AP274" s="74" t="str">
        <v>站外</v>
      </c>
      <c r="AQ274" s="74" t="s">
        <v>85</v>
      </c>
      <c r="AR274" s="74"/>
      <c r="AS274" s="74" t="s">
        <v>85</v>
      </c>
      <c r="AT274" s="74" t="str">
        <v>花西子</v>
      </c>
    </row>
    <row r="275">
      <c r="A275" s="74" t="str">
        <v>03144022b9c8ffcff3f0d6cfb2be0001</v>
      </c>
      <c r="B275" s="74"/>
      <c r="C275" s="74"/>
      <c r="D275" s="74" t="str">
        <v>ycss02;</v>
      </c>
      <c r="E275" s="74"/>
      <c r="F275" s="25"/>
      <c r="G275" s="74">
        <v>0</v>
      </c>
      <c r="H275" s="74"/>
      <c r="I275" s="74">
        <v>0</v>
      </c>
      <c r="J275" s="74"/>
      <c r="K275" s="74">
        <v>0</v>
      </c>
      <c r="L275" s="74"/>
      <c r="M275" s="74">
        <v>0</v>
      </c>
      <c r="N275" s="74"/>
      <c r="O275" s="74">
        <v>0</v>
      </c>
      <c r="P275" s="74"/>
      <c r="Q275" s="74">
        <v>0</v>
      </c>
      <c r="R275" s="74"/>
      <c r="S275" s="74" t="str">
        <v>未完结</v>
      </c>
      <c r="T275" s="74"/>
      <c r="U275" s="74"/>
      <c r="V275" s="74" t="str">
        <v>上海无堂网络科技有限公司</v>
      </c>
      <c r="W275" s="74" t="str">
        <v>B站</v>
      </c>
      <c r="X275" s="74" t="s">
        <v>91</v>
      </c>
      <c r="Y275" s="74" t="str">
        <v>B站起飞加热</v>
      </c>
      <c r="Z275" s="74"/>
      <c r="AA275" s="74" t="str">
        <v>是</v>
      </c>
      <c r="AB275" s="74" t="str">
        <v>否</v>
      </c>
      <c r="AC275" s="74" t="str">
        <v>否</v>
      </c>
      <c r="AD275" s="74" t="str">
        <v>是</v>
      </c>
      <c r="AE275" s="74"/>
      <c r="AF275" s="74"/>
      <c r="AG275" s="74"/>
      <c r="AH275" s="74" t="str">
        <v>一样（谢炀）</v>
      </c>
      <c r="AI275" s="74"/>
      <c r="AJ275" s="74" t="str">
        <v>杭州宜格化妆品有限公司</v>
      </c>
      <c r="AK275" s="74"/>
      <c r="AL275" s="74"/>
      <c r="AM275" s="74"/>
      <c r="AN275" s="74" t="str">
        <v>代投</v>
      </c>
      <c r="AO275" s="131">
        <v>36526</v>
      </c>
      <c r="AP275" s="74" t="str">
        <v>站外</v>
      </c>
      <c r="AQ275" s="74" t="s">
        <v>91</v>
      </c>
      <c r="AR275" s="74"/>
      <c r="AS275" s="74" t="s">
        <v>91</v>
      </c>
      <c r="AT275" s="74" t="str">
        <v>花西子</v>
      </c>
    </row>
    <row r="276">
      <c r="A276" s="74" t="str">
        <v>03144022bab8ffcff3f0d6cfb2be0001</v>
      </c>
      <c r="B276" s="74"/>
      <c r="C276" s="74"/>
      <c r="D276" s="74" t="str">
        <v>ycss02;</v>
      </c>
      <c r="E276" s="74"/>
      <c r="F276" s="25"/>
      <c r="G276" s="74">
        <v>0</v>
      </c>
      <c r="H276" s="74"/>
      <c r="I276" s="74">
        <v>0</v>
      </c>
      <c r="J276" s="74"/>
      <c r="K276" s="74">
        <v>0</v>
      </c>
      <c r="L276" s="74"/>
      <c r="M276" s="74">
        <v>0</v>
      </c>
      <c r="N276" s="74"/>
      <c r="O276" s="74">
        <v>0</v>
      </c>
      <c r="P276" s="74"/>
      <c r="Q276" s="74">
        <v>0</v>
      </c>
      <c r="R276" s="74"/>
      <c r="S276" s="74" t="str">
        <v>未完结</v>
      </c>
      <c r="T276" s="74"/>
      <c r="U276" s="74"/>
      <c r="V276" s="74" t="str">
        <v>上海无堂网络科技有限公司</v>
      </c>
      <c r="W276" s="74" t="str">
        <v>B站</v>
      </c>
      <c r="X276" s="74" t="s">
        <v>89</v>
      </c>
      <c r="Y276" s="74" t="str">
        <v>B站起飞加热</v>
      </c>
      <c r="Z276" s="74"/>
      <c r="AA276" s="74"/>
      <c r="AB276" s="74"/>
      <c r="AC276" s="74"/>
      <c r="AD276" s="74"/>
      <c r="AE276" s="74"/>
      <c r="AF276" s="74"/>
      <c r="AG276" s="74"/>
      <c r="AH276" s="74" t="str">
        <v>一样（谢炀）</v>
      </c>
      <c r="AI276" s="74"/>
      <c r="AJ276" s="74" t="str">
        <v>杭州宜格化妆品有限公司</v>
      </c>
      <c r="AK276" s="74"/>
      <c r="AL276" s="74"/>
      <c r="AM276" s="74"/>
      <c r="AN276" s="74" t="str">
        <v>自投</v>
      </c>
      <c r="AO276" s="131">
        <v>36526</v>
      </c>
      <c r="AP276" s="74" t="str">
        <v>站外</v>
      </c>
      <c r="AQ276" s="74" t="s">
        <v>89</v>
      </c>
      <c r="AR276" s="74"/>
      <c r="AS276" s="74" t="s">
        <v>89</v>
      </c>
      <c r="AT276" s="74" t="str">
        <v>花西子</v>
      </c>
    </row>
    <row r="277">
      <c r="A277" s="74" t="str">
        <v>03144022bbc8ffcff3f0d6cfb2be0001</v>
      </c>
      <c r="B277" s="74"/>
      <c r="C277" s="74"/>
      <c r="D277" s="74" t="str">
        <v>ycss02;</v>
      </c>
      <c r="E277" s="74"/>
      <c r="F277" s="25"/>
      <c r="G277" s="74">
        <v>0</v>
      </c>
      <c r="H277" s="74"/>
      <c r="I277" s="74">
        <v>0</v>
      </c>
      <c r="J277" s="74"/>
      <c r="K277" s="74">
        <v>0</v>
      </c>
      <c r="L277" s="74"/>
      <c r="M277" s="74">
        <v>0</v>
      </c>
      <c r="N277" s="74"/>
      <c r="O277" s="74">
        <v>0</v>
      </c>
      <c r="P277" s="74"/>
      <c r="Q277" s="74">
        <v>0</v>
      </c>
      <c r="R277" s="74"/>
      <c r="S277" s="74" t="str">
        <v>未完结</v>
      </c>
      <c r="T277" s="74"/>
      <c r="U277" s="74"/>
      <c r="V277" s="74" t="str">
        <v>湖北巨量引擎科技有限公司</v>
      </c>
      <c r="W277" s="74" t="str">
        <v>抖音</v>
      </c>
      <c r="X277" s="74" t="str">
        <v>1697558073904142</v>
      </c>
      <c r="Y277" s="74" t="str">
        <v>矩阵号千川信息流</v>
      </c>
      <c r="Z277" s="74"/>
      <c r="AA277" s="74"/>
      <c r="AB277" s="74"/>
      <c r="AC277" s="74"/>
      <c r="AD277" s="74"/>
      <c r="AE277" s="74"/>
      <c r="AF277" s="74"/>
      <c r="AG277" s="74"/>
      <c r="AH277" s="74" t="str">
        <v>兴泉（韩兴泉）</v>
      </c>
      <c r="AI277" s="74"/>
      <c r="AJ277" s="74" t="str">
        <v>杭州宜格化妆品有限公司</v>
      </c>
      <c r="AK277" s="74"/>
      <c r="AL277" s="74"/>
      <c r="AM277" s="74"/>
      <c r="AN277" s="74" t="str">
        <v>自投</v>
      </c>
      <c r="AO277" s="131">
        <v>36526</v>
      </c>
      <c r="AP277" s="74" t="str">
        <v>站外</v>
      </c>
      <c r="AQ277" s="74" t="str">
        <v>1697558073904142</v>
      </c>
      <c r="AR277" s="74"/>
      <c r="AS277" s="74" t="str">
        <v>思美-千川矩阵号（东方彩妆+眼妆有术）</v>
      </c>
      <c r="AT277" s="74" t="str">
        <v>花西子</v>
      </c>
    </row>
    <row r="278">
      <c r="A278" s="74" t="str">
        <v>03144022bcb8ffcff3f0d6cfb2be0001</v>
      </c>
      <c r="B278" s="74"/>
      <c r="C278" s="74"/>
      <c r="D278" s="74" t="str">
        <v>ycss02;</v>
      </c>
      <c r="E278" s="74"/>
      <c r="F278" s="25"/>
      <c r="G278" s="74">
        <v>0</v>
      </c>
      <c r="H278" s="74"/>
      <c r="I278" s="74">
        <v>0</v>
      </c>
      <c r="J278" s="74"/>
      <c r="K278" s="74">
        <v>0</v>
      </c>
      <c r="L278" s="74"/>
      <c r="M278" s="74">
        <v>0</v>
      </c>
      <c r="N278" s="74"/>
      <c r="O278" s="74">
        <v>0</v>
      </c>
      <c r="P278" s="74"/>
      <c r="Q278" s="74">
        <v>0</v>
      </c>
      <c r="R278" s="74"/>
      <c r="S278" s="74" t="str">
        <v>未完结</v>
      </c>
      <c r="T278" s="74"/>
      <c r="U278" s="74"/>
      <c r="V278" s="74" t="str">
        <v>上海剧星传媒股份有限公司</v>
      </c>
      <c r="W278" s="74" t="str">
        <v>抖音</v>
      </c>
      <c r="X278" s="74" t="str">
        <v>1703257016159240</v>
      </c>
      <c r="Y278" s="74" t="str">
        <v>矩阵号千川信息流</v>
      </c>
      <c r="Z278" s="74"/>
      <c r="AA278" s="74"/>
      <c r="AB278" s="74"/>
      <c r="AC278" s="74"/>
      <c r="AD278" s="74"/>
      <c r="AE278" s="74"/>
      <c r="AF278" s="74"/>
      <c r="AG278" s="74"/>
      <c r="AH278" s="74" t="str">
        <v>兴泉（韩兴泉）</v>
      </c>
      <c r="AI278" s="74"/>
      <c r="AJ278" s="74"/>
      <c r="AK278" s="74"/>
      <c r="AL278" s="74"/>
      <c r="AM278" s="74"/>
      <c r="AN278" s="74" t="str">
        <v>自投</v>
      </c>
      <c r="AO278" s="131">
        <v>36526</v>
      </c>
      <c r="AP278" s="74"/>
      <c r="AQ278" s="74" t="str">
        <v>1703257016159240</v>
      </c>
      <c r="AR278" s="74"/>
      <c r="AS278" s="74" t="str">
        <v>剧星-矩阵直播-东方有佳人1</v>
      </c>
      <c r="AT278" s="74" t="str">
        <v>花西子</v>
      </c>
    </row>
    <row r="279">
      <c r="A279" s="74" t="str">
        <v>03144022bdd8ffcff3f0d6cfb2be0001</v>
      </c>
      <c r="B279" s="74"/>
      <c r="C279" s="74"/>
      <c r="D279" s="74" t="str">
        <v>ycss02;</v>
      </c>
      <c r="E279" s="74"/>
      <c r="F279" s="25"/>
      <c r="G279" s="74">
        <v>0</v>
      </c>
      <c r="H279" s="74"/>
      <c r="I279" s="74">
        <v>0</v>
      </c>
      <c r="J279" s="74"/>
      <c r="K279" s="74">
        <v>0</v>
      </c>
      <c r="L279" s="74"/>
      <c r="M279" s="74">
        <v>0</v>
      </c>
      <c r="N279" s="74"/>
      <c r="O279" s="74">
        <v>0</v>
      </c>
      <c r="P279" s="74"/>
      <c r="Q279" s="74">
        <v>0</v>
      </c>
      <c r="R279" s="74"/>
      <c r="S279" s="74" t="str">
        <v>未完结</v>
      </c>
      <c r="T279" s="74"/>
      <c r="U279" s="74"/>
      <c r="V279" s="74" t="str">
        <v>北京云锐国际文化传媒有限公司</v>
      </c>
      <c r="W279" s="74" t="str">
        <v>抖音</v>
      </c>
      <c r="X279" s="74" t="str">
        <v>1726986202552398</v>
      </c>
      <c r="Y279" s="74" t="str">
        <v>千川信息流</v>
      </c>
      <c r="Z279" s="74"/>
      <c r="AA279" s="74"/>
      <c r="AB279" s="74"/>
      <c r="AC279" s="74"/>
      <c r="AD279" s="74"/>
      <c r="AE279" s="74"/>
      <c r="AF279" s="74"/>
      <c r="AG279" s="74"/>
      <c r="AH279" s="74" t="str">
        <v>兴泉（韩兴泉）</v>
      </c>
      <c r="AI279" s="74"/>
      <c r="AJ279" s="74" t="str">
        <v>杭州宜格化妆品有限公司</v>
      </c>
      <c r="AK279" s="74"/>
      <c r="AL279" s="74"/>
      <c r="AM279" s="74"/>
      <c r="AN279" s="74" t="str">
        <v>自投</v>
      </c>
      <c r="AO279" s="131">
        <v>36526</v>
      </c>
      <c r="AP279" s="74"/>
      <c r="AQ279" s="74" t="str">
        <v>1726986202552398</v>
      </c>
      <c r="AR279" s="74"/>
      <c r="AS279" s="74" t="str">
        <v>云锐-直播-官号1-代投</v>
      </c>
      <c r="AT279" s="74" t="str">
        <v>花西子</v>
      </c>
    </row>
  </sheetData>
  <hyperlinks>
    <hyperlink ref="AQ273" display="huaxizicai1@eastgarden.com" r:id="rId1"/>
    <hyperlink ref="AS36" display="huaxizi_xinxliuad5@163.com" r:id="rId2"/>
    <hyperlink ref="AS35" display="huaxizi_xinxiliuad4@163.com" r:id="rId3"/>
    <hyperlink ref="AS136" display="gancao@yige-group.com" r:id="rId4"/>
    <hyperlink ref="X135" display="kongqing@yige-group.com" r:id="rId5"/>
    <hyperlink ref="X35" display="huaxizi_xinxiliuad4@163.com" r:id="rId6"/>
    <hyperlink ref="AQ8" display="huaxizi_xhongshu2@163.com" r:id="rId7"/>
    <hyperlink ref="X15" display="sd_xx@visionstar.cn" r:id="rId8"/>
    <hyperlink ref="X38" display="huaxizi_xinxliuad8@163.com" r:id="rId9"/>
    <hyperlink ref="AQ276" display="yige18072932996@163.com" r:id="rId10"/>
    <hyperlink ref="AQ36" display="huaxizi_xinxliuad5@163.com" r:id="rId11"/>
    <hyperlink ref="AQ39" display="huaxizi_xinxliuad9@163.com" r:id="rId12"/>
    <hyperlink ref="AQ138" display="huaxizi_xinxiliuad@163.com" r:id="rId13"/>
    <hyperlink ref="X132" display="wanwan@yige-group.com" r:id="rId14"/>
    <hyperlink ref="X273" display="huaxizicai1@eastgarden.com" r:id="rId15"/>
    <hyperlink ref="AQ133" display="tangli@yige.us" r:id="rId16"/>
    <hyperlink ref="X36" display="huaxizi_xinxliuad5@163.com" r:id="rId17"/>
    <hyperlink ref="AQ275" display="hxzcaizhuang10@eastgarden.com" r:id="rId18"/>
    <hyperlink ref="AS39" display="huaxizi_xinxliuad9@163.com" r:id="rId19"/>
    <hyperlink ref="X42" display="adserving_ud0754@weibo.com" r:id="rId20"/>
    <hyperlink ref="AS42" display="adserving_ud0754@weibo.com" r:id="rId21"/>
    <hyperlink ref="AS40" display="joy.du@mindshareworld.com" r:id="rId22"/>
    <hyperlink ref="AS273" display="huaxizicai1@eastgarden.com" r:id="rId23"/>
    <hyperlink ref="X130" display="huaxizi_xinxliuad2@163.com" r:id="rId24"/>
    <hyperlink ref="AQ136" display="gancao@yige-group.com" r:id="rId25"/>
    <hyperlink ref="X39" display="huaxizi_xinxliuad9@163.com" r:id="rId26"/>
    <hyperlink ref="X134" display="qinghe@zhimei.us" r:id="rId27"/>
    <hyperlink ref="AQ35" display="huaxizi_xinxiliuad4@163.com" r:id="rId28"/>
    <hyperlink ref="AS38" display="huaxizi_xinxliuad8@163.com" r:id="rId29"/>
    <hyperlink ref="X37" display="huaxizi_xinxliuad7@163.com" r:id="rId30"/>
    <hyperlink ref="X275" display="hxzcaizhuang10@eastgarden.com" r:id="rId31"/>
    <hyperlink ref="AS28" display="xhm_huaxizi02@163.com" r:id="rId32"/>
    <hyperlink ref="AQ38" display="huaxizi_xinxliuad8@163.com" r:id="rId33"/>
    <hyperlink ref="AQ132" display="wanwan@yige-group.com" r:id="rId34"/>
    <hyperlink ref="AQ135" display="kongqing@yige-group.com" r:id="rId35"/>
    <hyperlink ref="AQ131" display="hongjin@yige-group.com" r:id="rId36"/>
    <hyperlink ref="AS130" display="huaxizi_xinxliuad2@163.com" r:id="rId37"/>
    <hyperlink ref="AS135" display="kongqing@yige-group.com" r:id="rId38"/>
    <hyperlink ref="X276" display="yige18072932996@163.com" r:id="rId39"/>
    <hyperlink ref="X40" display="joy.du@mindshareworld.com" r:id="rId40"/>
    <hyperlink ref="AS275" display="hxzcaizhuang10@eastgarden.com" r:id="rId41"/>
    <hyperlink ref="AS131" display="hongjin@yige-group.com" r:id="rId42"/>
    <hyperlink ref="AQ15" display="sd_xx@visionstar.cn" r:id="rId43"/>
    <hyperlink ref="AS37" display="huaxizi_xinxliuad7@163.com" r:id="rId44"/>
    <hyperlink ref="AQ40" display="joy.du@mindshareworld.com" r:id="rId45"/>
    <hyperlink ref="AS132" display="wanwan@yige-group.com" r:id="rId46"/>
    <hyperlink ref="X274" display="huaxizicai2@eastgarden.com" r:id="rId47"/>
    <hyperlink ref="AQ37" display="huaxizi_xinxliuad7@163.com" r:id="rId48"/>
    <hyperlink ref="X138" display="huaxizi_xinxiliuad@163.com" r:id="rId49"/>
    <hyperlink ref="X133" display="tangli@yige.us" r:id="rId50"/>
    <hyperlink ref="AQ274" display="huaxizicai2@eastgarden.com" r:id="rId51"/>
    <hyperlink ref="X131" display="hongjin@yige-group.com" r:id="rId52"/>
    <hyperlink ref="AS134" display="qinghe@zhimei.us" r:id="rId53"/>
    <hyperlink ref="AQ134" display="qinghe@zhimei.us" r:id="rId54"/>
    <hyperlink ref="AS276" display="yige18072932996@163.com" r:id="rId55"/>
    <hyperlink ref="X8" display="huaxizi_xhongshu2@163.com" r:id="rId56"/>
    <hyperlink ref="AS274" display="huaxizicai2@eastgarden.com" r:id="rId57"/>
    <hyperlink ref="AQ130" display="huaxizi_xinxliuad2@163.com" r:id="rId58"/>
    <hyperlink ref="AS138" display="huaxizi_xinxiliuad@163.com" r:id="rId59"/>
    <hyperlink ref="AS133" display="tangli@yige.us" r:id="rId60"/>
    <hyperlink ref="AQ42" display="adserving_ud0754@weibo.com" r:id="rId61"/>
    <hyperlink ref="X136" display="gancao@yige-group.com" r:id="rId62"/>
  </hyperlinks>
  <picture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
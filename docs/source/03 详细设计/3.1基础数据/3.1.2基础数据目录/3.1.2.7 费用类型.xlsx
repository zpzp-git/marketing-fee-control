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费用类型" sheetId="2" r:id="rId5"/>
    <sheet name="映射" sheetId="3" r:id="rId6"/>
    <sheet name="基础信息" sheetId="4" r:id="rId7"/>
    <sheet name="枚举值" sheetId="5" r:id="rId8" state="hidden"/>
    <sheet name="费用大小类列表" sheetId="6" r:id="rId9"/>
    <sheet name="允许个人垫付费用项" sheetId="7" r:id="rId10"/>
    <sheet name="Sheet8" sheetId="8" r:id="rId11"/>
    <sheet name="收集数据表" sheetId="9" r:id="rId12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<sst xmlns="http://schemas.openxmlformats.org/spreadsheetml/2006/main" count="1" uniqueCount="1">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</sst>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2">
    <numFmt numFmtId="164" formatCode="@"/>
    <numFmt numFmtId="165" formatCode="@"/>
    <numFmt numFmtId="166" formatCode="@"/>
    <numFmt numFmtId="167" formatCode="@"/>
    <numFmt numFmtId="168" formatCode="@"/>
    <numFmt numFmtId="169" formatCode="@"/>
    <numFmt numFmtId="170" formatCode="@"/>
    <numFmt numFmtId="171" formatCode="@"/>
    <numFmt numFmtId="172" formatCode="@"/>
    <numFmt numFmtId="173" formatCode="@"/>
    <numFmt numFmtId="174" formatCode="@"/>
    <numFmt numFmtId="175" formatCode="@"/>
    <numFmt numFmtId="176" formatCode="@"/>
    <numFmt numFmtId="177" formatCode="@"/>
    <numFmt numFmtId="178" formatCode="@"/>
    <numFmt numFmtId="179" formatCode="@"/>
    <numFmt numFmtId="180" formatCode="@"/>
    <numFmt numFmtId="181" formatCode="@"/>
    <numFmt numFmtId="182" formatCode="@"/>
    <numFmt numFmtId="183" formatCode="@"/>
    <numFmt numFmtId="184" formatCode="@"/>
    <numFmt numFmtId="185" formatCode="@"/>
  </numFmts>
  <fonts count="95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FF0000"/>
      <name val="Calibri"/>
      <family val="2"/>
      <scheme val="minor"/>
    </font>
    <font>
      <b val="true"/>
      <sz val="10.5"/>
      <color rgb="FFFF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373C43"/>
      <name val="Calibri"/>
      <family val="2"/>
      <scheme val="minor"/>
    </font>
    <font>
      <sz val="9.75"/>
      <color rgb="FF373C43"/>
      <name val="Calibri"/>
      <family val="2"/>
      <scheme val="minor"/>
    </font>
    <font>
      <sz val="9.75"/>
      <color rgb="FF373C43"/>
      <name val="Calibri"/>
      <family val="2"/>
      <scheme val="minor"/>
    </font>
    <font>
      <sz val="9.75"/>
      <color rgb="FF373C43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373C43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373C43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373C43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373C43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373C43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5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AF1D1"/>
        <bgColor/>
      </patternFill>
    </fill>
    <fill>
      <patternFill patternType="solid">
        <fgColor rgb="FFD9F3FD"/>
        <bgColor/>
      </patternFill>
    </fill>
    <fill>
      <patternFill patternType="solid">
        <fgColor rgb="FFC0C0C0"/>
        <bgColor/>
      </patternFill>
    </fill>
    <fill>
      <patternFill patternType="solid">
        <fgColor rgb="FFC0C0C0"/>
        <bgColor/>
      </patternFill>
    </fill>
    <fill>
      <patternFill patternType="solid">
        <fgColor rgb="FFC0C0C0"/>
        <bgColor/>
      </patternFill>
    </fill>
    <fill>
      <patternFill patternType="solid">
        <fgColor rgb="FF3370FF"/>
        <bgColor/>
      </patternFill>
    </fill>
    <fill>
      <patternFill patternType="solid">
        <fgColor rgb="FFFBBFBC"/>
        <bgColor/>
      </patternFill>
    </fill>
    <fill>
      <patternFill patternType="solid">
        <fgColor rgb="FFFBBFBC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7EDAFB"/>
        <bgColor/>
      </patternFill>
    </fill>
    <fill>
      <patternFill patternType="solid">
        <fgColor rgb="FF7EDAFB"/>
        <bgColor/>
      </patternFill>
    </fill>
    <fill>
      <patternFill patternType="solid">
        <fgColor rgb="FF7EDAFB"/>
        <bgColor/>
      </patternFill>
    </fill>
    <fill>
      <patternFill patternType="solid">
        <fgColor rgb="FF7EDAFB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BBFBC"/>
        <bgColor/>
      </patternFill>
    </fill>
    <fill>
      <patternFill patternType="solid">
        <fgColor rgb="FF3370FF"/>
        <bgColor/>
      </patternFill>
    </fill>
    <fill>
      <patternFill patternType="solid">
        <fgColor rgb="FF7F3BF5"/>
        <bgColor/>
      </patternFill>
    </fill>
    <fill>
      <patternFill patternType="solid">
        <fgColor rgb="FF34C724"/>
        <bgColor/>
      </patternFill>
    </fill>
    <fill>
      <patternFill patternType="solid">
        <fgColor rgb="FF3370FF"/>
        <bgColor/>
      </patternFill>
    </fill>
    <fill>
      <patternFill patternType="solid">
        <fgColor rgb="FFFBBFBC"/>
        <bgColor/>
      </patternFill>
    </fill>
    <fill>
      <patternFill patternType="solid">
        <fgColor rgb="FF7EDAFB"/>
        <bgColor/>
      </patternFill>
    </fill>
    <fill>
      <patternFill patternType="solid">
        <fgColor rgb="FF7EDAFB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14C0FF"/>
        <bgColor/>
      </patternFill>
    </fill>
    <fill>
      <patternFill patternType="solid">
        <fgColor rgb="FF14C0FF"/>
        <bgColor/>
      </patternFill>
    </fill>
    <fill>
      <patternFill patternType="solid">
        <fgColor rgb="FF14C0FF"/>
        <bgColor/>
      </patternFill>
    </fill>
    <fill>
      <patternFill patternType="solid">
        <fgColor rgb="FF14C0FF"/>
        <bgColor/>
      </patternFill>
    </fill>
    <fill>
      <patternFill patternType="solid">
        <fgColor rgb="FF14C0FF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14C0FF"/>
        <bgColor/>
      </patternFill>
    </fill>
    <fill>
      <patternFill patternType="solid">
        <fgColor rgb="FF14C0FF"/>
        <bgColor/>
      </patternFill>
    </fill>
    <fill>
      <patternFill patternType="solid">
        <fgColor rgb="FF14C0FF"/>
        <bgColor/>
      </patternFill>
    </fill>
  </fills>
  <borders count="9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/>
      <top style="thin">
        <color rgb="FFE1EAFF"/>
      </top>
      <bottom style="thin">
        <color rgb="FFE1EAFF"/>
      </bottom>
      <diagonal/>
    </border>
    <border>
      <left/>
      <right style="thin">
        <color rgb="FFE1EAFF"/>
      </right>
      <top/>
      <bottom/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 style="thin">
        <color rgb="FFE1EAFF"/>
      </right>
      <top/>
      <bottom/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/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/>
      <top/>
      <bottom/>
      <diagonal/>
    </border>
    <border>
      <left style="thin">
        <color rgb="FFE1EAFF"/>
      </left>
      <right style="thin">
        <color rgb="FFE1EAFF"/>
      </right>
      <top/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 style="thin">
        <color rgb="FFE1EAFF"/>
      </right>
      <top/>
      <bottom/>
      <diagonal/>
    </border>
    <border>
      <left style="thin">
        <color rgb="FFE1EAFF"/>
      </left>
      <right style="thin">
        <color rgb="FFE1EAFF"/>
      </right>
      <top/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/>
      <top/>
      <bottom/>
      <diagonal/>
    </border>
    <border>
      <left style="thin">
        <color rgb="FFE1EAFF"/>
      </left>
      <right style="thin">
        <color rgb="FFE1EAFF"/>
      </right>
      <top/>
      <bottom style="thin">
        <color rgb="FFE1EAFF"/>
      </bottom>
      <diagonal/>
    </border>
    <border>
      <left style="thin">
        <color rgb="FFE1EAFF"/>
      </left>
      <right style="thin">
        <color rgb="FFE1EAFF"/>
      </right>
      <top/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/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E1EAFF"/>
      </left>
      <right style="thin">
        <color rgb="FFE1EAFF"/>
      </right>
      <top/>
      <bottom style="thin">
        <color rgb="FFE1EAFF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2" fontId="2" numFmtId="0" xfId="0">
      <alignment vertical="center"/>
    </xf>
    <xf applyAlignment="true" applyBorder="false" applyFill="false" applyFont="true" applyNumberFormat="false" applyProtection="false" borderId="3" fillId="3" fontId="3" numFmtId="0" xfId="0">
      <alignment horizontal="center" vertical="center"/>
    </xf>
    <xf applyAlignment="true" applyBorder="false" applyFill="false" applyFont="true" applyNumberFormat="false" applyProtection="false" borderId="4" fillId="4" fontId="4" numFmtId="0" xfId="0">
      <alignment horizontal="center" vertical="center"/>
    </xf>
    <xf applyAlignment="true" applyBorder="false" applyFill="false" applyFont="true" applyNumberFormat="false" applyProtection="false" borderId="5" fillId="5" fontId="5" numFmtId="0" xfId="0">
      <alignment horizontal="center" vertical="center"/>
    </xf>
    <xf applyAlignment="true" applyBorder="false" applyFill="false" applyFont="true" applyNumberFormat="false" applyProtection="false" borderId="6" fillId="6" fontId="6" numFmtId="0" xfId="0">
      <alignment horizontal="center" vertical="center"/>
    </xf>
    <xf applyAlignment="true" applyBorder="false" applyFill="false" applyFont="true" applyNumberFormat="false" applyProtection="false" borderId="7" fillId="7" fontId="7" numFmtId="0" xfId="0">
      <alignment horizontal="center" vertical="center" wrapText="true"/>
    </xf>
    <xf applyAlignment="true" applyBorder="false" applyFill="false" applyFont="true" applyNumberFormat="false" applyProtection="false" borderId="8" fillId="0" fontId="8" numFmtId="0" xfId="0">
      <alignment vertical="bottom"/>
    </xf>
    <xf applyAlignment="true" applyBorder="false" applyFill="false" applyFont="true" applyNumberFormat="false" applyProtection="false" borderId="9" fillId="0" fontId="9" numFmtId="0" xfId="0">
      <alignment vertical="center"/>
    </xf>
    <xf applyAlignment="true" applyBorder="false" applyFill="false" applyFont="true" applyNumberFormat="false" applyProtection="false" borderId="10" fillId="0" fontId="10" numFmtId="0" xfId="0">
      <alignment vertical="bottom"/>
    </xf>
    <xf applyAlignment="true" applyBorder="false" applyFill="false" applyFont="true" applyNumberFormat="false" applyProtection="false" borderId="11" fillId="0" fontId="11" numFmtId="0" xfId="0">
      <alignment vertical="center"/>
    </xf>
    <xf applyAlignment="true" applyBorder="false" applyFill="false" applyFont="true" applyNumberFormat="false" applyProtection="false" borderId="12" fillId="0" fontId="12" numFmtId="0" xfId="0">
      <alignment horizontal="center" vertical="center"/>
    </xf>
    <xf applyAlignment="true" applyBorder="false" applyFill="false" applyFont="true" applyNumberFormat="false" applyProtection="false" borderId="13" fillId="0" fontId="13" numFmtId="0" xfId="0">
      <alignment horizontal="center" vertical="center"/>
    </xf>
    <xf applyAlignment="true" applyBorder="false" applyFill="false" applyFont="true" applyNumberFormat="true" applyProtection="false" borderId="14" fillId="0" fontId="14" numFmtId="164" xfId="0">
      <alignment vertical="bottom"/>
    </xf>
    <xf applyAlignment="true" applyBorder="false" applyFill="false" applyFont="true" applyNumberFormat="false" applyProtection="false" borderId="15" fillId="0" fontId="15" numFmtId="0" xfId="0">
      <alignment horizontal="center" vertical="center"/>
    </xf>
    <xf applyAlignment="true" applyBorder="false" applyFill="false" applyFont="true" applyNumberFormat="false" applyProtection="false" borderId="16" fillId="0" fontId="16" numFmtId="0" xfId="0">
      <alignment horizontal="center" vertical="center" wrapText="true"/>
    </xf>
    <xf applyAlignment="true" applyBorder="false" applyFill="false" applyFont="true" applyNumberFormat="false" applyProtection="false" borderId="17" fillId="0" fontId="17" numFmtId="0" xfId="0">
      <alignment horizontal="left" vertical="center" wrapText="true"/>
    </xf>
    <xf applyAlignment="true" applyBorder="false" applyFill="false" applyFont="true" applyNumberFormat="false" applyProtection="false" borderId="18" fillId="0" fontId="18" numFmtId="0" xfId="0">
      <alignment horizontal="left" vertical="center"/>
    </xf>
    <xf applyAlignment="true" applyBorder="false" applyFill="false" applyFont="true" applyNumberFormat="false" applyProtection="false" borderId="19" fillId="0" fontId="19" numFmtId="0" xfId="0">
      <alignment vertical="center" wrapText="true"/>
    </xf>
    <xf applyAlignment="true" applyBorder="false" applyFill="false" applyFont="true" applyNumberFormat="false" applyProtection="false" borderId="20" fillId="8" fontId="20" numFmtId="0" xfId="0">
      <alignment horizontal="left" vertical="center" wrapText="true"/>
    </xf>
    <xf applyAlignment="true" applyBorder="false" applyFill="false" applyFont="true" applyNumberFormat="false" applyProtection="false" borderId="21" fillId="0" fontId="21" numFmtId="0" xfId="0">
      <alignment vertical="center" wrapText="true"/>
    </xf>
    <xf applyAlignment="true" applyBorder="false" applyFill="false" applyFont="true" applyNumberFormat="false" applyProtection="false" borderId="22" fillId="0" fontId="22" numFmtId="0" xfId="0">
      <alignment horizontal="center" vertical="center" wrapText="true"/>
    </xf>
    <xf applyAlignment="true" applyBorder="false" applyFill="false" applyFont="true" applyNumberFormat="false" applyProtection="false" borderId="23" fillId="0" fontId="23" numFmtId="0" xfId="0">
      <alignment horizontal="left" vertical="center"/>
    </xf>
    <xf applyAlignment="true" applyBorder="false" applyFill="false" applyFont="true" applyNumberFormat="false" applyProtection="false" borderId="24" fillId="9" fontId="24" numFmtId="0" xfId="0">
      <alignment horizontal="left" vertical="center" wrapText="true"/>
    </xf>
    <xf applyAlignment="true" applyBorder="false" applyFill="false" applyFont="true" applyNumberFormat="false" applyProtection="false" borderId="25" fillId="0" fontId="25" numFmtId="0" xfId="0">
      <alignment vertical="center"/>
    </xf>
    <xf applyAlignment="true" applyBorder="false" applyFill="false" applyFont="true" applyNumberFormat="false" applyProtection="false" borderId="26" fillId="10" fontId="26" numFmtId="0" xfId="0">
      <alignment vertical="center" wrapText="true"/>
    </xf>
    <xf applyAlignment="true" applyBorder="false" applyFill="false" applyFont="true" applyNumberFormat="false" applyProtection="false" borderId="27" fillId="11" fontId="27" numFmtId="0" xfId="0">
      <alignment horizontal="left" vertical="center" wrapText="true"/>
    </xf>
    <xf applyAlignment="true" applyBorder="false" applyFill="false" applyFont="true" applyNumberFormat="false" applyProtection="false" borderId="28" fillId="12" fontId="28" numFmtId="0" xfId="0">
      <alignment horizontal="center" vertical="center" wrapText="true"/>
    </xf>
    <xf applyAlignment="true" applyBorder="false" applyFill="false" applyFont="true" applyNumberFormat="false" applyProtection="false" borderId="29" fillId="13" fontId="29" numFmtId="0" xfId="0">
      <alignment horizontal="left" vertical="center"/>
    </xf>
    <xf applyAlignment="true" applyBorder="false" applyFill="false" applyFont="true" applyNumberFormat="false" applyProtection="false" borderId="30" fillId="0" fontId="30" numFmtId="0" xfId="0">
      <alignment horizontal="center" vertical="center" wrapText="true"/>
    </xf>
    <xf applyAlignment="true" applyBorder="false" applyFill="false" applyFont="true" applyNumberFormat="false" applyProtection="false" borderId="31" fillId="0" fontId="31" numFmtId="0" xfId="0">
      <alignment horizontal="left" vertical="center"/>
    </xf>
    <xf applyAlignment="true" applyBorder="false" applyFill="false" applyFont="true" applyNumberFormat="false" applyProtection="false" borderId="32" fillId="14" fontId="32" numFmtId="0" xfId="0">
      <alignment horizontal="left" vertical="center" wrapText="true"/>
    </xf>
    <xf applyAlignment="true" applyBorder="false" applyFill="false" applyFont="true" applyNumberFormat="false" applyProtection="false" borderId="33" fillId="15" fontId="33" numFmtId="0" xfId="0">
      <alignment horizontal="center" vertical="center" wrapText="true"/>
    </xf>
    <xf applyAlignment="true" applyBorder="false" applyFill="false" applyFont="true" applyNumberFormat="false" applyProtection="false" borderId="34" fillId="16" fontId="34" numFmtId="0" xfId="0">
      <alignment vertical="center" wrapText="true"/>
    </xf>
    <xf applyAlignment="true" applyBorder="false" applyFill="false" applyFont="true" applyNumberFormat="false" applyProtection="false" borderId="35" fillId="17" fontId="35" numFmtId="0" xfId="0">
      <alignment horizontal="left" vertical="center"/>
    </xf>
    <xf applyAlignment="true" applyBorder="false" applyFill="false" applyFont="true" applyNumberFormat="false" applyProtection="false" borderId="36" fillId="0" fontId="36" numFmtId="0" xfId="0">
      <alignment horizontal="left" vertical="center" wrapText="true"/>
    </xf>
    <xf applyAlignment="true" applyBorder="false" applyFill="false" applyFont="true" applyNumberFormat="false" applyProtection="false" borderId="37" fillId="18" fontId="37" numFmtId="0" xfId="0">
      <alignment horizontal="center" vertical="center" wrapText="true"/>
    </xf>
    <xf applyAlignment="true" applyBorder="false" applyFill="false" applyFont="true" applyNumberFormat="false" applyProtection="false" borderId="38" fillId="19" fontId="38" numFmtId="0" xfId="0">
      <alignment vertical="center" wrapText="true"/>
    </xf>
    <xf applyAlignment="true" applyBorder="false" applyFill="false" applyFont="true" applyNumberFormat="false" applyProtection="false" borderId="39" fillId="20" fontId="39" numFmtId="0" xfId="0">
      <alignment horizontal="left" vertical="center" wrapText="true"/>
    </xf>
    <xf applyAlignment="true" applyBorder="false" applyFill="false" applyFont="true" applyNumberFormat="false" applyProtection="false" borderId="40" fillId="21" fontId="40" numFmtId="0" xfId="0">
      <alignment horizontal="left" vertical="center"/>
    </xf>
    <xf applyAlignment="true" applyBorder="false" applyFill="false" applyFont="true" applyNumberFormat="false" applyProtection="false" borderId="41" fillId="0" fontId="41" numFmtId="0" xfId="0">
      <alignment horizontal="left" vertical="center" wrapText="true"/>
    </xf>
    <xf applyAlignment="true" applyBorder="false" applyFill="false" applyFont="true" applyNumberFormat="false" applyProtection="false" borderId="42" fillId="22" fontId="42" numFmtId="0" xfId="0">
      <alignment horizontal="left" vertical="center"/>
    </xf>
    <xf applyAlignment="true" applyBorder="false" applyFill="false" applyFont="true" applyNumberFormat="false" applyProtection="false" borderId="43" fillId="0" fontId="43" numFmtId="0" xfId="0">
      <alignment horizontal="left" vertical="center"/>
    </xf>
    <xf applyAlignment="true" applyBorder="false" applyFill="false" applyFont="true" applyNumberFormat="false" applyProtection="false" borderId="44" fillId="0" fontId="44" numFmtId="0" xfId="0">
      <alignment vertical="center"/>
    </xf>
    <xf applyAlignment="true" applyBorder="false" applyFill="false" applyFont="true" applyNumberFormat="false" applyProtection="false" borderId="45" fillId="0" fontId="45" numFmtId="0" xfId="0">
      <alignment vertical="center"/>
    </xf>
    <xf applyAlignment="true" applyBorder="false" applyFill="false" applyFont="true" applyNumberFormat="false" applyProtection="false" borderId="46" fillId="0" fontId="46" numFmtId="0" xfId="0">
      <alignment vertical="bottom"/>
    </xf>
    <xf applyAlignment="true" applyBorder="false" applyFill="false" applyFont="true" applyNumberFormat="false" applyProtection="false" borderId="47" fillId="0" fontId="47" numFmtId="0" xfId="0">
      <alignment vertical="center"/>
    </xf>
    <xf applyAlignment="true" applyBorder="false" applyFill="false" applyFont="true" applyNumberFormat="false" applyProtection="false" borderId="48" fillId="0" fontId="48" numFmtId="0" xfId="0">
      <alignment vertical="bottom"/>
    </xf>
    <xf applyAlignment="true" applyBorder="false" applyFill="false" applyFont="true" applyNumberFormat="false" applyProtection="false" borderId="49" fillId="0" fontId="49" numFmtId="0" xfId="0">
      <alignment horizontal="left" vertical="center"/>
    </xf>
    <xf applyAlignment="true" applyBorder="false" applyFill="false" applyFont="true" applyNumberFormat="false" applyProtection="false" borderId="50" fillId="0" fontId="50" numFmtId="0" xfId="0">
      <alignment vertical="center" wrapText="true"/>
    </xf>
    <xf applyAlignment="true" applyBorder="false" applyFill="false" applyFont="true" applyNumberFormat="false" applyProtection="false" borderId="51" fillId="0" fontId="51" numFmtId="0" xfId="0">
      <alignment vertical="bottom"/>
    </xf>
    <xf applyAlignment="true" applyBorder="false" applyFill="false" applyFont="true" applyNumberFormat="false" applyProtection="false" borderId="52" fillId="23" fontId="52" numFmtId="0" xfId="0">
      <alignment horizontal="center" vertical="center" wrapText="true"/>
    </xf>
    <xf applyAlignment="true" applyBorder="false" applyFill="false" applyFont="true" applyNumberFormat="false" applyProtection="false" borderId="53" fillId="24" fontId="53" numFmtId="0" xfId="0">
      <alignment horizontal="center" vertical="center" wrapText="true"/>
    </xf>
    <xf applyAlignment="true" applyBorder="false" applyFill="false" applyFont="true" applyNumberFormat="false" applyProtection="false" borderId="54" fillId="25" fontId="54" numFmtId="0" xfId="0">
      <alignment horizontal="center" vertical="center" wrapText="true"/>
    </xf>
    <xf applyAlignment="true" applyBorder="false" applyFill="false" applyFont="true" applyNumberFormat="false" applyProtection="false" borderId="55" fillId="26" fontId="55" numFmtId="0" xfId="0">
      <alignment horizontal="center" vertical="center"/>
    </xf>
    <xf applyAlignment="true" applyBorder="false" applyFill="false" applyFont="true" applyNumberFormat="false" applyProtection="false" borderId="56" fillId="0" fontId="56" numFmtId="0" xfId="0">
      <alignment horizontal="left" vertical="center" wrapText="true"/>
    </xf>
    <xf applyAlignment="true" applyBorder="false" applyFill="false" applyFont="true" applyNumberFormat="false" applyProtection="false" borderId="57" fillId="27" fontId="57" numFmtId="0" xfId="0">
      <alignment vertical="center" wrapText="true"/>
    </xf>
    <xf applyAlignment="true" applyBorder="false" applyFill="false" applyFont="true" applyNumberFormat="false" applyProtection="false" borderId="58" fillId="0" fontId="58" numFmtId="0" xfId="0">
      <alignment horizontal="center" vertical="center" wrapText="true"/>
    </xf>
    <xf applyAlignment="true" applyBorder="false" applyFill="false" applyFont="true" applyNumberFormat="false" applyProtection="false" borderId="59" fillId="0" fontId="59" numFmtId="0" xfId="0">
      <alignment vertical="center" wrapText="true"/>
    </xf>
    <xf applyAlignment="true" applyBorder="false" applyFill="false" applyFont="true" applyNumberFormat="false" applyProtection="false" borderId="60" fillId="28" fontId="60" numFmtId="0" xfId="0">
      <alignment vertical="center" wrapText="true"/>
    </xf>
    <xf applyAlignment="true" applyBorder="false" applyFill="false" applyFont="true" applyNumberFormat="false" applyProtection="false" borderId="61" fillId="29" fontId="61" numFmtId="0" xfId="0">
      <alignment horizontal="center" vertical="center" wrapText="true"/>
    </xf>
    <xf applyAlignment="true" applyBorder="false" applyFill="false" applyFont="true" applyNumberFormat="false" applyProtection="false" borderId="62" fillId="30" fontId="62" numFmtId="0" xfId="0">
      <alignment horizontal="center" vertical="center" wrapText="true"/>
    </xf>
    <xf applyAlignment="true" applyBorder="false" applyFill="false" applyFont="true" applyNumberFormat="false" applyProtection="false" borderId="63" fillId="31" fontId="63" numFmtId="0" xfId="0">
      <alignment vertical="center" wrapText="true"/>
    </xf>
    <xf applyAlignment="true" applyBorder="false" applyFill="false" applyFont="true" applyNumberFormat="false" applyProtection="false" borderId="64" fillId="0" fontId="64" numFmtId="0" xfId="0">
      <alignment vertical="center"/>
    </xf>
    <xf applyAlignment="true" applyBorder="false" applyFill="false" applyFont="true" applyNumberFormat="false" applyProtection="false" borderId="65" fillId="32" fontId="65" numFmtId="0" xfId="0">
      <alignment vertical="center" wrapText="true"/>
    </xf>
    <xf applyAlignment="true" applyBorder="false" applyFill="false" applyFont="true" applyNumberFormat="false" applyProtection="false" borderId="66" fillId="33" fontId="66" numFmtId="0" xfId="0">
      <alignment vertical="center"/>
    </xf>
    <xf applyAlignment="true" applyBorder="false" applyFill="false" applyFont="true" applyNumberFormat="false" applyProtection="false" borderId="67" fillId="34" fontId="67" numFmtId="0" xfId="0">
      <alignment horizontal="center" vertical="center" wrapText="true"/>
    </xf>
    <xf applyAlignment="true" applyBorder="false" applyFill="false" applyFont="true" applyNumberFormat="false" applyProtection="false" borderId="68" fillId="35" fontId="68" numFmtId="0" xfId="0">
      <alignment vertical="center"/>
    </xf>
    <xf applyAlignment="true" applyBorder="false" applyFill="false" applyFont="true" applyNumberFormat="false" applyProtection="false" borderId="69" fillId="36" fontId="69" numFmtId="0" xfId="0">
      <alignment horizontal="center" vertical="center" wrapText="true"/>
    </xf>
    <xf applyAlignment="true" applyBorder="false" applyFill="false" applyFont="true" applyNumberFormat="false" applyProtection="false" borderId="70" fillId="0" fontId="70" numFmtId="0" xfId="0">
      <alignment vertical="center"/>
    </xf>
    <xf applyAlignment="true" applyBorder="false" applyFill="false" applyFont="true" applyNumberFormat="false" applyProtection="false" borderId="71" fillId="37" fontId="71" numFmtId="0" xfId="0">
      <alignment vertical="center" wrapText="true"/>
    </xf>
    <xf applyAlignment="true" applyBorder="false" applyFill="false" applyFont="true" applyNumberFormat="false" applyProtection="false" borderId="72" fillId="38" fontId="72" numFmtId="0" xfId="0">
      <alignment vertical="center"/>
    </xf>
    <xf applyAlignment="true" applyBorder="false" applyFill="false" applyFont="true" applyNumberFormat="false" applyProtection="false" borderId="73" fillId="39" fontId="73" numFmtId="0" xfId="0">
      <alignment vertical="center"/>
    </xf>
    <xf applyAlignment="true" applyBorder="false" applyFill="false" applyFont="true" applyNumberFormat="true" applyProtection="false" borderId="74" fillId="40" fontId="74" numFmtId="165" xfId="0">
      <alignment horizontal="center" vertical="center"/>
    </xf>
    <xf applyAlignment="true" applyBorder="false" applyFill="false" applyFont="true" applyNumberFormat="true" applyProtection="false" borderId="75" fillId="0" fontId="75" numFmtId="166" xfId="0">
      <alignment vertical="center"/>
    </xf>
    <xf applyAlignment="true" applyBorder="false" applyFill="false" applyFont="true" applyNumberFormat="true" applyProtection="false" borderId="76" fillId="0" fontId="76" numFmtId="167" xfId="0">
      <alignment horizontal="center" vertical="center" wrapText="true"/>
    </xf>
    <xf applyAlignment="true" applyBorder="false" applyFill="false" applyFont="true" applyNumberFormat="true" applyProtection="false" borderId="77" fillId="41" fontId="77" numFmtId="168" xfId="0">
      <alignment horizontal="center" vertical="center" wrapText="true"/>
    </xf>
    <xf applyAlignment="true" applyBorder="false" applyFill="false" applyFont="true" applyNumberFormat="true" applyProtection="false" borderId="78" fillId="0" fontId="78" numFmtId="169" xfId="0">
      <alignment horizontal="center" vertical="center"/>
    </xf>
    <xf applyAlignment="true" applyBorder="false" applyFill="false" applyFont="true" applyNumberFormat="true" applyProtection="false" borderId="79" fillId="0" fontId="79" numFmtId="170" xfId="0">
      <alignment horizontal="center" vertical="center" wrapText="true"/>
    </xf>
    <xf applyAlignment="true" applyBorder="false" applyFill="false" applyFont="true" applyNumberFormat="true" applyProtection="false" borderId="80" fillId="0" fontId="80" numFmtId="171" xfId="0">
      <alignment horizontal="center" vertical="center"/>
    </xf>
    <xf applyAlignment="true" applyBorder="false" applyFill="false" applyFont="true" applyNumberFormat="true" applyProtection="false" borderId="81" fillId="42" fontId="81" numFmtId="172" xfId="0">
      <alignment horizontal="center" vertical="center" wrapText="true"/>
    </xf>
    <xf applyAlignment="true" applyBorder="false" applyFill="false" applyFont="true" applyNumberFormat="true" applyProtection="false" borderId="82" fillId="43" fontId="82" numFmtId="173" xfId="0">
      <alignment horizontal="center" vertical="bottom"/>
    </xf>
    <xf applyAlignment="true" applyBorder="false" applyFill="false" applyFont="true" applyNumberFormat="true" applyProtection="false" borderId="83" fillId="0" fontId="83" numFmtId="174" xfId="0">
      <alignment horizontal="center" vertical="center" wrapText="true"/>
    </xf>
    <xf applyAlignment="true" applyBorder="false" applyFill="false" applyFont="true" applyNumberFormat="true" applyProtection="false" borderId="84" fillId="44" fontId="84" numFmtId="175" xfId="0">
      <alignment horizontal="center" vertical="center" wrapText="true"/>
    </xf>
    <xf applyAlignment="true" applyBorder="false" applyFill="false" applyFont="true" applyNumberFormat="true" applyProtection="false" borderId="85" fillId="45" fontId="85" numFmtId="176" xfId="0">
      <alignment vertical="center"/>
    </xf>
    <xf applyAlignment="true" applyBorder="false" applyFill="false" applyFont="true" applyNumberFormat="true" applyProtection="false" borderId="86" fillId="46" fontId="86" numFmtId="177" xfId="0">
      <alignment horizontal="center" vertical="center" wrapText="true"/>
    </xf>
    <xf applyAlignment="true" applyBorder="false" applyFill="false" applyFont="true" applyNumberFormat="true" applyProtection="false" borderId="87" fillId="47" fontId="87" numFmtId="178" xfId="0">
      <alignment horizontal="center" vertical="center" wrapText="true"/>
    </xf>
    <xf applyAlignment="true" applyBorder="false" applyFill="false" applyFont="true" applyNumberFormat="true" applyProtection="false" borderId="88" fillId="48" fontId="88" numFmtId="179" xfId="0">
      <alignment horizontal="center" vertical="center" wrapText="true"/>
    </xf>
    <xf applyAlignment="true" applyBorder="false" applyFill="false" applyFont="true" applyNumberFormat="true" applyProtection="false" borderId="89" fillId="0" fontId="89" numFmtId="180" xfId="0">
      <alignment horizontal="center" vertical="center"/>
    </xf>
    <xf applyAlignment="true" applyBorder="false" applyFill="false" applyFont="true" applyNumberFormat="true" applyProtection="false" borderId="90" fillId="0" fontId="90" numFmtId="181" xfId="0">
      <alignment horizontal="center" vertical="center" wrapText="true"/>
    </xf>
    <xf applyAlignment="true" applyBorder="false" applyFill="false" applyFont="true" applyNumberFormat="true" applyProtection="false" borderId="91" fillId="49" fontId="91" numFmtId="182" xfId="0">
      <alignment horizontal="center" vertical="bottom"/>
    </xf>
    <xf applyAlignment="true" applyBorder="false" applyFill="false" applyFont="true" applyNumberFormat="true" applyProtection="false" borderId="92" fillId="0" fontId="92" numFmtId="183" xfId="0">
      <alignment horizontal="center" vertical="center"/>
    </xf>
    <xf applyAlignment="true" applyBorder="false" applyFill="false" applyFont="true" applyNumberFormat="true" applyProtection="false" borderId="93" fillId="50" fontId="93" numFmtId="184" xfId="0">
      <alignment horizontal="center" vertical="center"/>
    </xf>
    <xf applyAlignment="true" applyBorder="false" applyFill="false" applyFont="true" applyNumberFormat="true" applyProtection="false" borderId="94" fillId="51" fontId="94" numFmtId="185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5"/>
    <col collapsed="false" customWidth="true" hidden="false" max="2" min="2" style="0" width="29"/>
    <col collapsed="false" customWidth="true" hidden="false" max="3" min="3" style="0" width="15"/>
    <col collapsed="false" customWidth="true" hidden="false" max="4" min="4" style="0" width="20"/>
    <col collapsed="false" customWidth="true" hidden="false" max="5" min="5" style="0" width="16"/>
    <col collapsed="false" customWidth="true" hidden="false" max="6" min="6" style="0" width="36"/>
    <col collapsed="false" customWidth="true" hidden="false" max="7" min="7" style="0" width="44"/>
  </cols>
  <sheetData>
    <row r="1">
      <c r="A1" s="3" t="str">
        <v>费用类型编码</v>
      </c>
      <c r="B1" s="3" t="str">
        <v>费用类型</v>
      </c>
      <c r="C1" s="3" t="str">
        <v>费用大类编码</v>
      </c>
      <c r="D1" s="3" t="str">
        <v>费用大类</v>
      </c>
      <c r="E1" s="3" t="str">
        <v>费用小类编码</v>
      </c>
      <c r="F1" s="3" t="str">
        <v>费用小类</v>
      </c>
      <c r="G1" s="3"/>
    </row>
    <row r="2">
      <c r="A2" s="1" t="str">
        <v>FY01</v>
      </c>
      <c r="B2" s="1" t="str">
        <v>营销费用</v>
      </c>
      <c r="C2" s="1" t="str">
        <v>FY0101</v>
      </c>
      <c r="D2" s="1" t="str">
        <v>达人推广费</v>
      </c>
      <c r="E2" s="1" t="str">
        <v>FY010101</v>
      </c>
      <c r="F2" s="1" t="str">
        <v>内容推广费</v>
      </c>
      <c r="G2" s="1" t="str">
        <v>销售费用_营销费用_内容制作费(6601.36.14)</v>
      </c>
    </row>
    <row r="3">
      <c r="A3" s="1"/>
      <c r="B3" s="1"/>
      <c r="C3" s="1"/>
      <c r="D3" s="1"/>
      <c r="E3" s="1" t="str">
        <v>FY010102</v>
      </c>
      <c r="F3" s="1" t="str">
        <v>达人合作费</v>
      </c>
      <c r="G3" s="1" t="str">
        <v>销售费用_营销费用_达人发布费(6601.36.04)</v>
      </c>
    </row>
    <row r="4">
      <c r="A4" s="1"/>
      <c r="B4" s="1"/>
      <c r="C4" s="1"/>
      <c r="D4" s="1"/>
      <c r="E4" s="1" t="str">
        <v>FY010103</v>
      </c>
      <c r="F4" s="1" t="str">
        <v>达人推广佣金</v>
      </c>
      <c r="G4" s="1" t="str">
        <v>销售费用_营销费用_推广服务费(6601.36.23)</v>
      </c>
    </row>
    <row r="5">
      <c r="A5" s="1"/>
      <c r="B5" s="1"/>
      <c r="C5" s="1" t="str">
        <v>FY0102</v>
      </c>
      <c r="D5" s="1" t="str">
        <v>店铺运营费</v>
      </c>
      <c r="E5" s="1" t="str">
        <v>FY010201</v>
      </c>
      <c r="F5" s="2" t="str">
        <v>店铺服务费</v>
      </c>
      <c r="G5" s="1"/>
    </row>
    <row r="6">
      <c r="A6" s="1"/>
      <c r="B6" s="1"/>
      <c r="C6" s="1"/>
      <c r="D6" s="1"/>
      <c r="E6" s="1" t="str">
        <v>FY010202</v>
      </c>
      <c r="F6" s="2" t="str">
        <v>快递拦截费</v>
      </c>
      <c r="G6" s="1"/>
    </row>
    <row r="7">
      <c r="A7" s="1"/>
      <c r="B7" s="1"/>
      <c r="C7" s="1"/>
      <c r="D7" s="1"/>
      <c r="E7" s="1" t="str">
        <v>FY010203</v>
      </c>
      <c r="F7" s="2" t="str">
        <v>代收保险费</v>
      </c>
      <c r="G7" s="1"/>
    </row>
    <row r="8">
      <c r="A8" s="1"/>
      <c r="B8" s="1"/>
      <c r="C8" s="1"/>
      <c r="D8" s="1"/>
      <c r="E8" s="1" t="str">
        <v>FY010204</v>
      </c>
      <c r="F8" s="2" t="str">
        <v>支付服务费</v>
      </c>
      <c r="G8" s="1"/>
    </row>
    <row r="9">
      <c r="A9" s="1"/>
      <c r="B9" s="1"/>
      <c r="C9" s="1"/>
      <c r="D9" s="1"/>
      <c r="E9" s="1" t="str">
        <v>FY010205</v>
      </c>
      <c r="F9" s="2" t="str">
        <v>平台技术服务费</v>
      </c>
      <c r="G9" s="1"/>
    </row>
    <row r="10">
      <c r="A10" s="1"/>
      <c r="B10" s="1"/>
      <c r="C10" s="1"/>
      <c r="D10" s="1"/>
      <c r="E10" s="1" t="str">
        <v>FY010206</v>
      </c>
      <c r="F10" s="2" t="str">
        <v>支付手续费</v>
      </c>
      <c r="G10" s="1"/>
    </row>
    <row r="11">
      <c r="A11" s="1"/>
      <c r="B11" s="1"/>
      <c r="C11" s="1"/>
      <c r="D11" s="1"/>
      <c r="E11" s="1" t="str">
        <v>FY010207</v>
      </c>
      <c r="F11" s="2" t="str">
        <v>平台软件费</v>
      </c>
      <c r="G11" s="1"/>
    </row>
    <row customHeight="true" ht="20" r="12">
      <c r="A12" s="1"/>
      <c r="B12" s="1"/>
      <c r="C12" s="1"/>
      <c r="D12" s="1"/>
      <c r="E12" s="1" t="str">
        <v>FY010208</v>
      </c>
      <c r="F12" s="2" t="str">
        <v>短信服务费</v>
      </c>
      <c r="G12" s="1"/>
    </row>
    <row r="13">
      <c r="A13" s="1"/>
      <c r="B13" s="1"/>
      <c r="C13" s="1" t="str">
        <v>FY0103</v>
      </c>
      <c r="D13" s="1" t="str">
        <v>媒介宣传费</v>
      </c>
      <c r="E13" s="1" t="str">
        <v>FY010301</v>
      </c>
      <c r="F13" s="1" t="str">
        <v>线上媒介费</v>
      </c>
      <c r="G13" s="1" t="str">
        <v>销售费用_营销费用_线上推广费(6601.36.24)</v>
      </c>
    </row>
    <row r="14">
      <c r="A14" s="1"/>
      <c r="B14" s="1"/>
      <c r="C14" s="1"/>
      <c r="D14" s="1"/>
      <c r="E14" s="1" t="str">
        <v>FY010302</v>
      </c>
      <c r="F14" s="1" t="str">
        <v>线下媒介费</v>
      </c>
      <c r="G14" s="1" t="str">
        <v>销售费用_营销费用_线下推广费(6601.36.25)</v>
      </c>
    </row>
    <row r="15">
      <c r="A15" s="1"/>
      <c r="B15" s="1"/>
      <c r="C15" s="1"/>
      <c r="D15" s="1"/>
      <c r="E15" s="1" t="str">
        <v>FY010303</v>
      </c>
      <c r="F15" s="1" t="str">
        <v>媒体宣发费</v>
      </c>
      <c r="G15" s="1" t="str">
        <v>销售费用_营销费用_线上推广费(6601.36.24)</v>
      </c>
    </row>
    <row r="16">
      <c r="A16" s="1"/>
      <c r="B16" s="1"/>
      <c r="C16" s="1" t="str">
        <v>FY0104</v>
      </c>
      <c r="D16" s="1" t="str">
        <v>内容制作费</v>
      </c>
      <c r="E16" s="1" t="str">
        <v>FY010401</v>
      </c>
      <c r="F16" s="1" t="str">
        <v>视频制作费</v>
      </c>
      <c r="G16" s="1" t="str">
        <v>销售费用_营销费用_视频制作费(6601.36.21)</v>
      </c>
    </row>
    <row r="17">
      <c r="A17" s="1"/>
      <c r="B17" s="1"/>
      <c r="C17" s="1"/>
      <c r="D17" s="1"/>
      <c r="E17" s="1" t="str">
        <v>FY010402</v>
      </c>
      <c r="F17" s="1" t="str">
        <v>动画制作费</v>
      </c>
      <c r="G17" s="1" t="str">
        <v>销售费用_营销费用_动画制作费(6601.36.07)</v>
      </c>
    </row>
    <row r="18">
      <c r="A18" s="1"/>
      <c r="B18" s="1"/>
      <c r="C18" s="1"/>
      <c r="D18" s="1"/>
      <c r="E18" s="1" t="str">
        <v>FY010403</v>
      </c>
      <c r="F18" s="1" t="str">
        <v>图文平面制作费</v>
      </c>
      <c r="G18" s="1" t="str">
        <v>销售费用_营销费用_图文平面制作费(6601.36.22)</v>
      </c>
    </row>
    <row r="19">
      <c r="A19" s="1"/>
      <c r="B19" s="1"/>
      <c r="C19" s="1"/>
      <c r="D19" s="1"/>
      <c r="E19" s="1" t="str">
        <v>FY010404</v>
      </c>
      <c r="F19" s="1" t="str">
        <v>建模服务费</v>
      </c>
      <c r="G19" s="1" t="str">
        <v>销售费用_营销费用_建模服务费(6601.36.10)</v>
      </c>
    </row>
    <row r="20">
      <c r="A20" s="1"/>
      <c r="B20" s="1"/>
      <c r="C20" s="1"/>
      <c r="D20" s="1"/>
      <c r="E20" s="1" t="str">
        <v>FY010405</v>
      </c>
      <c r="F20" s="1" t="str">
        <v>渲染服务费</v>
      </c>
      <c r="G20" s="1" t="str">
        <v>销售费用_营销费用_渲染服务费(6601.36.26)</v>
      </c>
    </row>
    <row r="21">
      <c r="A21" s="1"/>
      <c r="B21" s="1"/>
      <c r="C21" s="1"/>
      <c r="D21" s="1"/>
      <c r="E21" s="1" t="str">
        <v>FY010406</v>
      </c>
      <c r="F21" s="1" t="str">
        <v>模特服务费</v>
      </c>
      <c r="G21" s="1" t="str">
        <v>销售费用_营销费用_模特服务费(6601.36.13)</v>
      </c>
    </row>
    <row r="22">
      <c r="A22" s="1"/>
      <c r="B22" s="1"/>
      <c r="C22" s="1"/>
      <c r="D22" s="1"/>
      <c r="E22" s="1" t="str">
        <v>FY010407</v>
      </c>
      <c r="F22" s="1" t="str">
        <v>专业人物合作费</v>
      </c>
      <c r="G22" s="1" t="str">
        <v>销售费用_营销费用_专业人物合作费(6601.36.32)</v>
      </c>
    </row>
    <row r="23">
      <c r="A23" s="1"/>
      <c r="B23" s="1"/>
      <c r="C23" s="1"/>
      <c r="D23" s="1"/>
      <c r="E23" s="1" t="str">
        <v>FY010408</v>
      </c>
      <c r="F23" s="1" t="str">
        <v>服化道费用</v>
      </c>
      <c r="G23" s="1" t="str">
        <v>销售费用_营销费用_服化道费用(6601.36.08)</v>
      </c>
    </row>
    <row r="24">
      <c r="A24" s="1"/>
      <c r="B24" s="1"/>
      <c r="C24" s="1"/>
      <c r="D24" s="1"/>
      <c r="E24" s="1" t="str">
        <v>FY010409</v>
      </c>
      <c r="F24" s="1" t="str">
        <v>拍摄服务费</v>
      </c>
      <c r="G24" s="1" t="str">
        <v>销售费用_营销费用_拍摄服务费(6601.36.15)</v>
      </c>
    </row>
    <row r="25">
      <c r="A25" s="1"/>
      <c r="B25" s="1"/>
      <c r="C25" s="1"/>
      <c r="D25" s="1"/>
      <c r="E25" s="1" t="str">
        <v>FY010410</v>
      </c>
      <c r="F25" s="1" t="str">
        <v>拍摄物料费</v>
      </c>
      <c r="G25" s="1" t="str">
        <v>销售费用_营销费用_拍摄物料费(6601.36.16)</v>
      </c>
    </row>
    <row r="26">
      <c r="A26" s="1"/>
      <c r="B26" s="1"/>
      <c r="C26" s="1"/>
      <c r="D26" s="1"/>
      <c r="E26" s="1" t="str">
        <v>FY010411</v>
      </c>
      <c r="F26" s="1" t="str">
        <v>内容制作费</v>
      </c>
      <c r="G26" s="1" t="str">
        <v>销售费用_营销费用_内容制作费(6601.36.14)</v>
      </c>
    </row>
    <row r="27">
      <c r="A27" s="1"/>
      <c r="B27" s="1"/>
      <c r="C27" s="1"/>
      <c r="D27" s="1"/>
      <c r="E27" s="1" t="str">
        <v>FY010412</v>
      </c>
      <c r="F27" s="1" t="str">
        <v>视觉设计费</v>
      </c>
      <c r="G27" s="1" t="str">
        <v>销售费用_营销费用_视觉设计费(6601.36.42)</v>
      </c>
    </row>
    <row r="28">
      <c r="A28" s="1"/>
      <c r="B28" s="1"/>
      <c r="C28" s="1" t="str">
        <v>FY0105</v>
      </c>
      <c r="D28" s="1" t="str">
        <v>品牌宣传费</v>
      </c>
      <c r="E28" s="1" t="str">
        <v>FY010501</v>
      </c>
      <c r="F28" s="1" t="str">
        <v>市场调研费</v>
      </c>
      <c r="G28" s="1" t="str">
        <v>销售费用_营销费用_市场调研费(6601.36.20)</v>
      </c>
    </row>
    <row r="29">
      <c r="A29" s="1"/>
      <c r="B29" s="1"/>
      <c r="C29" s="1"/>
      <c r="D29" s="1"/>
      <c r="E29" s="1" t="str">
        <v>FY010502</v>
      </c>
      <c r="F29" s="1" t="str">
        <v>明星合作费</v>
      </c>
      <c r="G29" s="1" t="str">
        <v>销售费用_营销费用_明星合作费(6601.36.12)</v>
      </c>
    </row>
    <row r="30">
      <c r="A30" s="1"/>
      <c r="B30" s="1"/>
      <c r="C30" s="1"/>
      <c r="D30" s="1"/>
      <c r="E30" s="1" t="str">
        <v>FY010503</v>
      </c>
      <c r="F30" s="1" t="str">
        <v>创意策划服务费</v>
      </c>
      <c r="G30" s="1" t="str">
        <v>销售费用_营销费用_策划服务费(6601.36.01)</v>
      </c>
    </row>
    <row r="31">
      <c r="A31" s="1"/>
      <c r="B31" s="1"/>
      <c r="C31" s="1"/>
      <c r="D31" s="1"/>
      <c r="E31" s="1" t="str">
        <v>FY010504</v>
      </c>
      <c r="F31" s="1" t="str">
        <v>活动策划服务费</v>
      </c>
      <c r="G31" s="1" t="str">
        <v>销售费用_营销费用_策划服务费(6601.36.01)</v>
      </c>
    </row>
    <row r="32">
      <c r="A32" s="1"/>
      <c r="B32" s="1"/>
      <c r="C32" s="1"/>
      <c r="D32" s="1"/>
      <c r="E32" s="1" t="str">
        <v>FY010505</v>
      </c>
      <c r="F32" s="1" t="str">
        <v>营销宣传费</v>
      </c>
      <c r="G32" s="1" t="str">
        <v>销售费用_营销费用_营销宣传费(6601.36.27)</v>
      </c>
    </row>
    <row r="33">
      <c r="A33" s="1"/>
      <c r="B33" s="1"/>
      <c r="C33" s="1"/>
      <c r="D33" s="1"/>
      <c r="E33" s="1" t="str">
        <v>FY010506</v>
      </c>
      <c r="F33" s="1" t="str">
        <v>品牌植入费</v>
      </c>
      <c r="G33" s="1" t="str">
        <v>销售费用_营销费用_品牌植入费(6601.36.17)</v>
      </c>
    </row>
    <row r="34">
      <c r="A34" s="1"/>
      <c r="B34" s="1"/>
      <c r="C34" s="1"/>
      <c r="D34" s="1"/>
      <c r="E34" s="1" t="str">
        <v>FY010507</v>
      </c>
      <c r="F34" s="1" t="str">
        <v>公关服务费</v>
      </c>
      <c r="G34" s="1" t="str">
        <v>销售费用_营销费用_公关服务费(6601.36.36)</v>
      </c>
    </row>
    <row r="35">
      <c r="A35" s="1"/>
      <c r="B35" s="1"/>
      <c r="C35" s="1" t="str">
        <v>FY0106</v>
      </c>
      <c r="D35" s="1" t="str">
        <v>其他费用</v>
      </c>
      <c r="E35" s="1" t="str">
        <v>FY010601</v>
      </c>
      <c r="F35" s="1" t="str">
        <v>场地租赁费</v>
      </c>
      <c r="G35" s="1" t="str">
        <v>销售费用_营销费用_场地租赁费(6601.36.02)</v>
      </c>
    </row>
    <row r="36">
      <c r="A36" s="1"/>
      <c r="B36" s="1"/>
      <c r="C36" s="1"/>
      <c r="D36" s="1"/>
      <c r="E36" s="1" t="str">
        <v>FY010602</v>
      </c>
      <c r="F36" s="1" t="str">
        <v>设备租赁费</v>
      </c>
      <c r="G36" s="1" t="str">
        <v>销售费用_营销费用_设备租赁费(6601.36.19)</v>
      </c>
    </row>
    <row r="37">
      <c r="A37" s="1"/>
      <c r="B37" s="1"/>
      <c r="C37" s="1"/>
      <c r="D37" s="1"/>
      <c r="E37" s="1" t="str">
        <v>FY010603</v>
      </c>
      <c r="F37" s="1" t="str">
        <v>舞台场地搭建费</v>
      </c>
      <c r="G37" s="1" t="str">
        <v>销售费用_营销费用_搭建服务费(6601.36.03)</v>
      </c>
    </row>
    <row r="38">
      <c r="A38" s="1"/>
      <c r="B38" s="1"/>
      <c r="C38" s="1"/>
      <c r="D38" s="1"/>
      <c r="E38" s="1" t="str">
        <v>FY010604</v>
      </c>
      <c r="F38" s="2" t="str">
        <v>日常营运费用</v>
      </c>
      <c r="G38" s="1" t="str">
        <v>暂未上线</v>
      </c>
    </row>
    <row r="39">
      <c r="A39" s="1"/>
      <c r="B39" s="1"/>
      <c r="C39" s="1"/>
      <c r="D39" s="1"/>
      <c r="E39" s="1" t="str">
        <v>FY010605</v>
      </c>
      <c r="F39" s="2" t="str">
        <v>明星差旅费</v>
      </c>
      <c r="G39" s="1" t="str">
        <v>暂未上线</v>
      </c>
    </row>
    <row r="40">
      <c r="A40" s="1"/>
      <c r="B40" s="1"/>
      <c r="C40" s="1"/>
      <c r="D40" s="1"/>
      <c r="E40" s="1" t="str">
        <v>FY010606</v>
      </c>
      <c r="F40" s="1" t="str">
        <v>公关礼品费</v>
      </c>
      <c r="G40" s="1" t="str">
        <v>销售费用_营销费用_公关礼品费(6601.36.09)</v>
      </c>
    </row>
    <row r="41">
      <c r="A41" s="1"/>
      <c r="B41" s="1"/>
      <c r="C41" s="1"/>
      <c r="D41" s="1"/>
      <c r="E41" s="1" t="str">
        <v>FY010607</v>
      </c>
      <c r="F41" s="1" t="str">
        <v>主播团队激励</v>
      </c>
      <c r="G41" s="1" t="str">
        <v>销售费用_日常费用_主播团队激励(6601.37.04)</v>
      </c>
    </row>
    <row r="42">
      <c r="A42" s="1"/>
      <c r="B42" s="1"/>
      <c r="C42" s="1"/>
      <c r="D42" s="1"/>
      <c r="E42" s="1" t="str">
        <v>FY010608</v>
      </c>
      <c r="F42" s="1" t="str">
        <v>培训费</v>
      </c>
      <c r="G42" s="1" t="str">
        <v>暂未上线</v>
      </c>
    </row>
    <row r="43">
      <c r="A43" s="1"/>
      <c r="B43" s="1"/>
      <c r="C43" s="1"/>
      <c r="D43" s="1"/>
      <c r="E43" s="1" t="str">
        <v>FY010609</v>
      </c>
      <c r="F43" s="2" t="str">
        <v>竞品采买</v>
      </c>
      <c r="G43" s="1" t="str">
        <v>销售费用_外采竞品费(6601.32)</v>
      </c>
    </row>
    <row r="44">
      <c r="A44" s="1"/>
      <c r="B44" s="1"/>
      <c r="C44" s="1"/>
      <c r="D44" s="1"/>
      <c r="E44" s="1" t="str">
        <v>FY010610</v>
      </c>
      <c r="F44" s="1" t="str">
        <v>授权使用费</v>
      </c>
      <c r="G44">
        <f>VLOOKUP(E44,'Sheet8'!$A$1:$B$40,2,FALSE)</f>
      </c>
    </row>
    <row r="45">
      <c r="A45" s="1"/>
      <c r="B45" s="1"/>
      <c r="C45" s="1"/>
      <c r="D45" s="1"/>
      <c r="E45" s="1" t="str">
        <v>FY010611</v>
      </c>
      <c r="F45" s="1" t="str">
        <v>咨询服务费</v>
      </c>
      <c r="G45">
        <f>VLOOKUP(E45,'Sheet8'!$A$1:$B$40,2,FALSE)</f>
      </c>
    </row>
    <row r="46">
      <c r="A46" s="1"/>
      <c r="B46" s="1"/>
      <c r="C46" s="1" t="str">
        <v>FY0107</v>
      </c>
      <c r="D46" s="1" t="str">
        <v>渠道推广费</v>
      </c>
      <c r="E46" s="1" t="str">
        <v>FY010701</v>
      </c>
      <c r="F46" s="1" t="str">
        <v>站内推广费</v>
      </c>
      <c r="G46" s="1" t="str">
        <v>销售费用_营销费用_线上推广费(6601.36.24)</v>
      </c>
    </row>
    <row r="47">
      <c r="A47" s="1"/>
      <c r="B47" s="1"/>
      <c r="C47" s="1"/>
      <c r="D47" s="1"/>
      <c r="E47" s="1" t="str">
        <v>FY010702</v>
      </c>
      <c r="F47" s="1" t="str">
        <v>站外推广费</v>
      </c>
      <c r="G47" s="1" t="str">
        <v>销售费用_营销费用_线上推广费(6601.36.24)</v>
      </c>
    </row>
    <row r="48">
      <c r="A48" s="1"/>
      <c r="B48" s="1"/>
      <c r="C48" s="1"/>
      <c r="D48" s="1"/>
      <c r="E48" s="1" t="str">
        <v>FY010703</v>
      </c>
      <c r="F48" s="1" t="str">
        <v>代运营服务费</v>
      </c>
      <c r="G48" s="1" t="str">
        <v>销售费用_营销费用_代运营服务费(6601.36.05)</v>
      </c>
    </row>
    <row r="49">
      <c r="A49" s="1"/>
      <c r="B49" s="1"/>
      <c r="C49" s="1"/>
      <c r="D49" s="1"/>
      <c r="E49" s="1" t="str">
        <v>FY010704</v>
      </c>
      <c r="F49" s="1" t="str">
        <v>直播服务费</v>
      </c>
      <c r="G49" s="1" t="str">
        <v>销售费用_营销费用_直播服务费(6601.36.28)</v>
      </c>
    </row>
    <row r="50">
      <c r="A50" s="1"/>
      <c r="B50" s="1"/>
      <c r="C50" s="1"/>
      <c r="D50" s="1"/>
      <c r="E50" s="1" t="str">
        <v>FY010705</v>
      </c>
      <c r="F50" s="1" t="str">
        <v>直播坑位费</v>
      </c>
      <c r="G50" s="1" t="str">
        <v>销售费用_营销费用_直播坑位费(6601.36.31)</v>
      </c>
    </row>
    <row r="51">
      <c r="A51" s="1"/>
      <c r="B51" s="1"/>
      <c r="C51" s="1"/>
      <c r="D51" s="1"/>
      <c r="E51" s="1" t="str">
        <v>FY010706</v>
      </c>
      <c r="F51" s="1" t="str">
        <v>线下推广费</v>
      </c>
      <c r="G51" s="1" t="str">
        <v>销售费用_营销费用_线下推广费(6601.36.25)</v>
      </c>
    </row>
    <row r="52">
      <c r="A52" s="1"/>
      <c r="B52" s="1"/>
      <c r="C52" s="1"/>
      <c r="D52" s="1"/>
      <c r="E52" s="1" t="str">
        <v>FY010707</v>
      </c>
      <c r="F52" s="1" t="str">
        <v>代运营佣金</v>
      </c>
      <c r="G52" s="1" t="str">
        <v>销售费用_营销费用_代运营佣金(6601.36.06)</v>
      </c>
    </row>
    <row r="53">
      <c r="A53" s="1"/>
      <c r="B53" s="1"/>
      <c r="C53" s="1"/>
      <c r="D53" s="1"/>
      <c r="E53" s="1" t="str">
        <v>FY010708</v>
      </c>
      <c r="F53" s="1" t="str">
        <v>直播间物料费</v>
      </c>
      <c r="G53" s="1" t="str">
        <v>销售费用_营销费用_直播间物料费(6601.36.30)</v>
      </c>
    </row>
    <row r="54">
      <c r="A54" s="1"/>
      <c r="B54" s="1"/>
      <c r="C54" s="1"/>
      <c r="D54" s="1"/>
      <c r="E54" s="1" t="str">
        <v>FY010709</v>
      </c>
      <c r="F54" s="1" t="str">
        <v>直播间活动费</v>
      </c>
      <c r="G54" s="1" t="str">
        <v>销售费用_营销费用_直播间活动费(6601.36.29)</v>
      </c>
    </row>
  </sheetData>
  <mergeCells>
    <mergeCell ref="D2:D4"/>
    <mergeCell ref="C2:C4"/>
    <mergeCell ref="A2:A54"/>
    <mergeCell ref="B2:B54"/>
    <mergeCell ref="C13:C15"/>
    <mergeCell ref="D13:D15"/>
    <mergeCell ref="C16:C27"/>
    <mergeCell ref="D16:D27"/>
    <mergeCell ref="C28:C34"/>
    <mergeCell ref="C35:C45"/>
    <mergeCell ref="D28:D34"/>
    <mergeCell ref="D35:D45"/>
    <mergeCell ref="C46:C54"/>
    <mergeCell ref="D46:D54"/>
    <mergeCell ref="C5:C12"/>
    <mergeCell ref="D5:D12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53"/>
    <col collapsed="false" customWidth="true" hidden="false" max="2" min="2" style="0" width="49"/>
    <col collapsed="false" customWidth="true" hidden="false" max="3" min="3" style="0" width="47"/>
    <col collapsed="false" customWidth="true" hidden="false" max="6" min="6" style="0" width="13"/>
    <col collapsed="false" customWidth="true" hidden="false" max="7" min="7" style="0" width="47"/>
  </cols>
  <sheetData>
    <row r="1">
      <c r="A1" s="4" t="str">
        <v>*源维度-业财-费用类型[名称(编码)]</v>
      </c>
      <c r="B1" s="5" t="str">
        <v>*目标维度-核算科目[名称(编码)]</v>
      </c>
      <c r="C1" s="6" t="str">
        <v>默认值[名称(编码)]</v>
      </c>
      <c r="F1" s="4" t="str">
        <v>编码</v>
      </c>
      <c r="G1" s="6" t="str">
        <v>默认值[名称(编码)]</v>
      </c>
    </row>
    <row r="2">
      <c r="A2" s="1" t="str">
        <v>内容推广费(FY010101)</v>
      </c>
      <c r="B2" s="1" t="str">
        <v>销售费用_营销费用_内容制作费(6601.36.14)</v>
      </c>
      <c r="C2" s="1" t="str">
        <v>销售费用_营销费用_内容制作费(6601.36.14)</v>
      </c>
      <c r="F2" s="1" t="str">
        <v>FY010101</v>
      </c>
      <c r="G2" s="1" t="str">
        <v>销售费用_营销费用_内容制作费(6601.36.14)</v>
      </c>
    </row>
    <row r="3">
      <c r="A3" s="1" t="str">
        <v>达人合作费(FY010102)</v>
      </c>
      <c r="B3" s="1" t="str">
        <v>销售费用_营销费用_达人发布费(6601.36.04)</v>
      </c>
      <c r="C3" s="1" t="str">
        <v>销售费用_营销费用_达人发布费(6601.36.04)</v>
      </c>
      <c r="F3" s="1" t="str">
        <v>FY010102</v>
      </c>
      <c r="G3" s="1" t="str">
        <v>销售费用_营销费用_达人发布费(6601.36.04)</v>
      </c>
    </row>
    <row r="4">
      <c r="A4" s="1" t="str">
        <v>达人推广佣金(FY010103)</v>
      </c>
      <c r="B4" s="1" t="str">
        <v>销售费用_营销费用_推广服务费(6601.36.23)</v>
      </c>
      <c r="C4" s="1" t="str">
        <v>销售费用_营销费用_推广服务费(6601.36.23)</v>
      </c>
      <c r="F4" s="1" t="str">
        <v>FY010103</v>
      </c>
      <c r="G4" s="1" t="str">
        <v>销售费用_营销费用_推广服务费(6601.36.23)</v>
      </c>
    </row>
    <row r="5">
      <c r="A5" s="1" t="str">
        <v>线上媒介费(FY010301)</v>
      </c>
      <c r="B5" s="1" t="str">
        <v>销售费用_营销费用_线上推广费(6601.36.24)</v>
      </c>
      <c r="C5" s="1" t="str">
        <v>销售费用_营销费用_线上推广费(6601.36.24)</v>
      </c>
      <c r="F5" s="1" t="str">
        <v>FY010301</v>
      </c>
      <c r="G5" s="1" t="str">
        <v>销售费用_营销费用_线上推广费(6601.36.24)</v>
      </c>
    </row>
    <row r="6">
      <c r="A6" s="1" t="str">
        <v>线下媒介费(FY010302)</v>
      </c>
      <c r="B6" s="1" t="str">
        <v>销售费用_营销费用_线下推广费(6601.36.25)</v>
      </c>
      <c r="C6" s="1" t="str">
        <v>销售费用_营销费用_线下推广费(6601.36.25)</v>
      </c>
      <c r="F6" s="1" t="str">
        <v>FY010302</v>
      </c>
      <c r="G6" s="1" t="str">
        <v>销售费用_营销费用_线下推广费(6601.36.25)</v>
      </c>
    </row>
    <row r="7">
      <c r="A7" s="1" t="str">
        <v>媒体宣发费(FY010303)</v>
      </c>
      <c r="B7" s="1" t="str">
        <v>销售费用_营销费用_线上推广费(6601.36.24)</v>
      </c>
      <c r="C7" s="1" t="str">
        <v>销售费用_营销费用_线上推广费(6601.36.24)</v>
      </c>
      <c r="F7" s="1" t="str">
        <v>FY010303</v>
      </c>
      <c r="G7" s="1" t="str">
        <v>销售费用_营销费用_线上推广费(6601.36.24)</v>
      </c>
    </row>
    <row r="8">
      <c r="A8" s="1" t="str">
        <v>视频制作费(FY010401)</v>
      </c>
      <c r="B8" s="1" t="str">
        <v>销售费用_营销费用_视频制作费(6601.36.21)</v>
      </c>
      <c r="C8" s="1" t="str">
        <v>销售费用_营销费用_视频制作费(6601.36.21)</v>
      </c>
      <c r="F8" s="1" t="str">
        <v>FY010401</v>
      </c>
      <c r="G8" s="1" t="str">
        <v>销售费用_营销费用_视频制作费(6601.36.21)</v>
      </c>
    </row>
    <row r="9">
      <c r="A9" s="1" t="str">
        <v>动画制作费(FY010402)</v>
      </c>
      <c r="B9" s="1" t="str">
        <v>销售费用_营销费用_动画制作费(6601.36.07)</v>
      </c>
      <c r="C9" s="1" t="str">
        <v>销售费用_营销费用_动画制作费(6601.36.07)</v>
      </c>
      <c r="F9" s="1" t="str">
        <v>FY010402</v>
      </c>
      <c r="G9" s="1" t="str">
        <v>销售费用_营销费用_动画制作费(6601.36.07)</v>
      </c>
    </row>
    <row r="10">
      <c r="A10" s="1" t="str">
        <v>图文平面制作费(FY010403)</v>
      </c>
      <c r="B10" s="1" t="str">
        <v>销售费用_营销费用_图文平面制作费(6601.36.22)</v>
      </c>
      <c r="C10" s="1" t="str">
        <v>销售费用_营销费用_图文平面制作费(6601.36.22)</v>
      </c>
      <c r="F10" s="1" t="str">
        <v>FY010403</v>
      </c>
      <c r="G10" s="1" t="str">
        <v>销售费用_营销费用_图文平面制作费(6601.36.22)</v>
      </c>
    </row>
    <row r="11">
      <c r="A11" s="1" t="str">
        <v>建模服务费(FY010404)</v>
      </c>
      <c r="B11" s="1" t="str">
        <v>销售费用_营销费用_建模服务费(6601.36.10)</v>
      </c>
      <c r="C11" s="1" t="str">
        <v>销售费用_营销费用_建模服务费(6601.36.10)</v>
      </c>
      <c r="F11" s="1" t="str">
        <v>FY010404</v>
      </c>
      <c r="G11" s="1" t="str">
        <v>销售费用_营销费用_建模服务费(6601.36.10)</v>
      </c>
    </row>
    <row r="12">
      <c r="A12" s="1" t="str">
        <v>渲染服务费(FY010405)</v>
      </c>
      <c r="B12" s="1" t="str">
        <v>销售费用_营销费用_渲染服务费(6601.36.26)</v>
      </c>
      <c r="C12" s="1" t="str">
        <v>销售费用_营销费用_渲染服务费(6601.36.26)</v>
      </c>
      <c r="F12" s="1" t="str">
        <v>FY010405</v>
      </c>
      <c r="G12" s="1" t="str">
        <v>销售费用_营销费用_渲染服务费(6601.36.26)</v>
      </c>
    </row>
    <row r="13">
      <c r="A13" s="1" t="str">
        <v>模特服务费(FY010406)</v>
      </c>
      <c r="B13" s="1" t="str">
        <v>销售费用_营销费用_模特服务费(6601.36.13)</v>
      </c>
      <c r="C13" s="1" t="str">
        <v>销售费用_营销费用_模特服务费(6601.36.13)</v>
      </c>
      <c r="F13" s="1" t="str">
        <v>FY010406</v>
      </c>
      <c r="G13" s="1" t="str">
        <v>销售费用_营销费用_模特服务费(6601.36.13)</v>
      </c>
    </row>
    <row r="14">
      <c r="A14" s="1" t="str">
        <v>专业人物合作费(FY010407)</v>
      </c>
      <c r="B14" s="1" t="str">
        <v>销售费用_营销费用_专业人物合作费(6601.36.32)</v>
      </c>
      <c r="C14" s="1" t="str">
        <v>销售费用_营销费用_专业人物合作费(6601.36.32)</v>
      </c>
      <c r="F14" s="1" t="str">
        <v>FY010407</v>
      </c>
      <c r="G14" s="1" t="str">
        <v>销售费用_营销费用_专业人物合作费(6601.36.32)</v>
      </c>
    </row>
    <row r="15">
      <c r="A15" s="1" t="str">
        <v>服化道费用(FY010408)</v>
      </c>
      <c r="B15" s="1" t="str">
        <v>销售费用_营销费用_服化道费用(6601.36.08)</v>
      </c>
      <c r="C15" s="1" t="str">
        <v>销售费用_营销费用_服化道费用(6601.36.08)</v>
      </c>
      <c r="F15" s="1" t="str">
        <v>FY010408</v>
      </c>
      <c r="G15" s="1" t="str">
        <v>销售费用_营销费用_服化道费用(6601.36.08)</v>
      </c>
    </row>
    <row r="16">
      <c r="A16" s="1" t="str">
        <v>拍摄服务费(FY010409)</v>
      </c>
      <c r="B16" s="1" t="str">
        <v>销售费用_营销费用_拍摄服务费(6601.36.15)</v>
      </c>
      <c r="C16" s="1" t="str">
        <v>销售费用_营销费用_拍摄服务费(6601.36.15)</v>
      </c>
      <c r="F16" s="1" t="str">
        <v>FY010409</v>
      </c>
      <c r="G16" s="1" t="str">
        <v>销售费用_营销费用_拍摄服务费(6601.36.15)</v>
      </c>
    </row>
    <row r="17">
      <c r="A17" s="1" t="str">
        <v>拍摄物料费(FY010410)</v>
      </c>
      <c r="B17" s="1" t="str">
        <v>销售费用_营销费用_拍摄物料费(6601.36.16)</v>
      </c>
      <c r="C17" s="1" t="str">
        <v>销售费用_营销费用_拍摄物料费(6601.36.16)</v>
      </c>
      <c r="F17" s="1" t="str">
        <v>FY010410</v>
      </c>
      <c r="G17" s="1" t="str">
        <v>销售费用_营销费用_拍摄物料费(6601.36.16)</v>
      </c>
    </row>
    <row r="18">
      <c r="A18" s="1" t="str">
        <v>内容制作费(FY010411)</v>
      </c>
      <c r="B18" s="1" t="str">
        <v>销售费用_营销费用_内容制作费(6601.36.14)</v>
      </c>
      <c r="C18" s="1" t="str">
        <v>销售费用_营销费用_内容制作费(6601.36.14)</v>
      </c>
      <c r="F18" s="1" t="str">
        <v>FY010411</v>
      </c>
      <c r="G18" s="1" t="str">
        <v>销售费用_营销费用_内容制作费(6601.36.14)</v>
      </c>
    </row>
    <row r="19">
      <c r="A19" s="1" t="str">
        <v>市场调研费(FY010501)</v>
      </c>
      <c r="B19" s="1" t="str">
        <v>销售费用_营销费用_市场调研费(6601.36.20)</v>
      </c>
      <c r="C19" s="1" t="str">
        <v>销售费用_营销费用_市场调研费(6601.36.20)</v>
      </c>
      <c r="F19" s="1" t="str">
        <v>FY010501</v>
      </c>
      <c r="G19" s="1" t="str">
        <v>销售费用_营销费用_市场调研费(6601.36.20)</v>
      </c>
    </row>
    <row r="20">
      <c r="A20" s="1" t="str">
        <v>明星合作费(FY010502)</v>
      </c>
      <c r="B20" s="1" t="str">
        <v>销售费用_营销费用_明星合作费(6601.36.12)</v>
      </c>
      <c r="C20" s="1" t="str">
        <v>销售费用_营销费用_明星合作费(6601.36.12)</v>
      </c>
      <c r="F20" s="1" t="str">
        <v>FY010502</v>
      </c>
      <c r="G20" s="1" t="str">
        <v>销售费用_营销费用_明星合作费(6601.36.12)</v>
      </c>
    </row>
    <row r="21">
      <c r="A21" s="1" t="str">
        <v>创意策划服务费(FY010503)</v>
      </c>
      <c r="B21" s="1" t="str">
        <v>销售费用_营销费用_策划服务费(6601.36.01)</v>
      </c>
      <c r="C21" s="1" t="str">
        <v>销售费用_营销费用_策划服务费(6601.36.01)</v>
      </c>
      <c r="F21" s="1" t="str">
        <v>FY010503</v>
      </c>
      <c r="G21" s="1" t="str">
        <v>销售费用_营销费用_策划服务费(6601.36.01)</v>
      </c>
    </row>
    <row r="22">
      <c r="A22" s="1" t="str">
        <v>活动策划服务费(FY010504)</v>
      </c>
      <c r="B22" s="1" t="str">
        <v>销售费用_营销费用_策划服务费(6601.36.01)</v>
      </c>
      <c r="C22" s="1" t="str">
        <v>销售费用_营销费用_策划服务费(6601.36.01)</v>
      </c>
      <c r="F22" s="1" t="str">
        <v>FY010504</v>
      </c>
      <c r="G22" s="1" t="str">
        <v>销售费用_营销费用_策划服务费(6601.36.01)</v>
      </c>
    </row>
    <row r="23">
      <c r="A23" s="1" t="str">
        <v>营销宣传费(FY010505)</v>
      </c>
      <c r="B23" s="1" t="str">
        <v>销售费用_营销费用_营销宣传费(6601.36.27)</v>
      </c>
      <c r="C23" s="1" t="str">
        <v>销售费用_营销费用_营销宣传费(6601.36.27)</v>
      </c>
      <c r="F23" s="1" t="str">
        <v>FY010505</v>
      </c>
      <c r="G23" s="1" t="str">
        <v>销售费用_营销费用_营销宣传费(6601.36.27)</v>
      </c>
    </row>
    <row r="24">
      <c r="A24" s="1" t="str">
        <v>品牌植入费(FY010506)</v>
      </c>
      <c r="B24" s="1" t="str">
        <v>销售费用_营销费用_品牌植入费(6601.36.17)</v>
      </c>
      <c r="C24" s="1" t="str">
        <v>销售费用_营销费用_品牌植入费(6601.36.17)</v>
      </c>
      <c r="F24" s="1" t="str">
        <v>FY010506</v>
      </c>
      <c r="G24" s="1" t="str">
        <v>销售费用_营销费用_品牌植入费(6601.36.17)</v>
      </c>
    </row>
    <row r="25">
      <c r="A25" s="1" t="str">
        <v>公关服务费(FY010507)</v>
      </c>
      <c r="B25" s="1" t="str">
        <v>销售费用_营销费用_公关服务费(6601.36.36)</v>
      </c>
      <c r="C25" s="1" t="str">
        <v>销售费用_营销费用_公关服务费(6601.36.36)</v>
      </c>
      <c r="F25" s="1" t="str">
        <v>FY010507</v>
      </c>
      <c r="G25" s="1" t="str">
        <v>销售费用_营销费用_公关服务费(6601.36.36)</v>
      </c>
    </row>
    <row r="26">
      <c r="A26" s="1" t="str">
        <v>场地租赁费(FY010601)</v>
      </c>
      <c r="B26" s="1" t="str">
        <v>销售费用_营销费用_场地租赁费(6601.36.02)</v>
      </c>
      <c r="C26" s="1" t="str">
        <v>销售费用_营销费用_场地租赁费(6601.36.02)</v>
      </c>
      <c r="F26" s="1" t="str">
        <v>FY010601</v>
      </c>
      <c r="G26" s="1" t="str">
        <v>销售费用_营销费用_场地租赁费(6601.36.02)</v>
      </c>
    </row>
    <row r="27">
      <c r="A27" s="1" t="str">
        <v>设备租赁费(FY010602)</v>
      </c>
      <c r="B27" s="1" t="str">
        <v>销售费用_营销费用_设备租赁费(6601.36.19)</v>
      </c>
      <c r="C27" s="1" t="str">
        <v>销售费用_营销费用_设备租赁费(6601.36.19)</v>
      </c>
      <c r="F27" s="1" t="str">
        <v>FY010602</v>
      </c>
      <c r="G27" s="1" t="str">
        <v>销售费用_营销费用_设备租赁费(6601.36.19)</v>
      </c>
    </row>
    <row r="28">
      <c r="A28" s="1" t="str">
        <v>舞台场地搭建费(FY010603)</v>
      </c>
      <c r="B28" s="1" t="str">
        <v>销售费用_营销费用_搭建服务费(6601.36.03)</v>
      </c>
      <c r="C28" s="1" t="str">
        <v>销售费用_营销费用_搭建服务费(6601.36.03)</v>
      </c>
      <c r="F28" s="1" t="str">
        <v>FY010603</v>
      </c>
      <c r="G28" s="1" t="str">
        <v>销售费用_营销费用_搭建服务费(6601.36.03)</v>
      </c>
    </row>
    <row r="29">
      <c r="A29" s="1" t="str">
        <v>公关礼品费(FY010606)</v>
      </c>
      <c r="B29" s="1" t="str">
        <v>销售费用_营销费用_公关礼品费(6601.36.09)</v>
      </c>
      <c r="C29" s="1" t="str">
        <v>销售费用_营销费用_公关礼品费(6601.36.09)</v>
      </c>
      <c r="F29" s="1" t="str">
        <v>FY010606</v>
      </c>
      <c r="G29" s="1" t="str">
        <v>销售费用_营销费用_公关礼品费(6601.36.09)</v>
      </c>
    </row>
    <row r="30">
      <c r="A30" s="1" t="str">
        <v>主播团队激励(FY010607)</v>
      </c>
      <c r="B30" s="1" t="str">
        <v>销售费用_日常费用_主播团队激励(6601.37.04)</v>
      </c>
      <c r="C30" s="1" t="str">
        <v>销售费用_日常费用_主播团队激励(6601.37.04)</v>
      </c>
      <c r="F30" s="1" t="str">
        <v>FY010607</v>
      </c>
      <c r="G30" s="1" t="str">
        <v>销售费用_日常费用_主播团队激励(6601.37.04)</v>
      </c>
    </row>
    <row r="31">
      <c r="A31" s="1" t="str">
        <v>站内推广费(FY010701)</v>
      </c>
      <c r="B31" s="1" t="str">
        <v>销售费用_营销费用_线上推广费(6601.36.24)</v>
      </c>
      <c r="C31" s="1" t="str">
        <v>销售费用_营销费用_线上推广费(6601.36.24)</v>
      </c>
      <c r="F31" s="1" t="str">
        <v>FY010701</v>
      </c>
      <c r="G31" s="1" t="str">
        <v>销售费用_营销费用_线上推广费(6601.36.24)</v>
      </c>
    </row>
    <row r="32">
      <c r="A32" s="1" t="str">
        <v>站外推广费(FY010702)</v>
      </c>
      <c r="B32" s="1" t="str">
        <v>销售费用_营销费用_线上推广费(6601.36.24)</v>
      </c>
      <c r="C32" s="1" t="str">
        <v>销售费用_营销费用_线上推广费(6601.36.24)</v>
      </c>
      <c r="F32" s="1" t="str">
        <v>FY010702</v>
      </c>
      <c r="G32" s="1" t="str">
        <v>销售费用_营销费用_线上推广费(6601.36.24)</v>
      </c>
    </row>
    <row r="33">
      <c r="A33" s="1" t="str">
        <v>代运营服务费(FY010703)</v>
      </c>
      <c r="B33" s="1" t="str">
        <v>销售费用_营销费用_代运营服务费(6601.36.05)</v>
      </c>
      <c r="C33" s="1" t="str">
        <v>销售费用_营销费用_代运营服务费(6601.36.05)</v>
      </c>
      <c r="F33" s="1" t="str">
        <v>FY010703</v>
      </c>
      <c r="G33" s="1" t="str">
        <v>销售费用_营销费用_代运营服务费(6601.36.05)</v>
      </c>
    </row>
    <row r="34">
      <c r="A34" s="1" t="str">
        <v>直播服务费(FY010704)</v>
      </c>
      <c r="B34" s="1" t="str">
        <v>销售费用_营销费用_直播服务费(6601.36.28)</v>
      </c>
      <c r="C34" s="1" t="str">
        <v>销售费用_营销费用_直播服务费(6601.36.28)</v>
      </c>
      <c r="F34" s="1" t="str">
        <v>FY010704</v>
      </c>
      <c r="G34" s="1" t="str">
        <v>销售费用_营销费用_直播服务费(6601.36.28)</v>
      </c>
    </row>
    <row r="35">
      <c r="A35" s="1" t="str">
        <v>直播坑位费(FY010705)</v>
      </c>
      <c r="B35" s="1" t="str">
        <v>销售费用_营销费用_直播坑位费(6601.36.31)</v>
      </c>
      <c r="C35" s="1" t="str">
        <v>销售费用_营销费用_直播坑位费(6601.36.31)</v>
      </c>
      <c r="F35" s="1" t="str">
        <v>FY010705</v>
      </c>
      <c r="G35" s="1" t="str">
        <v>销售费用_营销费用_直播坑位费(6601.36.31)</v>
      </c>
    </row>
    <row r="36">
      <c r="A36" s="1" t="str">
        <v>线下推广费(FY010706)</v>
      </c>
      <c r="B36" s="1" t="str">
        <v>销售费用_营销费用_线下推广费(6601.36.25)</v>
      </c>
      <c r="C36" s="1" t="str">
        <v>销售费用_营销费用_线下推广费(6601.36.25)</v>
      </c>
      <c r="F36" s="1" t="str">
        <v>FY010706</v>
      </c>
      <c r="G36" s="1" t="str">
        <v>销售费用_营销费用_线下推广费(6601.36.25)</v>
      </c>
    </row>
    <row r="37">
      <c r="A37" s="1" t="str">
        <v>代运营佣金(FY010707)</v>
      </c>
      <c r="B37" s="1" t="str">
        <v>销售费用_营销费用_代运营佣金(6601.36.06)</v>
      </c>
      <c r="C37" s="1" t="str">
        <v>销售费用_营销费用_代运营佣金(6601.36.06)</v>
      </c>
      <c r="F37" s="1" t="str">
        <v>FY010707</v>
      </c>
      <c r="G37" s="1" t="str">
        <v>销售费用_营销费用_代运营佣金(6601.36.06)</v>
      </c>
    </row>
    <row r="38">
      <c r="A38" s="1" t="str">
        <v>直播间物料费(FY010708)</v>
      </c>
      <c r="B38" s="1" t="str">
        <v>销售费用_营销费用_直播间物料费(6601.36.30)</v>
      </c>
      <c r="C38" s="1" t="str">
        <v>销售费用_营销费用_直播间物料费(6601.36.30)</v>
      </c>
      <c r="F38" s="1" t="str">
        <v>FY010708</v>
      </c>
      <c r="G38" s="1" t="str">
        <v>销售费用_营销费用_直播间物料费(6601.36.30)</v>
      </c>
    </row>
    <row r="39">
      <c r="A39" s="1" t="str">
        <v>直播间活动费(FY010709)</v>
      </c>
      <c r="B39" s="1" t="str">
        <v>销售费用_营销费用_直播间活动费(6601.36.29)</v>
      </c>
      <c r="C39" s="1" t="str">
        <v>销售费用_营销费用_直播间活动费(6601.36.29)</v>
      </c>
      <c r="F39" s="1" t="str">
        <v>FY010709</v>
      </c>
      <c r="G39" s="1" t="str">
        <v>销售费用_营销费用_直播间活动费(6601.36.29)</v>
      </c>
    </row>
    <row r="40">
      <c r="A40" s="1" t="str">
        <v>授权使用费（FY010610）</v>
      </c>
      <c r="B40" s="1" t="str">
        <v>销售费用_营销费用_授权使用费(6601.36.40)</v>
      </c>
      <c r="C40" s="1" t="str">
        <v>销售费用_营销费用_授权使用费(6601.36.40)</v>
      </c>
      <c r="F40" s="1" t="str">
        <v>FY010610</v>
      </c>
      <c r="G40" s="1" t="str">
        <v>销售费用_营销费用_授权使用费(6601.36.40)</v>
      </c>
    </row>
    <row r="41">
      <c r="A41" s="1" t="str">
        <v>咨询服务费（FY010611）</v>
      </c>
      <c r="B41" s="1" t="str">
        <v>销售费用_营销费用_咨询服务费(6601.36.41)</v>
      </c>
      <c r="C41" s="1" t="str">
        <v>销售费用_营销费用_咨询服务费(6601.36.41)</v>
      </c>
      <c r="F41" s="1" t="str">
        <v>FY010611</v>
      </c>
      <c r="G41" s="1" t="str">
        <v>销售费用_营销费用_咨询服务费(6601.36.41)</v>
      </c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6"/>
    <col collapsed="false" customWidth="true" hidden="false" max="2" min="2" style="0" width="19"/>
    <col collapsed="false" customWidth="true" hidden="false" max="3" min="3" style="0" width="33"/>
    <col collapsed="false" customWidth="true" hidden="false" max="4" min="4" style="0" width="26"/>
  </cols>
  <sheetData>
    <row r="1">
      <c r="A1" s="7" t="str">
        <v>字段</v>
      </c>
      <c r="B1" s="7" t="str">
        <v>字段类别</v>
      </c>
      <c r="C1" s="7" t="str">
        <v>字段解释</v>
      </c>
      <c r="D1" s="7" t="str">
        <v>用途与诉求</v>
      </c>
    </row>
    <row r="2">
      <c r="A2" s="8" t="str">
        <v>费用大类</v>
      </c>
      <c r="B2" s="9" t="str">
        <v>下拉-单选</v>
      </c>
    </row>
    <row customHeight="true" ht="20" r="3">
      <c r="A3" s="8" t="str">
        <v>费用大类编码</v>
      </c>
      <c r="B3" s="9" t="str">
        <v>文本</v>
      </c>
    </row>
    <row r="4">
      <c r="A4" s="8" t="str">
        <v>费用小类</v>
      </c>
      <c r="B4" s="9" t="str">
        <v>下拉-单选</v>
      </c>
    </row>
    <row r="5">
      <c r="A5" s="8" t="str">
        <v>费用小类编码</v>
      </c>
      <c r="B5" s="9" t="str">
        <v>文本</v>
      </c>
    </row>
    <row r="6">
      <c r="A6" s="8" t="str">
        <v>发票类目建议</v>
      </c>
      <c r="B6" s="9" t="str">
        <v>下拉-多选</v>
      </c>
    </row>
    <row r="7">
      <c r="A7" s="8"/>
    </row>
    <row r="8">
      <c r="A8" s="8"/>
    </row>
    <row r="9">
      <c r="A9" s="8"/>
    </row>
    <row r="10">
      <c r="A10" s="8"/>
    </row>
    <row r="11">
      <c r="A11" s="8"/>
    </row>
    <row r="12">
      <c r="A12" s="8"/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</sheetData>
  <dataValidations count="1">
    <dataValidation allowBlank="true" errorStyle="stop" showErrorMessage="true" sqref="B2:B6" type="list">
      <formula1>"文本,下拉-单选,下拉-多选,日期,数值"</formula1>
    </dataValidation>
  </dataValidations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10"/>
    <col collapsed="false" customWidth="true" hidden="false" max="3" min="3" style="0" width="13"/>
    <col collapsed="false" customWidth="true" hidden="false" max="4" min="4" style="0" width="12"/>
    <col collapsed="false" customWidth="true" hidden="false" max="5" min="5" style="0" width="12"/>
    <col collapsed="false" customWidth="true" hidden="false" max="6" min="6" style="0" width="24"/>
    <col collapsed="false" customWidth="true" hidden="false" max="7" min="7" style="0" width="17"/>
    <col collapsed="false" customWidth="true" hidden="false" max="8" min="8" style="0" width="18"/>
  </cols>
  <sheetData>
    <row r="1">
      <c r="A1" s="10" t="str">
        <v>字段</v>
      </c>
      <c r="B1" s="10" t="str">
        <v>是否必填</v>
      </c>
      <c r="C1" s="10" t="str">
        <v>枚举值Code</v>
      </c>
      <c r="D1" s="10" t="str">
        <v>枚举值</v>
      </c>
      <c r="E1" s="10" t="str">
        <v>外键</v>
      </c>
      <c r="F1" s="10" t="str">
        <v>备注说明</v>
      </c>
      <c r="G1" s="11" t="str">
        <v>经分是否需要</v>
      </c>
      <c r="H1" s="11" t="str">
        <v>经分是否需要业务处理</v>
      </c>
      <c r="I1" s="11" t="str">
        <v>经分处理逻辑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>
      <c r="A2" s="15" t="str">
        <v>费用大类</v>
      </c>
      <c r="B2" s="12" t="str">
        <v>Y</v>
      </c>
      <c r="C2" s="14" t="str">
        <v>01</v>
      </c>
      <c r="D2" s="8"/>
      <c r="E2" s="12" t="str">
        <v>NA</v>
      </c>
      <c r="F2" s="12" t="str">
        <v>枚举值说明</v>
      </c>
      <c r="G2" s="13" t="str">
        <v>Y</v>
      </c>
      <c r="H2" s="13" t="str">
        <v>Y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>
      <c r="A3" s="15"/>
      <c r="B3" s="12"/>
      <c r="C3" s="14" t="str">
        <v>02</v>
      </c>
      <c r="D3" s="9"/>
      <c r="E3" s="12"/>
      <c r="F3" s="12"/>
      <c r="G3" s="13"/>
      <c r="H3" s="13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>
      <c r="A4" s="15"/>
      <c r="B4" s="12"/>
      <c r="C4" s="14" t="str">
        <v>03</v>
      </c>
      <c r="D4" s="9"/>
      <c r="E4" s="12"/>
      <c r="F4" s="12"/>
      <c r="G4" s="13"/>
      <c r="H4" s="13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>
      <c r="A5" s="15"/>
      <c r="B5" s="12"/>
      <c r="C5" s="14" t="str">
        <v>04</v>
      </c>
      <c r="D5" s="9"/>
      <c r="E5" s="12"/>
      <c r="F5" s="12"/>
      <c r="G5" s="13"/>
      <c r="H5" s="13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s="15"/>
      <c r="B6" s="12"/>
      <c r="C6" s="14" t="str">
        <v>05</v>
      </c>
      <c r="D6" s="9"/>
      <c r="E6" s="12"/>
      <c r="F6" s="12"/>
      <c r="G6" s="13"/>
      <c r="H6" s="13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>
      <c r="A7" s="9" t="str">
        <v>费用小类</v>
      </c>
      <c r="B7" s="9"/>
      <c r="C7" s="9"/>
      <c r="D7" s="9"/>
      <c r="E7" s="9" t="str">
        <v>费用大类编码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</row>
  </sheetData>
  <mergeCells>
    <mergeCell ref="I2:I6"/>
    <mergeCell ref="H2:H6"/>
    <mergeCell ref="G2:G6"/>
    <mergeCell ref="F2:F6"/>
    <mergeCell ref="E2:E6"/>
    <mergeCell ref="B2:B6"/>
    <mergeCell ref="A2:A6"/>
  </mergeCells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15"/>
    <col collapsed="false" customWidth="true" hidden="false" max="3" min="3" style="0" width="15"/>
    <col collapsed="false" customWidth="true" hidden="false" max="4" min="4" style="0" width="13"/>
    <col collapsed="false" customWidth="true" hidden="false" max="5" min="5" style="0" width="37"/>
    <col collapsed="false" customWidth="true" hidden="false" max="6" min="6" style="0" width="15"/>
    <col collapsed="false" customWidth="true" hidden="false" max="7" min="7" style="0" width="27"/>
    <col collapsed="false" customWidth="true" hidden="false" max="8" min="8" style="0" width="13"/>
    <col collapsed="false" customWidth="true" hidden="false" max="12" min="12" style="0" width="32"/>
    <col collapsed="false" customWidth="true" hidden="false" max="13" min="13" style="0" width="14"/>
    <col collapsed="false" customWidth="true" hidden="false" max="14" min="14" style="0" width="8"/>
    <col collapsed="false" customWidth="true" hidden="false" max="15" min="15" style="0" width="25"/>
    <col collapsed="false" customWidth="true" hidden="false" max="16" min="16" style="0" width="8"/>
    <col collapsed="false" customWidth="true" hidden="false" max="17" min="17" style="0" width="8"/>
    <col collapsed="false" customWidth="true" hidden="false" max="18" min="18" style="0" width="8"/>
    <col collapsed="false" customWidth="true" hidden="false" max="19" min="19" style="0" width="8"/>
    <col collapsed="false" customWidth="true" hidden="false" max="20" min="20" style="0" width="8"/>
    <col collapsed="false" customWidth="true" hidden="false" max="21" min="21" style="0" width="8"/>
    <col collapsed="false" customWidth="true" hidden="false" max="22" min="22" style="0" width="8"/>
    <col collapsed="false" customWidth="true" hidden="false" max="23" min="23" style="0" width="8"/>
    <col collapsed="false" customWidth="true" hidden="false" max="24" min="24" style="0" width="8"/>
    <col collapsed="false" customWidth="true" hidden="false" max="25" min="25" style="0" width="8"/>
    <col collapsed="false" customWidth="true" hidden="false" max="26" min="26" style="0" width="8"/>
    <col collapsed="false" customWidth="true" hidden="false" max="27" min="27" style="0" width="8"/>
  </cols>
  <sheetData>
    <row r="1">
      <c r="A1" s="52" t="str">
        <v>序号</v>
      </c>
      <c r="B1" s="52" t="str">
        <v>费用大类</v>
      </c>
      <c r="C1" s="52" t="str">
        <v>费用小类</v>
      </c>
      <c r="D1" s="52" t="str">
        <v>费用类别</v>
      </c>
      <c r="E1" s="54" t="str">
        <v>营销活动场景</v>
      </c>
      <c r="F1" s="55" t="str">
        <v>一级预算科目</v>
      </c>
      <c r="G1" s="55" t="str">
        <v>二级预算科目</v>
      </c>
      <c r="H1" s="52" t="str">
        <v>一级部门</v>
      </c>
      <c r="I1" s="52" t="str">
        <v>二级部门</v>
      </c>
      <c r="J1" s="52" t="str">
        <v>三级部门</v>
      </c>
      <c r="K1" s="52" t="str">
        <v>四级部门</v>
      </c>
      <c r="L1" s="53" t="str">
        <v>会计科目（新）</v>
      </c>
      <c r="M1" s="53" t="str">
        <v>科目编码（新）</v>
      </c>
      <c r="N1" s="53" t="str">
        <v>是否允许无票</v>
      </c>
      <c r="O1" s="53" t="str">
        <v>发票类目建议</v>
      </c>
      <c r="P1" s="53" t="str">
        <v>费控系统表单字段要求</v>
      </c>
      <c r="Q1" s="53"/>
      <c r="R1" s="53"/>
      <c r="S1" s="53"/>
      <c r="T1" s="53"/>
      <c r="U1" s="53"/>
      <c r="V1" s="53" t="str">
        <v>财务入账科目字段要求</v>
      </c>
      <c r="W1" s="53"/>
      <c r="X1" s="53"/>
      <c r="Y1" s="53"/>
      <c r="Z1" s="53"/>
      <c r="AA1" s="53"/>
    </row>
    <row r="2">
      <c r="A2" s="52"/>
      <c r="B2" s="52"/>
      <c r="C2" s="52"/>
      <c r="D2" s="52"/>
      <c r="E2" s="54"/>
      <c r="F2" s="55"/>
      <c r="G2" s="55"/>
      <c r="H2" s="52"/>
      <c r="I2" s="52"/>
      <c r="J2" s="52"/>
      <c r="K2" s="52"/>
      <c r="L2" s="53"/>
      <c r="M2" s="53"/>
      <c r="N2" s="53"/>
      <c r="O2" s="53"/>
      <c r="P2" s="53" t="str">
        <v>项目</v>
      </c>
      <c r="Q2" s="53" t="str">
        <v>一级部门</v>
      </c>
      <c r="R2" s="53" t="str">
        <v>二级部门</v>
      </c>
      <c r="S2" s="53" t="str">
        <v>品牌</v>
      </c>
      <c r="T2" s="53" t="str">
        <v>店铺</v>
      </c>
      <c r="U2" s="53" t="str">
        <v>广宣</v>
      </c>
      <c r="V2" s="53" t="str">
        <v>项目</v>
      </c>
      <c r="W2" s="53" t="str">
        <v>一级部门</v>
      </c>
      <c r="X2" s="53" t="str">
        <v>二级部门</v>
      </c>
      <c r="Y2" s="53" t="str">
        <v>品牌</v>
      </c>
      <c r="Z2" s="53" t="str">
        <v>店铺</v>
      </c>
      <c r="AA2" s="53" t="str">
        <v>广宣</v>
      </c>
    </row>
    <row r="3">
      <c r="A3" s="16">
        <f>ROW(B3)-2</f>
      </c>
      <c r="B3" s="19" t="str">
        <v>媒介宣传费</v>
      </c>
      <c r="C3" s="19" t="str">
        <v>线上媒介费</v>
      </c>
      <c r="D3" s="16" t="str">
        <v>营销费用</v>
      </c>
      <c r="E3" s="17" t="str">
        <v>抖音品牌信息流</v>
      </c>
      <c r="F3" s="18" t="str">
        <v>品牌媒介</v>
      </c>
      <c r="G3" s="18" t="str">
        <v>线上品宣媒介</v>
      </c>
      <c r="H3" s="16" t="str">
        <v>品牌运营中心</v>
      </c>
      <c r="I3" s="16" t="str">
        <v>市场广告推广部</v>
      </c>
      <c r="J3" s="16" t="str">
        <v>广告投放部</v>
      </c>
      <c r="K3" s="16" t="str">
        <v>媒介部</v>
      </c>
      <c r="L3" s="17" t="str">
        <v>销售费用_营销费用_线上推广费</v>
      </c>
      <c r="M3" s="17" t="str">
        <v>6601.36.24</v>
      </c>
      <c r="N3" s="17"/>
      <c r="O3" s="17" t="str">
        <v>技术服务费？服务费？</v>
      </c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>
      <c r="A4" s="16">
        <f>ROW(B4)-2</f>
      </c>
      <c r="B4" s="19" t="str">
        <v>媒介宣传费</v>
      </c>
      <c r="C4" s="19" t="str">
        <v>线上媒介费</v>
      </c>
      <c r="D4" s="16" t="str">
        <v>营销费用</v>
      </c>
      <c r="E4" s="36" t="str">
        <v>快手品牌信息流</v>
      </c>
      <c r="F4" s="18" t="str">
        <v>品牌媒介</v>
      </c>
      <c r="G4" s="18" t="str">
        <v>线上品宣媒介</v>
      </c>
      <c r="H4" s="16" t="str">
        <v>品牌运营中心</v>
      </c>
      <c r="I4" s="16" t="str">
        <v>市场广告推广部</v>
      </c>
      <c r="J4" s="16" t="str">
        <v>广告投放部</v>
      </c>
      <c r="K4" s="16" t="str">
        <v>媒介部</v>
      </c>
      <c r="L4" s="17" t="str">
        <v>销售费用_营销费用_线上推广费</v>
      </c>
      <c r="M4" s="17" t="str">
        <v>6601.36.24</v>
      </c>
      <c r="N4" s="17"/>
      <c r="O4" s="17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A5" s="16">
        <f>ROW(B5)-2</f>
      </c>
      <c r="B5" s="19" t="str">
        <v>媒介宣传费</v>
      </c>
      <c r="C5" s="19" t="str">
        <v>线上媒介费</v>
      </c>
      <c r="D5" s="16" t="str">
        <v>营销费用</v>
      </c>
      <c r="E5" s="17" t="str">
        <v>开屏类广告</v>
      </c>
      <c r="F5" s="18" t="str">
        <v>品牌媒介</v>
      </c>
      <c r="G5" s="18" t="str">
        <v>线上品宣媒介</v>
      </c>
      <c r="H5" s="16" t="str">
        <v>品牌运营中心</v>
      </c>
      <c r="I5" s="16" t="str">
        <v>市场广告推广部</v>
      </c>
      <c r="J5" s="16" t="str">
        <v>广告投放部</v>
      </c>
      <c r="K5" s="16" t="str">
        <v>媒介部</v>
      </c>
      <c r="L5" s="17" t="str">
        <v>销售费用_营销费用_线上推广费</v>
      </c>
      <c r="M5" s="17" t="str">
        <v>6601.36.24</v>
      </c>
      <c r="N5" s="17"/>
      <c r="O5" s="17" t="str">
        <v>广告发布费</v>
      </c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A6" s="16">
        <f>ROW(B6)-2</f>
      </c>
      <c r="B6" s="19" t="str">
        <v>媒介宣传费</v>
      </c>
      <c r="C6" s="19" t="str">
        <v>线上媒介费</v>
      </c>
      <c r="D6" s="16" t="str">
        <v>营销费用</v>
      </c>
      <c r="E6" s="17" t="str">
        <v>程序化投放</v>
      </c>
      <c r="F6" s="18" t="str">
        <v>品牌媒介</v>
      </c>
      <c r="G6" s="18" t="str">
        <v>线上品宣媒介</v>
      </c>
      <c r="H6" s="16" t="str">
        <v>品牌运营中心</v>
      </c>
      <c r="I6" s="16" t="str">
        <v>市场广告推广部</v>
      </c>
      <c r="J6" s="16" t="str">
        <v>广告投放部</v>
      </c>
      <c r="K6" s="16" t="str">
        <v>媒介部</v>
      </c>
      <c r="L6" s="17" t="str">
        <v>销售费用_营销费用_线上推广费</v>
      </c>
      <c r="M6" s="17" t="str">
        <v>6601.36.24</v>
      </c>
      <c r="N6" s="17"/>
      <c r="O6" s="17" t="str">
        <v>广告发布费</v>
      </c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A7" s="16">
        <f>ROW(B7)-2</f>
      </c>
      <c r="B7" s="19" t="str">
        <v>媒介宣传费</v>
      </c>
      <c r="C7" s="19" t="str">
        <v>线上媒介费</v>
      </c>
      <c r="D7" s="16" t="str">
        <v>营销费用</v>
      </c>
      <c r="E7" s="17" t="str">
        <v>OTT广告</v>
      </c>
      <c r="F7" s="18" t="str">
        <v>品牌媒介</v>
      </c>
      <c r="G7" s="18" t="str">
        <v>线上品宣媒介</v>
      </c>
      <c r="H7" s="16" t="str">
        <v>品牌运营中心</v>
      </c>
      <c r="I7" s="16" t="str">
        <v>市场广告推广部</v>
      </c>
      <c r="J7" s="16" t="str">
        <v>广告投放部</v>
      </c>
      <c r="K7" s="16" t="str">
        <v>媒介部</v>
      </c>
      <c r="L7" s="17" t="str">
        <v>销售费用_营销费用_线上推广费</v>
      </c>
      <c r="M7" s="17" t="str">
        <v>6601.36.24</v>
      </c>
      <c r="N7" s="17"/>
      <c r="O7" s="17" t="str">
        <v>广告发布费</v>
      </c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16">
        <f>ROW(B8)-2</f>
      </c>
      <c r="B8" s="19" t="str">
        <v>媒介宣传费</v>
      </c>
      <c r="C8" s="19" t="str">
        <v>线上媒介费</v>
      </c>
      <c r="D8" s="16" t="str">
        <v>营销费用</v>
      </c>
      <c r="E8" s="36" t="str">
        <v>OTV广告</v>
      </c>
      <c r="F8" s="18" t="str">
        <v>品牌媒介</v>
      </c>
      <c r="G8" s="18" t="str">
        <v>线上品宣媒介</v>
      </c>
      <c r="H8" s="16" t="str">
        <v>品牌运营中心</v>
      </c>
      <c r="I8" s="16" t="str">
        <v>市场广告推广部</v>
      </c>
      <c r="J8" s="16" t="str">
        <v>广告投放部</v>
      </c>
      <c r="K8" s="16" t="str">
        <v>媒介部</v>
      </c>
      <c r="L8" s="17" t="str">
        <v>销售费用_营销费用_线上推广费</v>
      </c>
      <c r="M8" s="17" t="str">
        <v>6601.36.24</v>
      </c>
      <c r="N8" s="17"/>
      <c r="O8" s="17" t="str">
        <v>广告发布费</v>
      </c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A9" s="16">
        <f>ROW(B9)-2</f>
      </c>
      <c r="B9" s="26" t="str">
        <v>媒介宣传费</v>
      </c>
      <c r="C9" s="26" t="str">
        <v>线上媒介费</v>
      </c>
      <c r="D9" s="28" t="str">
        <v>营销费用</v>
      </c>
      <c r="E9" s="27" t="str">
        <v>商业化资源包合作</v>
      </c>
      <c r="F9" s="18" t="str">
        <v>品牌媒介</v>
      </c>
      <c r="G9" s="18" t="str">
        <v>线上品宣媒介</v>
      </c>
      <c r="H9" s="16" t="str">
        <v>品牌运营中心</v>
      </c>
      <c r="I9" s="16" t="str">
        <v>市场广告推广部</v>
      </c>
      <c r="J9" s="16" t="str">
        <v>广告投放部</v>
      </c>
      <c r="K9" s="16" t="str">
        <v>媒介部</v>
      </c>
      <c r="L9" s="17" t="str">
        <v>销售费用_营销费用_线上推广费</v>
      </c>
      <c r="M9" s="17" t="str">
        <v>6601.36.24</v>
      </c>
      <c r="N9" s="17"/>
      <c r="O9" s="17" t="str">
        <v>广告发布费</v>
      </c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A10" s="16">
        <f>ROW(B10)-2</f>
      </c>
      <c r="B10" s="26" t="str">
        <v>媒介宣传费</v>
      </c>
      <c r="C10" s="26" t="str">
        <v>线上媒介费</v>
      </c>
      <c r="D10" s="28" t="str">
        <v>营销费用</v>
      </c>
      <c r="E10" s="27" t="str">
        <v>广告效果监测</v>
      </c>
      <c r="F10" s="18" t="str">
        <v>品牌媒介</v>
      </c>
      <c r="G10" s="18" t="str">
        <v>线上品宣媒介</v>
      </c>
      <c r="H10" s="16" t="str">
        <v>品牌运营中心</v>
      </c>
      <c r="I10" s="16" t="str">
        <v>市场广告推广部</v>
      </c>
      <c r="J10" s="16" t="str">
        <v>广告投放部</v>
      </c>
      <c r="K10" s="16" t="str">
        <v>媒介部</v>
      </c>
      <c r="L10" s="17" t="str">
        <v>销售费用_营销费用_线上推广费</v>
      </c>
      <c r="M10" s="17" t="str">
        <v>6601.36.24</v>
      </c>
      <c r="N10" s="17"/>
      <c r="O10" s="17" t="str">
        <v>广告发布费</v>
      </c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16">
        <f>ROW(B11)-2</f>
      </c>
      <c r="B11" s="19" t="str">
        <v>媒介宣传费</v>
      </c>
      <c r="C11" s="19" t="str">
        <v>线下媒介费</v>
      </c>
      <c r="D11" s="16" t="str">
        <v>营销费用</v>
      </c>
      <c r="E11" s="17" t="str">
        <v>电梯广告</v>
      </c>
      <c r="F11" s="18" t="str">
        <v>品牌媒介</v>
      </c>
      <c r="G11" s="18" t="str">
        <v>线下品宣媒介</v>
      </c>
      <c r="H11" s="16" t="str">
        <v>品牌运营中心</v>
      </c>
      <c r="I11" s="16" t="str">
        <v>市场广告推广部</v>
      </c>
      <c r="J11" s="16" t="str">
        <v>广告投放部</v>
      </c>
      <c r="K11" s="16" t="str">
        <v>媒介部</v>
      </c>
      <c r="L11" s="17" t="str">
        <v>销售费用_营销费用_线下推广费</v>
      </c>
      <c r="M11" s="17" t="str">
        <v>6601.36.25</v>
      </c>
      <c r="N11" s="17"/>
      <c r="O11" s="17" t="str">
        <v>广告发布费</v>
      </c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16">
        <f>ROW(B12)-2</f>
      </c>
      <c r="B12" s="19" t="str">
        <v>媒介宣传费</v>
      </c>
      <c r="C12" s="19" t="str">
        <v>线下媒介费</v>
      </c>
      <c r="D12" s="16" t="str">
        <v>营销费用</v>
      </c>
      <c r="E12" s="17" t="str">
        <v>电影院广告</v>
      </c>
      <c r="F12" s="18" t="str">
        <v>品牌媒介</v>
      </c>
      <c r="G12" s="18" t="str">
        <v>线下品宣媒介</v>
      </c>
      <c r="H12" s="16" t="str">
        <v>品牌运营中心</v>
      </c>
      <c r="I12" s="16" t="str">
        <v>市场广告推广部</v>
      </c>
      <c r="J12" s="16" t="str">
        <v>广告投放部</v>
      </c>
      <c r="K12" s="16" t="str">
        <v>媒介部</v>
      </c>
      <c r="L12" s="17" t="str">
        <v>销售费用_营销费用_线下推广费</v>
      </c>
      <c r="M12" s="17" t="str">
        <v>6601.36.25</v>
      </c>
      <c r="N12" s="17"/>
      <c r="O12" s="17" t="str">
        <v>广告发布费</v>
      </c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16">
        <f>ROW(B13)-2</f>
      </c>
      <c r="B13" s="19" t="str">
        <v>媒介宣传费</v>
      </c>
      <c r="C13" s="19" t="str">
        <v>线下媒介费</v>
      </c>
      <c r="D13" s="16" t="str">
        <v>营销费用</v>
      </c>
      <c r="E13" s="17" t="str">
        <v>地标广告</v>
      </c>
      <c r="F13" s="18" t="str">
        <v>品牌媒介</v>
      </c>
      <c r="G13" s="18" t="str">
        <v>线下品宣媒介</v>
      </c>
      <c r="H13" s="16" t="str">
        <v>品牌运营中心</v>
      </c>
      <c r="I13" s="16" t="str">
        <v>市场广告推广部</v>
      </c>
      <c r="J13" s="16" t="str">
        <v>广告投放部</v>
      </c>
      <c r="K13" s="16" t="str">
        <v>媒介部</v>
      </c>
      <c r="L13" s="17" t="str">
        <v>销售费用_营销费用_线下推广费</v>
      </c>
      <c r="M13" s="17" t="str">
        <v>6601.36.25</v>
      </c>
      <c r="N13" s="17"/>
      <c r="O13" s="17" t="str">
        <v>广告发布费</v>
      </c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16">
        <f>ROW(B14)-2</f>
      </c>
      <c r="B14" s="19" t="str">
        <v>品牌宣传费</v>
      </c>
      <c r="C14" s="19" t="str">
        <v>市场调研费</v>
      </c>
      <c r="D14" s="16" t="str">
        <v>营销费用</v>
      </c>
      <c r="E14" s="17" t="str">
        <v>投放策略调研</v>
      </c>
      <c r="F14" s="18" t="str">
        <v>品牌媒介</v>
      </c>
      <c r="G14" s="18" t="str">
        <v>调研费（其他非标）</v>
      </c>
      <c r="H14" s="16" t="str">
        <v>品牌运营中心</v>
      </c>
      <c r="I14" s="16" t="str">
        <v>市场广告推广部</v>
      </c>
      <c r="J14" s="16" t="str">
        <v>策略部</v>
      </c>
      <c r="K14" s="16"/>
      <c r="L14" s="17">
        <f>"销售费用_"&amp;D14&amp;"_"&amp;C14</f>
      </c>
      <c r="M14" s="17" t="str">
        <v>6601.36.20</v>
      </c>
      <c r="N14" s="17"/>
      <c r="O14" s="17" t="str">
        <v>调研服务费</v>
      </c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16">
        <f>ROW(B15)-2</f>
      </c>
      <c r="B15" s="19" t="str">
        <v>内容制作费</v>
      </c>
      <c r="C15" s="19" t="str">
        <v>视频制作费</v>
      </c>
      <c r="D15" s="16" t="str">
        <v>营销费用</v>
      </c>
      <c r="E15" s="17">
        <f>G15&amp;"-"&amp;LEFT(C15,4)</f>
      </c>
      <c r="F15" s="18" t="str">
        <v>品类内容推广</v>
      </c>
      <c r="G15" s="18" t="str">
        <v>AD竞价内容创意</v>
      </c>
      <c r="H15" s="16" t="str">
        <v>品牌运营中心</v>
      </c>
      <c r="I15" s="16" t="str">
        <v>市场广告推广部</v>
      </c>
      <c r="J15" s="16" t="str">
        <v>广告投放部</v>
      </c>
      <c r="K15" s="16" t="str">
        <v>内容策划组</v>
      </c>
      <c r="L15" s="17">
        <f>"销售费用_"&amp;D15&amp;"_"&amp;C15</f>
      </c>
      <c r="M15" s="17" t="str">
        <v>6601.36.21</v>
      </c>
      <c r="N15" s="17"/>
      <c r="O15" s="17">
        <f>C15</f>
      </c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16">
        <f>ROW(B16)-2</f>
      </c>
      <c r="B16" s="19" t="str">
        <v>内容制作费</v>
      </c>
      <c r="C16" s="19" t="str">
        <v>动画制作费</v>
      </c>
      <c r="D16" s="16" t="str">
        <v>营销费用</v>
      </c>
      <c r="E16" s="17">
        <f>G16&amp;"-"&amp;LEFT(C16,4)</f>
      </c>
      <c r="F16" s="18" t="str">
        <v>品类内容推广</v>
      </c>
      <c r="G16" s="18" t="str">
        <v>AD竞价内容创意</v>
      </c>
      <c r="H16" s="16" t="str">
        <v>品牌运营中心</v>
      </c>
      <c r="I16" s="16" t="str">
        <v>市场广告推广部</v>
      </c>
      <c r="J16" s="16" t="str">
        <v>广告投放部</v>
      </c>
      <c r="K16" s="16" t="str">
        <v>内容策划组</v>
      </c>
      <c r="L16" s="17">
        <f>"销售费用_"&amp;D16&amp;"_"&amp;C16</f>
      </c>
      <c r="M16" s="17" t="str">
        <v>6601.36.07</v>
      </c>
      <c r="N16" s="17"/>
      <c r="O16" s="17">
        <f>C16</f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16">
        <f>ROW(B17)-2</f>
      </c>
      <c r="B17" s="19" t="str">
        <v>内容制作费</v>
      </c>
      <c r="C17" s="19" t="str">
        <v>图文平面制作费</v>
      </c>
      <c r="D17" s="16" t="str">
        <v>营销费用</v>
      </c>
      <c r="E17" s="17">
        <f>G17&amp;"-"&amp;LEFT(C17,6)</f>
      </c>
      <c r="F17" s="18" t="str">
        <v>品类内容推广</v>
      </c>
      <c r="G17" s="18" t="str">
        <v>AD竞价内容创意</v>
      </c>
      <c r="H17" s="16" t="str">
        <v>品牌运营中心</v>
      </c>
      <c r="I17" s="16" t="str">
        <v>市场广告推广部</v>
      </c>
      <c r="J17" s="16" t="str">
        <v>广告投放部</v>
      </c>
      <c r="K17" s="16" t="str">
        <v>内容策划组</v>
      </c>
      <c r="L17" s="17">
        <f>"销售费用_"&amp;D17&amp;"_"&amp;C17</f>
      </c>
      <c r="M17" s="17" t="str">
        <v>6601.36.22</v>
      </c>
      <c r="N17" s="17"/>
      <c r="O17" s="17">
        <f>C17</f>
      </c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16">
        <f>ROW(B18)-2</f>
      </c>
      <c r="B18" s="19" t="str">
        <v>内容制作费</v>
      </c>
      <c r="C18" s="19" t="str">
        <v>建模服务费</v>
      </c>
      <c r="D18" s="16" t="str">
        <v>营销费用</v>
      </c>
      <c r="E18" s="17">
        <f>G18&amp;"-"&amp;LEFT(C18,4)</f>
      </c>
      <c r="F18" s="18" t="str">
        <v>品类内容推广</v>
      </c>
      <c r="G18" s="18" t="str">
        <v>AD竞价内容创意</v>
      </c>
      <c r="H18" s="16" t="str">
        <v>品牌运营中心</v>
      </c>
      <c r="I18" s="16" t="str">
        <v>市场广告推广部</v>
      </c>
      <c r="J18" s="16" t="str">
        <v>广告投放部</v>
      </c>
      <c r="K18" s="16" t="str">
        <v>内容策划组</v>
      </c>
      <c r="L18" s="17">
        <f>"销售费用_"&amp;D18&amp;"_"&amp;C18</f>
      </c>
      <c r="M18" s="17" t="str">
        <v>6601.36.10</v>
      </c>
      <c r="N18" s="17"/>
      <c r="O18" s="17">
        <f>C18</f>
      </c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16">
        <f>ROW(B19)-2</f>
      </c>
      <c r="B19" s="19" t="str">
        <v>内容制作费</v>
      </c>
      <c r="C19" s="19" t="str">
        <v>渲染服务费</v>
      </c>
      <c r="D19" s="16" t="str">
        <v>营销费用</v>
      </c>
      <c r="E19" s="17">
        <f>G19&amp;"-"&amp;LEFT(C19,4)</f>
      </c>
      <c r="F19" s="18" t="str">
        <v>品类内容推广</v>
      </c>
      <c r="G19" s="18" t="str">
        <v>AD竞价内容创意</v>
      </c>
      <c r="H19" s="16" t="str">
        <v>品牌运营中心</v>
      </c>
      <c r="I19" s="16" t="str">
        <v>市场广告推广部</v>
      </c>
      <c r="J19" s="16" t="str">
        <v>广告投放部</v>
      </c>
      <c r="K19" s="16" t="str">
        <v>内容策划组</v>
      </c>
      <c r="L19" s="17">
        <f>"销售费用_"&amp;D19&amp;"_"&amp;C19</f>
      </c>
      <c r="M19" s="17" t="str">
        <v>6601.36.26</v>
      </c>
      <c r="N19" s="17"/>
      <c r="O19" s="17">
        <f>C19</f>
      </c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16">
        <f>ROW(B20)-2</f>
      </c>
      <c r="B20" s="19" t="str">
        <v>内容制作费</v>
      </c>
      <c r="C20" s="19" t="str">
        <v>模特服务费</v>
      </c>
      <c r="D20" s="16" t="str">
        <v>营销费用</v>
      </c>
      <c r="E20" s="17">
        <f>G20&amp;"-"&amp;LEFT(C20,4)</f>
      </c>
      <c r="F20" s="18" t="str">
        <v>品类内容推广</v>
      </c>
      <c r="G20" s="18" t="str">
        <v>AD竞价内容创意</v>
      </c>
      <c r="H20" s="16" t="str">
        <v>品牌运营中心</v>
      </c>
      <c r="I20" s="16" t="str">
        <v>市场广告推广部</v>
      </c>
      <c r="J20" s="16" t="str">
        <v>广告投放部</v>
      </c>
      <c r="K20" s="16" t="str">
        <v>内容策划组</v>
      </c>
      <c r="L20" s="17">
        <f>"销售费用_"&amp;D20&amp;"_"&amp;C20</f>
      </c>
      <c r="M20" s="17" t="str">
        <v>6601.36.13</v>
      </c>
      <c r="N20" s="17"/>
      <c r="O20" s="17">
        <f>C20</f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16">
        <f>ROW(B21)-2</f>
      </c>
      <c r="B21" s="19" t="str">
        <v>内容制作费</v>
      </c>
      <c r="C21" s="19" t="str">
        <v>专业人物合作费</v>
      </c>
      <c r="D21" s="16" t="str">
        <v>营销费用</v>
      </c>
      <c r="E21" s="17">
        <f>G21&amp;"-"&amp;LEFT(C21,6)</f>
      </c>
      <c r="F21" s="18" t="str">
        <v>品类内容推广</v>
      </c>
      <c r="G21" s="18" t="str">
        <v>AD竞价内容创意</v>
      </c>
      <c r="H21" s="16" t="str">
        <v>品牌运营中心</v>
      </c>
      <c r="I21" s="16" t="str">
        <v>市场广告推广部</v>
      </c>
      <c r="J21" s="16" t="str">
        <v>广告投放部</v>
      </c>
      <c r="K21" s="16" t="str">
        <v>内容策划组</v>
      </c>
      <c r="L21" s="17">
        <f>"销售费用_"&amp;D21&amp;"_"&amp;C21</f>
      </c>
      <c r="M21" s="17" t="str">
        <v>6601.36.32</v>
      </c>
      <c r="N21" s="17"/>
      <c r="O21" s="17">
        <f>C21</f>
      </c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16">
        <f>ROW(B22)-2</f>
      </c>
      <c r="B22" s="19" t="str">
        <v>内容制作费</v>
      </c>
      <c r="C22" s="19" t="str">
        <v>服化道费用</v>
      </c>
      <c r="D22" s="16" t="str">
        <v>营销费用</v>
      </c>
      <c r="E22" s="17">
        <f>G22&amp;"-"&amp;LEFT(C22,4)</f>
      </c>
      <c r="F22" s="18" t="str">
        <v>品类内容推广</v>
      </c>
      <c r="G22" s="18" t="str">
        <v>AD竞价内容创意</v>
      </c>
      <c r="H22" s="16" t="str">
        <v>品牌运营中心</v>
      </c>
      <c r="I22" s="16" t="str">
        <v>市场广告推广部</v>
      </c>
      <c r="J22" s="16" t="str">
        <v>广告投放部</v>
      </c>
      <c r="K22" s="16" t="str">
        <v>内容策划组</v>
      </c>
      <c r="L22" s="17">
        <f>"销售费用_"&amp;D22&amp;"_"&amp;C22</f>
      </c>
      <c r="M22" s="17" t="str">
        <v>6601.36.08</v>
      </c>
      <c r="N22" s="17"/>
      <c r="O22" s="27" t="str">
        <v>服装费、化妆费、道具费</v>
      </c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16">
        <f>ROW(B23)-2</f>
      </c>
      <c r="B23" s="19" t="str">
        <v>内容制作费</v>
      </c>
      <c r="C23" s="19" t="str">
        <v>拍摄服务费</v>
      </c>
      <c r="D23" s="16" t="str">
        <v>营销费用</v>
      </c>
      <c r="E23" s="17">
        <f>G23&amp;"-"&amp;LEFT(C23,4)</f>
      </c>
      <c r="F23" s="18" t="str">
        <v>品类内容推广</v>
      </c>
      <c r="G23" s="18" t="str">
        <v>AD竞价内容创意</v>
      </c>
      <c r="H23" s="16" t="str">
        <v>品牌运营中心</v>
      </c>
      <c r="I23" s="16" t="str">
        <v>市场广告推广部</v>
      </c>
      <c r="J23" s="16" t="str">
        <v>广告投放部</v>
      </c>
      <c r="K23" s="16" t="str">
        <v>内容策划组</v>
      </c>
      <c r="L23" s="17">
        <f>"销售费用_"&amp;D23&amp;"_"&amp;C23</f>
      </c>
      <c r="M23" s="17" t="str">
        <v>6601.36.15</v>
      </c>
      <c r="N23" s="17"/>
      <c r="O23" s="17">
        <f>C23</f>
      </c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16">
        <f>ROW(B24)-2</f>
      </c>
      <c r="B24" s="19" t="str">
        <v>内容制作费</v>
      </c>
      <c r="C24" s="19" t="str">
        <v>拍摄物料费</v>
      </c>
      <c r="D24" s="16" t="str">
        <v>营销费用</v>
      </c>
      <c r="E24" s="17">
        <f>G24&amp;"-"&amp;LEFT(C24,4)</f>
      </c>
      <c r="F24" s="18" t="str">
        <v>品类内容推广</v>
      </c>
      <c r="G24" s="18" t="str">
        <v>AD竞价内容创意</v>
      </c>
      <c r="H24" s="16" t="str">
        <v>品牌运营中心</v>
      </c>
      <c r="I24" s="16" t="str">
        <v>市场广告推广部</v>
      </c>
      <c r="J24" s="16" t="str">
        <v>广告投放部</v>
      </c>
      <c r="K24" s="16" t="str">
        <v>内容策划组</v>
      </c>
      <c r="L24" s="17">
        <f>"销售费用_"&amp;D24&amp;"_"&amp;C24</f>
      </c>
      <c r="M24" s="17" t="str">
        <v>6601.36.16</v>
      </c>
      <c r="N24" s="17"/>
      <c r="O24" s="17">
        <f>C24</f>
      </c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16">
        <f>ROW(B25)-2</f>
      </c>
      <c r="B25" s="19" t="str">
        <v>内容制作费</v>
      </c>
      <c r="C25" s="19" t="str">
        <v>内容制作费</v>
      </c>
      <c r="D25" s="16" t="str">
        <v>营销费用</v>
      </c>
      <c r="E25" s="17">
        <f>G25&amp;"-"&amp;LEFT(C25,4)</f>
      </c>
      <c r="F25" s="18" t="str">
        <v>品类内容推广</v>
      </c>
      <c r="G25" s="18" t="str">
        <v>AD竞价内容创意</v>
      </c>
      <c r="H25" s="16" t="str">
        <v>品牌运营中心</v>
      </c>
      <c r="I25" s="16" t="str">
        <v>市场广告推广部</v>
      </c>
      <c r="J25" s="16" t="str">
        <v>广告投放部</v>
      </c>
      <c r="K25" s="16" t="str">
        <v>内容策划组</v>
      </c>
      <c r="L25" s="17">
        <f>"销售费用_"&amp;D25&amp;"_"&amp;C25</f>
      </c>
      <c r="M25" s="17" t="str">
        <v>6601.36.14</v>
      </c>
      <c r="N25" s="17"/>
      <c r="O25" s="17">
        <f>C25</f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16">
        <f>ROW(B26)-2</f>
      </c>
      <c r="B26" s="19" t="str">
        <v>达人推广费</v>
      </c>
      <c r="C26" s="19" t="str">
        <v>内容推广费</v>
      </c>
      <c r="D26" s="16" t="str">
        <v>营销费用</v>
      </c>
      <c r="E26" s="17" t="str">
        <v>DOU+</v>
      </c>
      <c r="F26" s="18" t="str">
        <v>品类内容推广</v>
      </c>
      <c r="G26" s="18" t="str">
        <v>内容加热</v>
      </c>
      <c r="H26" s="16" t="str">
        <v>品牌运营中心</v>
      </c>
      <c r="I26" s="16" t="str">
        <v>市场广告推广部</v>
      </c>
      <c r="J26" s="16" t="str">
        <v>市场推广部</v>
      </c>
      <c r="K26" s="16" t="str">
        <v>内容投放组</v>
      </c>
      <c r="L26" s="17" t="str">
        <v>销售费用_营销费用_线上推广费</v>
      </c>
      <c r="M26" s="17" t="str">
        <v>6601.36.24</v>
      </c>
      <c r="N26" s="17"/>
      <c r="O26" s="17" t="str">
        <v>技术服务费？服务费？</v>
      </c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16">
        <f>ROW(B27)-2</f>
      </c>
      <c r="B27" s="19" t="str">
        <v>达人推广费</v>
      </c>
      <c r="C27" s="19" t="str">
        <v>内容推广费</v>
      </c>
      <c r="D27" s="16" t="str">
        <v>营销费用</v>
      </c>
      <c r="E27" s="17" t="str">
        <v>快手作品推荐</v>
      </c>
      <c r="F27" s="18" t="str">
        <v>品类内容推广</v>
      </c>
      <c r="G27" s="18" t="str">
        <v>内容加热</v>
      </c>
      <c r="H27" s="16" t="str">
        <v>品牌运营中心</v>
      </c>
      <c r="I27" s="16" t="str">
        <v>市场广告推广部</v>
      </c>
      <c r="J27" s="16" t="str">
        <v>市场推广部</v>
      </c>
      <c r="K27" s="16" t="str">
        <v>内容投放组</v>
      </c>
      <c r="L27" s="17" t="str">
        <v>销售费用_营销费用_线上推广费</v>
      </c>
      <c r="M27" s="17" t="str">
        <v>6601.36.24</v>
      </c>
      <c r="N27" s="17"/>
      <c r="O27" s="17" t="str">
        <v>技术服务费？服务费？</v>
      </c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16">
        <f>ROW(B28)-2</f>
      </c>
      <c r="B28" s="19" t="str">
        <v>达人推广费</v>
      </c>
      <c r="C28" s="19" t="str">
        <v>内容推广费</v>
      </c>
      <c r="D28" s="16" t="str">
        <v>营销费用</v>
      </c>
      <c r="E28" s="17" t="str">
        <v>内容热推</v>
      </c>
      <c r="F28" s="18" t="str">
        <v>品类内容推广</v>
      </c>
      <c r="G28" s="18" t="str">
        <v>内容加热</v>
      </c>
      <c r="H28" s="16" t="str">
        <v>品牌运营中心</v>
      </c>
      <c r="I28" s="16" t="str">
        <v>市场广告推广部</v>
      </c>
      <c r="J28" s="16" t="str">
        <v>市场推广部</v>
      </c>
      <c r="K28" s="16" t="str">
        <v>内容投放组</v>
      </c>
      <c r="L28" s="17" t="str">
        <v>销售费用_营销费用_线上推广费</v>
      </c>
      <c r="M28" s="17" t="str">
        <v>6601.36.24</v>
      </c>
      <c r="N28" s="17"/>
      <c r="O28" s="17" t="str">
        <v>技术服务费？服务费？</v>
      </c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16">
        <f>ROW(B29)-2</f>
      </c>
      <c r="B29" s="19" t="str">
        <v>达人推广费</v>
      </c>
      <c r="C29" s="19" t="str">
        <v>内容推广费</v>
      </c>
      <c r="D29" s="16" t="str">
        <v>营销费用</v>
      </c>
      <c r="E29" s="17" t="str">
        <v>内容服务</v>
      </c>
      <c r="F29" s="18" t="str">
        <v>品类内容推广</v>
      </c>
      <c r="G29" s="18" t="str">
        <v>内容加热</v>
      </c>
      <c r="H29" s="16" t="str">
        <v>品牌运营中心</v>
      </c>
      <c r="I29" s="16" t="str">
        <v>市场广告推广部</v>
      </c>
      <c r="J29" s="16" t="str">
        <v>市场推广部</v>
      </c>
      <c r="K29" s="16" t="str">
        <v>内容投放组</v>
      </c>
      <c r="L29" s="17" t="str">
        <v>销售费用_营销费用_线上推广费</v>
      </c>
      <c r="M29" s="17" t="str">
        <v>6601.36.24</v>
      </c>
      <c r="N29" s="17"/>
      <c r="O29" s="17" t="str">
        <v>技术服务费？服务费？</v>
      </c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16">
        <f>ROW(B30)-2</f>
      </c>
      <c r="B30" s="19" t="str">
        <v>达人推广费</v>
      </c>
      <c r="C30" s="19" t="str">
        <v>内容推广费</v>
      </c>
      <c r="D30" s="16" t="str">
        <v>营销费用</v>
      </c>
      <c r="E30" s="17" t="str">
        <v>星聚力</v>
      </c>
      <c r="F30" s="18" t="str">
        <v>品类内容推广</v>
      </c>
      <c r="G30" s="18" t="str">
        <v>内容加热</v>
      </c>
      <c r="H30" s="16" t="str">
        <v>品牌运营中心</v>
      </c>
      <c r="I30" s="16" t="str">
        <v>市场广告推广部</v>
      </c>
      <c r="J30" s="16" t="str">
        <v>市场推广部</v>
      </c>
      <c r="K30" s="16" t="str">
        <v>内容投放组</v>
      </c>
      <c r="L30" s="17" t="str">
        <v>销售费用_营销费用_线上推广费</v>
      </c>
      <c r="M30" s="17" t="str">
        <v>6601.36.24</v>
      </c>
      <c r="N30" s="17"/>
      <c r="O30" s="17" t="str">
        <v>技术服务费？服务费？</v>
      </c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16">
        <f>ROW(B31)-2</f>
      </c>
      <c r="B31" s="19" t="str">
        <v>达人推广费</v>
      </c>
      <c r="C31" s="19" t="str">
        <v>内容推广费</v>
      </c>
      <c r="D31" s="16" t="str">
        <v>营销费用</v>
      </c>
      <c r="E31" s="17" t="str">
        <v>小红书加热</v>
      </c>
      <c r="F31" s="31" t="str">
        <v>品类内容推广</v>
      </c>
      <c r="G31" s="31" t="str">
        <v>其他新媒体加热</v>
      </c>
      <c r="H31" s="30" t="str">
        <v>品牌运营中心</v>
      </c>
      <c r="I31" s="16" t="str">
        <v>市场广告推广部</v>
      </c>
      <c r="J31" s="16" t="str">
        <v>市场推广部</v>
      </c>
      <c r="K31" s="16" t="str">
        <v>内容投放组</v>
      </c>
      <c r="L31" s="17" t="str">
        <v>销售费用_营销费用_线上推广费</v>
      </c>
      <c r="M31" s="17" t="str">
        <v>6601.36.24</v>
      </c>
      <c r="N31" s="17"/>
      <c r="O31" s="17" t="str">
        <v>技术服务费？服务费？</v>
      </c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16">
        <f>ROW(B32)-2</f>
      </c>
      <c r="B32" s="19" t="str">
        <v>达人推广费</v>
      </c>
      <c r="C32" s="19" t="str">
        <v>内容推广费</v>
      </c>
      <c r="D32" s="16" t="str">
        <v>营销费用</v>
      </c>
      <c r="E32" s="17" t="str">
        <v>B站起飞加热</v>
      </c>
      <c r="F32" s="31" t="str">
        <v>品类内容推广</v>
      </c>
      <c r="G32" s="31" t="str">
        <v>其他新媒体加热</v>
      </c>
      <c r="H32" s="30" t="str">
        <v>品牌运营中心</v>
      </c>
      <c r="I32" s="16" t="str">
        <v>市场广告推广部</v>
      </c>
      <c r="J32" s="16" t="str">
        <v>市场推广部</v>
      </c>
      <c r="K32" s="16" t="str">
        <v>内容投放组</v>
      </c>
      <c r="L32" s="17" t="str">
        <v>销售费用_营销费用_线上推广费</v>
      </c>
      <c r="M32" s="17" t="str">
        <v>6601.36.24</v>
      </c>
      <c r="N32" s="17"/>
      <c r="O32" s="17" t="str">
        <v>技术服务费？服务费？</v>
      </c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16">
        <f>ROW(B33)-2</f>
      </c>
      <c r="B33" s="19" t="str">
        <v>达人推广费</v>
      </c>
      <c r="C33" s="19" t="str">
        <v>内容推广费</v>
      </c>
      <c r="D33" s="16" t="str">
        <v>营销费用</v>
      </c>
      <c r="E33" s="17" t="str">
        <v>微博粉条</v>
      </c>
      <c r="F33" s="31" t="str">
        <v>品类内容推广</v>
      </c>
      <c r="G33" s="31" t="str">
        <v>其他新媒体加热</v>
      </c>
      <c r="H33" s="30" t="str">
        <v>品牌运营中心</v>
      </c>
      <c r="I33" s="16" t="str">
        <v>市场广告推广部</v>
      </c>
      <c r="J33" s="16" t="str">
        <v>市场推广部</v>
      </c>
      <c r="K33" s="16" t="str">
        <v>内容投放组</v>
      </c>
      <c r="L33" s="17" t="str">
        <v>销售费用_营销费用_线上推广费</v>
      </c>
      <c r="M33" s="17" t="str">
        <v>6601.36.24</v>
      </c>
      <c r="N33" s="17"/>
      <c r="O33" s="17" t="str">
        <v>技术服务费？服务费？</v>
      </c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16">
        <f>ROW(B34)-2</f>
      </c>
      <c r="B34" s="19" t="str">
        <v>达人推广费</v>
      </c>
      <c r="C34" s="19" t="str">
        <v>内容推广费</v>
      </c>
      <c r="D34" s="16" t="str">
        <v>营销费用</v>
      </c>
      <c r="E34" s="17" t="str">
        <v>粉丝通</v>
      </c>
      <c r="F34" s="31" t="str">
        <v>品类内容推广</v>
      </c>
      <c r="G34" s="31" t="str">
        <v>其他新媒体加热</v>
      </c>
      <c r="H34" s="30" t="str">
        <v>品牌运营中心</v>
      </c>
      <c r="I34" s="16" t="str">
        <v>市场广告推广部</v>
      </c>
      <c r="J34" s="16" t="str">
        <v>市场推广部</v>
      </c>
      <c r="K34" s="16" t="str">
        <v>内容投放组</v>
      </c>
      <c r="L34" s="17" t="str">
        <v>销售费用_营销费用_线上推广费</v>
      </c>
      <c r="M34" s="17" t="str">
        <v>6601.36.24</v>
      </c>
      <c r="N34" s="17"/>
      <c r="O34" s="17" t="str">
        <v>技术服务费？服务费？</v>
      </c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16">
        <f>ROW(B35)-2</f>
      </c>
      <c r="B35" s="19" t="str">
        <v>达人推广费</v>
      </c>
      <c r="C35" s="19" t="str">
        <v>内容推广费</v>
      </c>
      <c r="D35" s="16" t="str">
        <v>营销费用</v>
      </c>
      <c r="E35" s="17" t="str">
        <v>微博搜索</v>
      </c>
      <c r="F35" s="31" t="str">
        <v>品类内容推广</v>
      </c>
      <c r="G35" s="31" t="str">
        <v>其他新媒体加热</v>
      </c>
      <c r="H35" s="30" t="str">
        <v>品牌运营中心</v>
      </c>
      <c r="I35" s="16" t="str">
        <v>市场广告推广部</v>
      </c>
      <c r="J35" s="16" t="str">
        <v>市场推广部</v>
      </c>
      <c r="K35" s="16" t="str">
        <v>内容投放组</v>
      </c>
      <c r="L35" s="17" t="str">
        <v>销售费用_营销费用_线上推广费</v>
      </c>
      <c r="M35" s="17" t="str">
        <v>6601.36.24</v>
      </c>
      <c r="N35" s="17"/>
      <c r="O35" s="17" t="str">
        <v>技术服务费？服务费？</v>
      </c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16">
        <f>ROW(B36)-2</f>
      </c>
      <c r="B36" s="19" t="str">
        <v>渠道推广费</v>
      </c>
      <c r="C36" s="21" t="str">
        <v>站内推广费</v>
      </c>
      <c r="D36" s="16" t="str">
        <v>营销费用</v>
      </c>
      <c r="E36" s="17" t="str">
        <v>天猫-直通车</v>
      </c>
      <c r="F36" s="18" t="str">
        <v>平台电商推广</v>
      </c>
      <c r="G36" s="18" t="str">
        <v>淘内-推广</v>
      </c>
      <c r="H36" s="16" t="str">
        <v>品牌运营中心</v>
      </c>
      <c r="I36" s="16" t="str">
        <v>运营策略部</v>
      </c>
      <c r="J36" s="16" t="str">
        <v>天猫运营部</v>
      </c>
      <c r="K36" s="16" t="str">
        <v>天猫推广组</v>
      </c>
      <c r="L36" s="17" t="str">
        <v>销售费用_营销费用_线上推广费</v>
      </c>
      <c r="M36" s="17" t="str">
        <v>6601.36.24</v>
      </c>
      <c r="N36" s="17"/>
      <c r="O36" s="17" t="str">
        <v>技术服务费？服务费？</v>
      </c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16">
        <f>ROW(B37)-2</f>
      </c>
      <c r="B37" s="19" t="str">
        <v>渠道推广费</v>
      </c>
      <c r="C37" s="21" t="str">
        <v>站内推广费</v>
      </c>
      <c r="D37" s="16" t="str">
        <v>营销费用</v>
      </c>
      <c r="E37" s="17" t="str">
        <v>天猫-引力魔方</v>
      </c>
      <c r="F37" s="18" t="str">
        <v>平台电商推广</v>
      </c>
      <c r="G37" s="18" t="str">
        <v>淘内-推广</v>
      </c>
      <c r="H37" s="16" t="str">
        <v>品牌运营中心</v>
      </c>
      <c r="I37" s="16" t="str">
        <v>运营策略部</v>
      </c>
      <c r="J37" s="16" t="str">
        <v>天猫运营部</v>
      </c>
      <c r="K37" s="16" t="str">
        <v>天猫推广组</v>
      </c>
      <c r="L37" s="17" t="str">
        <v>销售费用_营销费用_线上推广费</v>
      </c>
      <c r="M37" s="17" t="str">
        <v>6601.36.24</v>
      </c>
      <c r="N37" s="17"/>
      <c r="O37" s="17" t="str">
        <v>技术服务费？服务费？</v>
      </c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16">
        <f>ROW(B38)-2</f>
      </c>
      <c r="B38" s="19" t="str">
        <v>渠道推广费</v>
      </c>
      <c r="C38" s="21" t="str">
        <v>站内推广费</v>
      </c>
      <c r="D38" s="16" t="str">
        <v>营销费用</v>
      </c>
      <c r="E38" s="17" t="str">
        <v>天猫-万向台-超级短视频</v>
      </c>
      <c r="F38" s="18" t="str">
        <v>平台电商推广</v>
      </c>
      <c r="G38" s="18" t="str">
        <v>淘内-推广</v>
      </c>
      <c r="H38" s="16" t="str">
        <v>品牌运营中心</v>
      </c>
      <c r="I38" s="16" t="str">
        <v>运营策略部</v>
      </c>
      <c r="J38" s="16" t="str">
        <v>天猫运营部</v>
      </c>
      <c r="K38" s="16" t="str">
        <v>天猫推广组</v>
      </c>
      <c r="L38" s="17" t="str">
        <v>销售费用_营销费用_线上推广费</v>
      </c>
      <c r="M38" s="17" t="str">
        <v>6601.36.24</v>
      </c>
      <c r="N38" s="17"/>
      <c r="O38" s="17" t="str">
        <v>技术服务费？服务费？</v>
      </c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16">
        <f>ROW(B39)-2</f>
      </c>
      <c r="B39" s="19" t="str">
        <v>渠道推广费</v>
      </c>
      <c r="C39" s="21" t="str">
        <v>站内推广费</v>
      </c>
      <c r="D39" s="16" t="str">
        <v>营销费用</v>
      </c>
      <c r="E39" s="17" t="str">
        <v>天猫-明星店铺</v>
      </c>
      <c r="F39" s="18" t="str">
        <v>平台电商推广</v>
      </c>
      <c r="G39" s="18" t="str">
        <v>淘内-推广</v>
      </c>
      <c r="H39" s="16" t="str">
        <v>品牌运营中心</v>
      </c>
      <c r="I39" s="16" t="str">
        <v>运营策略部</v>
      </c>
      <c r="J39" s="16" t="str">
        <v>天猫运营部</v>
      </c>
      <c r="K39" s="16" t="str">
        <v>天猫推广组</v>
      </c>
      <c r="L39" s="17" t="str">
        <v>销售费用_营销费用_线上推广费</v>
      </c>
      <c r="M39" s="17" t="str">
        <v>6601.36.24</v>
      </c>
      <c r="N39" s="17"/>
      <c r="O39" s="17" t="str">
        <v>技术服务费？服务费？</v>
      </c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16">
        <f>ROW(B40)-2</f>
      </c>
      <c r="B40" s="19" t="str">
        <v>渠道推广费</v>
      </c>
      <c r="C40" s="21" t="str">
        <v>站内推广费</v>
      </c>
      <c r="D40" s="16" t="str">
        <v>营销费用</v>
      </c>
      <c r="E40" s="17" t="str">
        <v>天猫-互动城</v>
      </c>
      <c r="F40" s="18" t="str">
        <v>平台电商推广</v>
      </c>
      <c r="G40" s="18" t="str">
        <v>淘内-推广</v>
      </c>
      <c r="H40" s="16" t="str">
        <v>品牌运营中心</v>
      </c>
      <c r="I40" s="16" t="str">
        <v>运营策略部</v>
      </c>
      <c r="J40" s="16" t="str">
        <v>天猫运营部</v>
      </c>
      <c r="K40" s="16" t="str">
        <v>天猫推广组</v>
      </c>
      <c r="L40" s="17" t="str">
        <v>销售费用_营销费用_线上推广费</v>
      </c>
      <c r="M40" s="17" t="str">
        <v>6601.36.24</v>
      </c>
      <c r="N40" s="17"/>
      <c r="O40" s="17" t="str">
        <v>技术服务费？服务费？</v>
      </c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16">
        <f>ROW(B41)-2</f>
      </c>
      <c r="B41" s="19" t="str">
        <v>渠道推广费</v>
      </c>
      <c r="C41" s="21" t="str">
        <v>站内推广费</v>
      </c>
      <c r="D41" s="16" t="str">
        <v>营销费用</v>
      </c>
      <c r="E41" s="17" t="str">
        <v>天猫-万向台-超级直播</v>
      </c>
      <c r="F41" s="18" t="str">
        <v>平台电商推广</v>
      </c>
      <c r="G41" s="18" t="str">
        <v>淘内-推广</v>
      </c>
      <c r="H41" s="16" t="str">
        <v>品牌运营中心</v>
      </c>
      <c r="I41" s="16" t="str">
        <v>运营策略部</v>
      </c>
      <c r="J41" s="16" t="str">
        <v>天猫运营部</v>
      </c>
      <c r="K41" s="16" t="str">
        <v>天猫推广组</v>
      </c>
      <c r="L41" s="17" t="str">
        <v>销售费用_营销费用_线上推广费</v>
      </c>
      <c r="M41" s="17" t="str">
        <v>6601.36.24</v>
      </c>
      <c r="N41" s="17"/>
      <c r="O41" s="17" t="str">
        <v>技术服务费？服务费？</v>
      </c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16">
        <f>ROW(B42)-2</f>
      </c>
      <c r="B42" s="19" t="str">
        <v>渠道推广费</v>
      </c>
      <c r="C42" s="21" t="str">
        <v>站内推广费</v>
      </c>
      <c r="D42" s="16" t="str">
        <v>营销费用</v>
      </c>
      <c r="E42" s="17" t="str">
        <v>天猫-超级互动城</v>
      </c>
      <c r="F42" s="18" t="str">
        <v>平台电商推广</v>
      </c>
      <c r="G42" s="18" t="str">
        <v>淘内-推广</v>
      </c>
      <c r="H42" s="16" t="str">
        <v>品牌运营中心</v>
      </c>
      <c r="I42" s="16" t="str">
        <v>运营策略部</v>
      </c>
      <c r="J42" s="16" t="str">
        <v>天猫运营部</v>
      </c>
      <c r="K42" s="16" t="str">
        <v>天猫推广组</v>
      </c>
      <c r="L42" s="17" t="str">
        <v>销售费用_营销费用_线上推广费</v>
      </c>
      <c r="M42" s="17" t="str">
        <v>6601.36.24</v>
      </c>
      <c r="N42" s="17"/>
      <c r="O42" s="17" t="str">
        <v>技术服务费？服务费？</v>
      </c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16">
        <f>ROW(B43)-2</f>
      </c>
      <c r="B43" s="19" t="str">
        <v>渠道推广费</v>
      </c>
      <c r="C43" s="21" t="str">
        <v>站内推广费</v>
      </c>
      <c r="D43" s="16" t="str">
        <v>营销费用</v>
      </c>
      <c r="E43" s="17" t="str">
        <v>天猫-极速推</v>
      </c>
      <c r="F43" s="18" t="str">
        <v>平台电商推广</v>
      </c>
      <c r="G43" s="18" t="str">
        <v>淘内-推广</v>
      </c>
      <c r="H43" s="16" t="str">
        <v>品牌运营中心</v>
      </c>
      <c r="I43" s="16" t="str">
        <v>运营策略部</v>
      </c>
      <c r="J43" s="16" t="str">
        <v>天猫运营部</v>
      </c>
      <c r="K43" s="16" t="str">
        <v>天猫推广组</v>
      </c>
      <c r="L43" s="17" t="str">
        <v>销售费用_营销费用_线上推广费</v>
      </c>
      <c r="M43" s="17" t="str">
        <v>6601.36.24</v>
      </c>
      <c r="N43" s="17"/>
      <c r="O43" s="17" t="str">
        <v>技术服务费？服务费？</v>
      </c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16">
        <f>ROW(B44)-2</f>
      </c>
      <c r="B44" s="19" t="str">
        <v>渠道推广费</v>
      </c>
      <c r="C44" s="21" t="str">
        <v>站内推广费</v>
      </c>
      <c r="D44" s="16" t="str">
        <v>营销费用</v>
      </c>
      <c r="E44" s="17" t="str">
        <v>天猫-妈妈Club</v>
      </c>
      <c r="F44" s="18" t="str">
        <v>平台电商推广</v>
      </c>
      <c r="G44" s="18" t="str">
        <v>淘内-推广</v>
      </c>
      <c r="H44" s="16" t="str">
        <v>品牌运营中心</v>
      </c>
      <c r="I44" s="16" t="str">
        <v>运营策略部</v>
      </c>
      <c r="J44" s="16" t="str">
        <v>天猫运营部</v>
      </c>
      <c r="K44" s="16" t="str">
        <v>天猫推广组</v>
      </c>
      <c r="L44" s="17" t="str">
        <v>销售费用_营销费用_线上推广费</v>
      </c>
      <c r="M44" s="17" t="str">
        <v>6601.36.24</v>
      </c>
      <c r="N44" s="17"/>
      <c r="O44" s="17" t="str">
        <v>技术服务费？服务费？</v>
      </c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16">
        <f>ROW(B45)-2</f>
      </c>
      <c r="B45" s="19" t="str">
        <v>渠道推广费</v>
      </c>
      <c r="C45" s="21" t="str">
        <v>站内推广费</v>
      </c>
      <c r="D45" s="16" t="str">
        <v>营销费用</v>
      </c>
      <c r="E45" s="17" t="str">
        <v>天猫-品牌专区</v>
      </c>
      <c r="F45" s="18" t="str">
        <v>平台电商推广</v>
      </c>
      <c r="G45" s="18" t="str">
        <v>淘内-品专</v>
      </c>
      <c r="H45" s="16" t="str">
        <v>品牌运营中心</v>
      </c>
      <c r="I45" s="16" t="str">
        <v>运营策略部</v>
      </c>
      <c r="J45" s="16" t="str">
        <v>天猫运营部</v>
      </c>
      <c r="K45" s="16" t="str">
        <v>天猫推广组</v>
      </c>
      <c r="L45" s="17" t="str">
        <v>销售费用_营销费用_线上推广费</v>
      </c>
      <c r="M45" s="17" t="str">
        <v>6601.36.24</v>
      </c>
      <c r="N45" s="17"/>
      <c r="O45" s="17" t="str">
        <v>技术服务费？服务费？</v>
      </c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16">
        <f>ROW(B46)-2</f>
      </c>
      <c r="B46" s="19" t="str">
        <v>渠道推广费</v>
      </c>
      <c r="C46" s="21" t="str">
        <v>站内推广费</v>
      </c>
      <c r="D46" s="16" t="str">
        <v>营销费用</v>
      </c>
      <c r="E46" s="17" t="str">
        <v>淘宝客</v>
      </c>
      <c r="F46" s="18" t="str">
        <v>平台电商推广</v>
      </c>
      <c r="G46" s="18" t="str">
        <v>淘内-淘宝客</v>
      </c>
      <c r="H46" s="16" t="str">
        <v>品牌运营中心</v>
      </c>
      <c r="I46" s="16" t="str">
        <v>运营策略部</v>
      </c>
      <c r="J46" s="16" t="str">
        <v>天猫运营部</v>
      </c>
      <c r="K46" s="16" t="str">
        <v>天猫推广组</v>
      </c>
      <c r="L46" s="17" t="str">
        <v>销售费用_营销费用_线上推广费</v>
      </c>
      <c r="M46" s="17" t="str">
        <v>6601.36.24</v>
      </c>
      <c r="N46" s="17"/>
      <c r="O46" s="17" t="str">
        <v>技术服务费？服务费？</v>
      </c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16">
        <f>ROW(B47)-2</f>
      </c>
      <c r="B47" s="19" t="str">
        <v>渠道推广费</v>
      </c>
      <c r="C47" s="21" t="str">
        <v>站内推广费</v>
      </c>
      <c r="D47" s="16" t="str">
        <v>营销费用</v>
      </c>
      <c r="E47" s="41" t="str">
        <v>京东自营-京准通常规投放</v>
      </c>
      <c r="F47" s="18" t="str">
        <v>平台电商推广</v>
      </c>
      <c r="G47" s="18" t="str">
        <v>京东渠道推广（自营）</v>
      </c>
      <c r="H47" s="16" t="str">
        <v>品牌运营中心</v>
      </c>
      <c r="I47" s="16" t="str">
        <v>渠道运营部</v>
      </c>
      <c r="J47" s="16" t="str">
        <v>特色电商部</v>
      </c>
      <c r="K47" s="16" t="str">
        <v>京东唯品推广组</v>
      </c>
      <c r="L47" s="17" t="str">
        <v>销售费用_营销费用_线上推广费</v>
      </c>
      <c r="M47" s="17" t="str">
        <v>6601.36.24</v>
      </c>
      <c r="N47" s="17"/>
      <c r="O47" s="17" t="str">
        <v>技术服务费？服务费？广告费？</v>
      </c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16">
        <f>ROW(B48)-2</f>
      </c>
      <c r="B48" s="19" t="str">
        <v>渠道推广费</v>
      </c>
      <c r="C48" s="21" t="str">
        <v>站内推广费</v>
      </c>
      <c r="D48" s="16" t="str">
        <v>营销费用</v>
      </c>
      <c r="E48" s="41" t="str">
        <v>京东自营-京挑客</v>
      </c>
      <c r="F48" s="18" t="str">
        <v>平台电商推广</v>
      </c>
      <c r="G48" s="18" t="str">
        <v>京东渠道推广（自营）</v>
      </c>
      <c r="H48" s="16" t="str">
        <v>品牌运营中心</v>
      </c>
      <c r="I48" s="16" t="str">
        <v>渠道运营部</v>
      </c>
      <c r="J48" s="16" t="str">
        <v>特色电商部</v>
      </c>
      <c r="K48" s="16" t="str">
        <v>京东唯品推广组</v>
      </c>
      <c r="L48" s="17" t="str">
        <v>销售费用_营销费用_线上推广费</v>
      </c>
      <c r="M48" s="17" t="str">
        <v>6601.36.24</v>
      </c>
      <c r="N48" s="17"/>
      <c r="O48" s="17" t="str">
        <v>技术服务费？服务费？广告费？</v>
      </c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16">
        <f>ROW(B49)-2</f>
      </c>
      <c r="B49" s="19" t="str">
        <v>渠道推广费</v>
      </c>
      <c r="C49" s="21" t="str">
        <v>站内推广费</v>
      </c>
      <c r="D49" s="16" t="str">
        <v>营销费用</v>
      </c>
      <c r="E49" s="41" t="str">
        <v>京东自营-京任务</v>
      </c>
      <c r="F49" s="18" t="str">
        <v>平台电商推广</v>
      </c>
      <c r="G49" s="18" t="str">
        <v>京东渠道推广（自营）</v>
      </c>
      <c r="H49" s="16" t="str">
        <v>品牌运营中心</v>
      </c>
      <c r="I49" s="16" t="str">
        <v>渠道运营部</v>
      </c>
      <c r="J49" s="16" t="str">
        <v>特色电商部</v>
      </c>
      <c r="K49" s="16" t="str">
        <v>京东唯品推广组</v>
      </c>
      <c r="L49" s="17" t="str">
        <v>销售费用_营销费用_线上推广费</v>
      </c>
      <c r="M49" s="17" t="str">
        <v>6601.36.24</v>
      </c>
      <c r="N49" s="17"/>
      <c r="O49" s="17" t="str">
        <v>技术服务费？服务费？广告费？</v>
      </c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16">
        <f>ROW(B50)-2</f>
      </c>
      <c r="B50" s="19" t="str">
        <v>渠道推广费</v>
      </c>
      <c r="C50" s="21" t="str">
        <v>站内推广费</v>
      </c>
      <c r="D50" s="16" t="str">
        <v>营销费用</v>
      </c>
      <c r="E50" s="41" t="str">
        <v>京东自营-京桥</v>
      </c>
      <c r="F50" s="18" t="str">
        <v>平台电商推广</v>
      </c>
      <c r="G50" s="18" t="str">
        <v>京东渠道推广（自营）</v>
      </c>
      <c r="H50" s="16" t="str">
        <v>品牌运营中心</v>
      </c>
      <c r="I50" s="16" t="str">
        <v>渠道运营部</v>
      </c>
      <c r="J50" s="16" t="str">
        <v>特色电商部</v>
      </c>
      <c r="K50" s="16" t="str">
        <v>京东唯品推广组</v>
      </c>
      <c r="L50" s="17" t="str">
        <v>销售费用_营销费用_线上推广费</v>
      </c>
      <c r="M50" s="17" t="str">
        <v>6601.36.24</v>
      </c>
      <c r="N50" s="17"/>
      <c r="O50" s="17" t="str">
        <v>技术服务费？服务费？广告费？</v>
      </c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16">
        <f>ROW(B51)-2</f>
      </c>
      <c r="B51" s="19" t="str">
        <v>渠道推广费</v>
      </c>
      <c r="C51" s="21" t="str">
        <v>站内推广费</v>
      </c>
      <c r="D51" s="16" t="str">
        <v>营销费用</v>
      </c>
      <c r="E51" s="41" t="str">
        <v>京东自营-合约展位</v>
      </c>
      <c r="F51" s="18" t="str">
        <v>平台电商推广</v>
      </c>
      <c r="G51" s="18" t="str">
        <v>京东渠道推广（自营）</v>
      </c>
      <c r="H51" s="16" t="str">
        <v>品牌运营中心</v>
      </c>
      <c r="I51" s="16" t="str">
        <v>渠道运营部</v>
      </c>
      <c r="J51" s="16" t="str">
        <v>特色电商部</v>
      </c>
      <c r="K51" s="16" t="str">
        <v>京东唯品推广组</v>
      </c>
      <c r="L51" s="17" t="str">
        <v>销售费用_营销费用_线上推广费</v>
      </c>
      <c r="M51" s="17" t="str">
        <v>6601.36.24</v>
      </c>
      <c r="N51" s="17"/>
      <c r="O51" s="17" t="str">
        <v>技术服务费？服务费？广告费？</v>
      </c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16">
        <f>ROW(B52)-2</f>
      </c>
      <c r="B52" s="19" t="str">
        <v>渠道推广费</v>
      </c>
      <c r="C52" s="21" t="str">
        <v>站内推广费</v>
      </c>
      <c r="D52" s="16" t="str">
        <v>营销费用</v>
      </c>
      <c r="E52" s="41" t="str">
        <v>京东自营-联合活动</v>
      </c>
      <c r="F52" s="18" t="str">
        <v>平台电商推广</v>
      </c>
      <c r="G52" s="18" t="str">
        <v>京东渠道推广（自营）</v>
      </c>
      <c r="H52" s="16" t="str">
        <v>品牌运营中心</v>
      </c>
      <c r="I52" s="16" t="str">
        <v>渠道运营部</v>
      </c>
      <c r="J52" s="16" t="str">
        <v>特色电商部</v>
      </c>
      <c r="K52" s="16" t="str">
        <v>京东唯品推广组</v>
      </c>
      <c r="L52" s="17" t="str">
        <v>销售费用_营销费用_线上推广费</v>
      </c>
      <c r="M52" s="17" t="str">
        <v>6601.36.24</v>
      </c>
      <c r="N52" s="17"/>
      <c r="O52" s="17" t="str">
        <v>技术服务费？服务费？广告费？</v>
      </c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16">
        <f>ROW(B53)-2</f>
      </c>
      <c r="B53" s="19" t="str">
        <v>渠道推广费</v>
      </c>
      <c r="C53" s="21" t="str">
        <v>站内推广费</v>
      </c>
      <c r="D53" s="16" t="str">
        <v>营销费用</v>
      </c>
      <c r="E53" s="41" t="str">
        <v>京东POP-京准通常规投放</v>
      </c>
      <c r="F53" s="18" t="str">
        <v>平台电商推广</v>
      </c>
      <c r="G53" s="18" t="str">
        <v>京东渠道推广（POP）</v>
      </c>
      <c r="H53" s="16" t="str">
        <v>品牌运营中心</v>
      </c>
      <c r="I53" s="16" t="str">
        <v>渠道运营部</v>
      </c>
      <c r="J53" s="16" t="str">
        <v>特色电商部</v>
      </c>
      <c r="K53" s="16" t="str">
        <v>京东唯品推广组</v>
      </c>
      <c r="L53" s="17" t="str">
        <v>销售费用_营销费用_线上推广费</v>
      </c>
      <c r="M53" s="17" t="str">
        <v>6601.36.24</v>
      </c>
      <c r="N53" s="17"/>
      <c r="O53" s="17" t="str">
        <v>技术服务费？服务费？广告费？</v>
      </c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16">
        <f>ROW(B54)-2</f>
      </c>
      <c r="B54" s="19" t="str">
        <v>渠道推广费</v>
      </c>
      <c r="C54" s="21" t="str">
        <v>站内推广费</v>
      </c>
      <c r="D54" s="16" t="str">
        <v>营销费用</v>
      </c>
      <c r="E54" s="41" t="str">
        <v>京东POP-京挑客</v>
      </c>
      <c r="F54" s="18" t="str">
        <v>平台电商推广</v>
      </c>
      <c r="G54" s="18" t="str">
        <v>京东渠道推广（POP）</v>
      </c>
      <c r="H54" s="16" t="str">
        <v>品牌运营中心</v>
      </c>
      <c r="I54" s="16" t="str">
        <v>渠道运营部</v>
      </c>
      <c r="J54" s="16" t="str">
        <v>特色电商部</v>
      </c>
      <c r="K54" s="16" t="str">
        <v>京东唯品推广组</v>
      </c>
      <c r="L54" s="17" t="str">
        <v>销售费用_营销费用_线上推广费</v>
      </c>
      <c r="M54" s="17" t="str">
        <v>6601.36.24</v>
      </c>
      <c r="N54" s="17"/>
      <c r="O54" s="17" t="str">
        <v>技术服务费？服务费？广告费？</v>
      </c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16">
        <f>ROW(B55)-2</f>
      </c>
      <c r="B55" s="19" t="str">
        <v>渠道推广费</v>
      </c>
      <c r="C55" s="21" t="str">
        <v>站内推广费</v>
      </c>
      <c r="D55" s="16" t="str">
        <v>营销费用</v>
      </c>
      <c r="E55" s="41" t="str">
        <v>京东POP-京任务</v>
      </c>
      <c r="F55" s="18" t="str">
        <v>平台电商推广</v>
      </c>
      <c r="G55" s="18" t="str">
        <v>京东渠道推广（POP）</v>
      </c>
      <c r="H55" s="16" t="str">
        <v>品牌运营中心</v>
      </c>
      <c r="I55" s="16" t="str">
        <v>渠道运营部</v>
      </c>
      <c r="J55" s="16" t="str">
        <v>特色电商部</v>
      </c>
      <c r="K55" s="16" t="str">
        <v>京东唯品推广组</v>
      </c>
      <c r="L55" s="17" t="str">
        <v>销售费用_营销费用_线上推广费</v>
      </c>
      <c r="M55" s="17" t="str">
        <v>6601.36.24</v>
      </c>
      <c r="N55" s="17"/>
      <c r="O55" s="17" t="str">
        <v>技术服务费？服务费？广告费？</v>
      </c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16">
        <f>ROW(B56)-2</f>
      </c>
      <c r="B56" s="19" t="str">
        <v>渠道推广费</v>
      </c>
      <c r="C56" s="21" t="str">
        <v>站内推广费</v>
      </c>
      <c r="D56" s="16" t="str">
        <v>营销费用</v>
      </c>
      <c r="E56" s="41" t="str">
        <v>京东POP-京桥</v>
      </c>
      <c r="F56" s="18" t="str">
        <v>平台电商推广</v>
      </c>
      <c r="G56" s="18" t="str">
        <v>京东渠道推广（POP）</v>
      </c>
      <c r="H56" s="16" t="str">
        <v>品牌运营中心</v>
      </c>
      <c r="I56" s="16" t="str">
        <v>渠道运营部</v>
      </c>
      <c r="J56" s="16" t="str">
        <v>特色电商部</v>
      </c>
      <c r="K56" s="16" t="str">
        <v>京东唯品推广组</v>
      </c>
      <c r="L56" s="17" t="str">
        <v>销售费用_营销费用_线上推广费</v>
      </c>
      <c r="M56" s="17" t="str">
        <v>6601.36.24</v>
      </c>
      <c r="N56" s="17"/>
      <c r="O56" s="17" t="str">
        <v>技术服务费？服务费？广告费？</v>
      </c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16">
        <f>ROW(B57)-2</f>
      </c>
      <c r="B57" s="19" t="str">
        <v>渠道推广费</v>
      </c>
      <c r="C57" s="21" t="str">
        <v>站内推广费</v>
      </c>
      <c r="D57" s="16" t="str">
        <v>营销费用</v>
      </c>
      <c r="E57" s="41" t="str">
        <v>京东POP-合约展位</v>
      </c>
      <c r="F57" s="18" t="str">
        <v>平台电商推广</v>
      </c>
      <c r="G57" s="18" t="str">
        <v>京东渠道推广（POP）</v>
      </c>
      <c r="H57" s="16" t="str">
        <v>品牌运营中心</v>
      </c>
      <c r="I57" s="16" t="str">
        <v>渠道运营部</v>
      </c>
      <c r="J57" s="16" t="str">
        <v>特色电商部</v>
      </c>
      <c r="K57" s="16" t="str">
        <v>京东唯品推广组</v>
      </c>
      <c r="L57" s="17" t="str">
        <v>销售费用_营销费用_线上推广费</v>
      </c>
      <c r="M57" s="17" t="str">
        <v>6601.36.24</v>
      </c>
      <c r="N57" s="17"/>
      <c r="O57" s="17" t="str">
        <v>技术服务费？服务费？广告费？</v>
      </c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16">
        <f>ROW(B58)-2</f>
      </c>
      <c r="B58" s="19" t="str">
        <v>渠道推广费</v>
      </c>
      <c r="C58" s="21" t="str">
        <v>站内推广费</v>
      </c>
      <c r="D58" s="16" t="str">
        <v>营销费用</v>
      </c>
      <c r="E58" s="41" t="str">
        <v>京东POP-联合活动</v>
      </c>
      <c r="F58" s="18" t="str">
        <v>平台电商推广</v>
      </c>
      <c r="G58" s="18" t="str">
        <v>京东渠道推广（POP）</v>
      </c>
      <c r="H58" s="16" t="str">
        <v>品牌运营中心</v>
      </c>
      <c r="I58" s="16" t="str">
        <v>渠道运营部</v>
      </c>
      <c r="J58" s="16" t="str">
        <v>特色电商部</v>
      </c>
      <c r="K58" s="16" t="str">
        <v>京东唯品推广组</v>
      </c>
      <c r="L58" s="17" t="str">
        <v>销售费用_营销费用_线上推广费</v>
      </c>
      <c r="M58" s="17" t="str">
        <v>6601.36.24</v>
      </c>
      <c r="N58" s="17"/>
      <c r="O58" s="17" t="str">
        <v>技术服务费？服务费？广告费？</v>
      </c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16">
        <f>ROW(B59)-2</f>
      </c>
      <c r="B59" s="19" t="str">
        <v>品牌宣传费</v>
      </c>
      <c r="C59" s="19" t="str">
        <v>明星合作费</v>
      </c>
      <c r="D59" s="16" t="str">
        <v>营销费用</v>
      </c>
      <c r="E59" s="20">
        <f>G59</f>
      </c>
      <c r="F59" s="18" t="str">
        <v>品牌项目</v>
      </c>
      <c r="G59" s="18" t="str">
        <v>日常-创意与物料</v>
      </c>
      <c r="H59" s="16" t="str">
        <v>品牌产品中心</v>
      </c>
      <c r="I59" s="16" t="str">
        <v>品牌营销部</v>
      </c>
      <c r="J59" s="16"/>
      <c r="K59" s="16"/>
      <c r="L59" s="17" t="str">
        <v>销售费用_营销费用_明星合作费</v>
      </c>
      <c r="M59" s="17" t="str">
        <v>6601.36.12</v>
      </c>
      <c r="N59" s="17"/>
      <c r="O59" s="17" t="str">
        <v>代言费</v>
      </c>
      <c r="P59" s="16" t="str">
        <v>Y</v>
      </c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16">
        <f>ROW(B60)-2</f>
      </c>
      <c r="B60" s="19" t="str">
        <v>渠道推广费</v>
      </c>
      <c r="C60" s="21" t="str">
        <v>站内推广费</v>
      </c>
      <c r="D60" s="16" t="str">
        <v>营销费用</v>
      </c>
      <c r="E60" s="17" t="str">
        <v>唯品会-唯品常规投放</v>
      </c>
      <c r="F60" s="18" t="str">
        <v>平台电商推广</v>
      </c>
      <c r="G60" s="18" t="str">
        <v>唯品渠道推广</v>
      </c>
      <c r="H60" s="16" t="str">
        <v>品牌运营中心</v>
      </c>
      <c r="I60" s="16" t="str">
        <v>渠道运营部</v>
      </c>
      <c r="J60" s="16" t="str">
        <v>特色电商部</v>
      </c>
      <c r="K60" s="16" t="str">
        <v>京东唯品推广组</v>
      </c>
      <c r="L60" s="17" t="str">
        <v>销售费用_营销费用_线上推广费</v>
      </c>
      <c r="M60" s="17" t="str">
        <v>6601.36.24</v>
      </c>
      <c r="N60" s="17"/>
      <c r="O60" s="17" t="str">
        <v>技术服务费？服务费？</v>
      </c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16">
        <f>ROW(B61)-2</f>
      </c>
      <c r="B61" s="19" t="str">
        <v>渠道推广费</v>
      </c>
      <c r="C61" s="21" t="str">
        <v>站内推广费</v>
      </c>
      <c r="D61" s="16" t="str">
        <v>营销费用</v>
      </c>
      <c r="E61" s="17" t="str">
        <v>唯品会-达人卖货</v>
      </c>
      <c r="F61" s="18" t="str">
        <v>平台电商推广</v>
      </c>
      <c r="G61" s="18" t="str">
        <v>唯品渠道推广</v>
      </c>
      <c r="H61" s="16" t="str">
        <v>品牌运营中心</v>
      </c>
      <c r="I61" s="16" t="str">
        <v>渠道运营部</v>
      </c>
      <c r="J61" s="16" t="str">
        <v>特色电商部</v>
      </c>
      <c r="K61" s="16" t="str">
        <v>京东唯品推广组</v>
      </c>
      <c r="L61" s="17" t="str">
        <v>销售费用_营销费用_线上推广费</v>
      </c>
      <c r="M61" s="17" t="str">
        <v>6601.36.24</v>
      </c>
      <c r="N61" s="17"/>
      <c r="O61" s="17" t="str">
        <v>技术服务费？服务费？</v>
      </c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16">
        <f>ROW(B62)-2</f>
      </c>
      <c r="B62" s="19" t="str">
        <v>渠道推广费</v>
      </c>
      <c r="C62" s="21" t="str">
        <v>站内推广费</v>
      </c>
      <c r="D62" s="16" t="str">
        <v>营销费用</v>
      </c>
      <c r="E62" s="17" t="str">
        <v>自营其他</v>
      </c>
      <c r="F62" s="18" t="str">
        <v>平台电商推广</v>
      </c>
      <c r="G62" s="18" t="str">
        <v>自营其他渠道推广</v>
      </c>
      <c r="H62" s="16" t="str">
        <v>品牌运营中心</v>
      </c>
      <c r="I62" s="16" t="str">
        <v>渠道运营部</v>
      </c>
      <c r="J62" s="16" t="str">
        <v>综合渠道运营部</v>
      </c>
      <c r="K62" s="16" t="str">
        <v>综合渠道推广部</v>
      </c>
      <c r="L62" s="17" t="str">
        <v>销售费用_营销费用_线上推广费</v>
      </c>
      <c r="M62" s="17" t="str">
        <v>6601.36.24</v>
      </c>
      <c r="N62" s="17"/>
      <c r="O62" s="17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16">
        <f>ROW(B63)-2</f>
      </c>
      <c r="B63" s="19" t="str">
        <v>渠道推广费</v>
      </c>
      <c r="C63" s="21" t="str">
        <v>站内推广费</v>
      </c>
      <c r="D63" s="16" t="str">
        <v>营销费用</v>
      </c>
      <c r="E63" s="17" t="str">
        <v>拼多多</v>
      </c>
      <c r="F63" s="18" t="str">
        <v>平台电商推广</v>
      </c>
      <c r="G63" s="18" t="str">
        <v>拼多多渠道推广</v>
      </c>
      <c r="H63" s="16" t="str">
        <v>品牌运营中心</v>
      </c>
      <c r="I63" s="16" t="str">
        <v>渠道运营部</v>
      </c>
      <c r="J63" s="16" t="str">
        <v>综合渠道运营部</v>
      </c>
      <c r="K63" s="16" t="str">
        <v>综合渠道推广部</v>
      </c>
      <c r="L63" s="17" t="str">
        <v>销售费用_营销费用_线上推广费</v>
      </c>
      <c r="M63" s="17" t="str">
        <v>6601.36.24</v>
      </c>
      <c r="N63" s="17"/>
      <c r="O63" s="17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16">
        <f>ROW(B64)-2</f>
      </c>
      <c r="B64" s="19" t="str">
        <v>渠道推广费</v>
      </c>
      <c r="C64" s="21" t="str">
        <v>站外推广费</v>
      </c>
      <c r="D64" s="16" t="str">
        <v>营销费用</v>
      </c>
      <c r="E64" s="17" t="str">
        <v>AD信息流</v>
      </c>
      <c r="F64" s="18" t="str">
        <v>平台电商推广</v>
      </c>
      <c r="G64" s="18" t="str">
        <v>竞价信息流-天猫</v>
      </c>
      <c r="H64" s="16" t="str">
        <v>品牌运营中心</v>
      </c>
      <c r="I64" s="16" t="str">
        <v>运营策略部</v>
      </c>
      <c r="J64" s="16" t="str">
        <v>天猫运营部</v>
      </c>
      <c r="K64" s="16" t="str">
        <v>天猫推广组</v>
      </c>
      <c r="L64" s="17" t="str">
        <v>销售费用_营销费用_线上推广费</v>
      </c>
      <c r="M64" s="17" t="str">
        <v>6601.36.24</v>
      </c>
      <c r="N64" s="17"/>
      <c r="O64" s="17" t="str">
        <v>技术服务费？服务费？</v>
      </c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16">
        <f>ROW(B65)-2</f>
      </c>
      <c r="B65" s="19" t="str">
        <v>渠道推广费</v>
      </c>
      <c r="C65" s="21" t="str">
        <v>站外推广费</v>
      </c>
      <c r="D65" s="16" t="str">
        <v>营销费用</v>
      </c>
      <c r="E65" s="17" t="str">
        <v>UD信息流</v>
      </c>
      <c r="F65" s="18" t="str">
        <v>平台电商推广</v>
      </c>
      <c r="G65" s="18" t="str">
        <v>竞价信息流-天猫</v>
      </c>
      <c r="H65" s="16" t="str">
        <v>品牌运营中心</v>
      </c>
      <c r="I65" s="16" t="str">
        <v>运营策略部</v>
      </c>
      <c r="J65" s="16" t="str">
        <v>天猫运营部</v>
      </c>
      <c r="K65" s="16" t="str">
        <v>天猫推广组</v>
      </c>
      <c r="L65" s="17" t="str">
        <v>销售费用_营销费用_线上推广费</v>
      </c>
      <c r="M65" s="17" t="str">
        <v>6601.36.24</v>
      </c>
      <c r="N65" s="17"/>
      <c r="O65" s="17" t="str">
        <v>技术服务费？服务费？</v>
      </c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16">
        <f>ROW(B66)-2</f>
      </c>
      <c r="B66" s="19" t="str">
        <v>渠道推广费</v>
      </c>
      <c r="C66" s="21" t="str">
        <v>站外推广费</v>
      </c>
      <c r="D66" s="16" t="str">
        <v>营销费用</v>
      </c>
      <c r="E66" s="17" t="str">
        <v>磁力引擎</v>
      </c>
      <c r="F66" s="18" t="str">
        <v>平台电商推广</v>
      </c>
      <c r="G66" s="18" t="str">
        <v>竞价信息流-天猫</v>
      </c>
      <c r="H66" s="16" t="str">
        <v>品牌运营中心</v>
      </c>
      <c r="I66" s="16" t="str">
        <v>运营策略部</v>
      </c>
      <c r="J66" s="16" t="str">
        <v>天猫运营部</v>
      </c>
      <c r="K66" s="16" t="str">
        <v>天猫推广组</v>
      </c>
      <c r="L66" s="17" t="str">
        <v>销售费用_营销费用_线上推广费</v>
      </c>
      <c r="M66" s="17" t="str">
        <v>6601.36.24</v>
      </c>
      <c r="N66" s="17"/>
      <c r="O66" s="17" t="str">
        <v>技术服务费？服务费？</v>
      </c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16">
        <f>ROW(B67)-2</f>
      </c>
      <c r="B67" s="19" t="str">
        <v>渠道推广费</v>
      </c>
      <c r="C67" s="21" t="str">
        <v>站内推广费</v>
      </c>
      <c r="D67" s="16" t="str">
        <v>营销费用</v>
      </c>
      <c r="E67" s="17" t="str">
        <v>磁力金牛</v>
      </c>
      <c r="F67" s="18" t="str">
        <v>直播电商推广</v>
      </c>
      <c r="G67" s="18" t="str">
        <v>快手电商渠道推广</v>
      </c>
      <c r="H67" s="16" t="str">
        <v>品牌运营中心</v>
      </c>
      <c r="I67" s="16" t="str">
        <v>运营策略部</v>
      </c>
      <c r="J67" s="16" t="str">
        <v>天猫运营部</v>
      </c>
      <c r="K67" s="16" t="str">
        <v>天猫推广组</v>
      </c>
      <c r="L67" s="17" t="str">
        <v>销售费用_营销费用_线上推广费</v>
      </c>
      <c r="M67" s="17" t="str">
        <v>6601.36.24</v>
      </c>
      <c r="N67" s="17"/>
      <c r="O67" s="17" t="str">
        <v>技术服务费？服务费？</v>
      </c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16">
        <f>ROW(B68)-2</f>
      </c>
      <c r="B68" s="19" t="str">
        <v>渠道推广费</v>
      </c>
      <c r="C68" s="21" t="str">
        <v>站外推广费</v>
      </c>
      <c r="D68" s="16" t="str">
        <v>营销费用</v>
      </c>
      <c r="E68" s="17" t="str">
        <v>百度SEO竞价广告</v>
      </c>
      <c r="F68" s="18" t="str">
        <v>平台电商推广</v>
      </c>
      <c r="G68" s="18" t="str">
        <v>竞价信息流-天猫</v>
      </c>
      <c r="H68" s="16" t="str">
        <v>品牌运营中心</v>
      </c>
      <c r="I68" s="16" t="str">
        <v>运营策略部</v>
      </c>
      <c r="J68" s="16" t="str">
        <v>天猫运营部</v>
      </c>
      <c r="K68" s="16" t="str">
        <v>天猫推广组</v>
      </c>
      <c r="L68" s="17" t="str">
        <v>销售费用_营销费用_线上推广费</v>
      </c>
      <c r="M68" s="17" t="str">
        <v>6601.36.24</v>
      </c>
      <c r="N68" s="17"/>
      <c r="O68" s="17" t="str">
        <v>技术服务费？服务费？</v>
      </c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16">
        <f>ROW(B69)-2</f>
      </c>
      <c r="B69" s="19" t="str">
        <v>渠道推广费</v>
      </c>
      <c r="C69" s="21" t="str">
        <v>站外推广费</v>
      </c>
      <c r="D69" s="16" t="str">
        <v>营销费用</v>
      </c>
      <c r="E69" s="17" t="str">
        <v>百度SEO搜索广告</v>
      </c>
      <c r="F69" s="18" t="str">
        <v>平台电商推广</v>
      </c>
      <c r="G69" s="18" t="str">
        <v>竞价信息流-天猫</v>
      </c>
      <c r="H69" s="16" t="str">
        <v>品牌运营中心</v>
      </c>
      <c r="I69" s="16" t="str">
        <v>运营策略部</v>
      </c>
      <c r="J69" s="16" t="str">
        <v>天猫运营部</v>
      </c>
      <c r="K69" s="16" t="str">
        <v>天猫推广组</v>
      </c>
      <c r="L69" s="17" t="str">
        <v>销售费用_营销费用_线上推广费</v>
      </c>
      <c r="M69" s="17" t="str">
        <v>6601.36.24</v>
      </c>
      <c r="N69" s="17"/>
      <c r="O69" s="17" t="str">
        <v>技术服务费？服务费？</v>
      </c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16">
        <f>ROW(B70)-2</f>
      </c>
      <c r="B70" s="19" t="str">
        <v>渠道推广费</v>
      </c>
      <c r="C70" s="21" t="str">
        <v>站内推广费</v>
      </c>
      <c r="D70" s="16" t="str">
        <v>营销费用</v>
      </c>
      <c r="E70" s="18" t="str">
        <v>微信-店铺</v>
      </c>
      <c r="F70" s="18" t="str">
        <v>社交电商推广</v>
      </c>
      <c r="G70" s="18" t="str">
        <v>微信-店铺</v>
      </c>
      <c r="H70" s="16" t="str">
        <v>品牌运营中心</v>
      </c>
      <c r="I70" s="16" t="str">
        <v>渠道运营部</v>
      </c>
      <c r="J70" s="16" t="str">
        <v>综合渠道运营部</v>
      </c>
      <c r="K70" s="16" t="str">
        <v>综合渠道推广部</v>
      </c>
      <c r="L70" s="17" t="str">
        <v>销售费用_营销费用_线上推广费</v>
      </c>
      <c r="M70" s="17" t="str">
        <v>6601.36.24</v>
      </c>
      <c r="N70" s="17"/>
      <c r="O70" s="17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16">
        <f>ROW(B71)-2</f>
      </c>
      <c r="B71" s="19" t="str">
        <v>其他费用</v>
      </c>
      <c r="C71" s="19" t="str">
        <v>场地租赁费</v>
      </c>
      <c r="D71" s="16" t="str">
        <v>营销费用</v>
      </c>
      <c r="E71" s="17">
        <f>G71&amp;"-"&amp;LEFT(C71,4)</f>
      </c>
      <c r="F71" s="18" t="str">
        <v>品类内容推广</v>
      </c>
      <c r="G71" s="18" t="str">
        <v>AD竞价内容创意</v>
      </c>
      <c r="H71" s="16" t="str">
        <v>品牌运营中心</v>
      </c>
      <c r="I71" s="16" t="str">
        <v>市场广告推广部</v>
      </c>
      <c r="J71" s="16" t="str">
        <v>广告投放部</v>
      </c>
      <c r="K71" s="16" t="str">
        <v>内容策划组</v>
      </c>
      <c r="L71" s="17">
        <f>"销售费用_"&amp;D71&amp;"_"&amp;C71</f>
      </c>
      <c r="M71" s="17" t="str">
        <v>6601.36.02</v>
      </c>
      <c r="N71" s="17"/>
      <c r="O71" s="17">
        <f>C71</f>
      </c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16">
        <f>ROW(B72)-2</f>
      </c>
      <c r="B72" s="25" t="str">
        <v>其他费用</v>
      </c>
      <c r="C72" s="19" t="str">
        <v>舞台场地搭建费</v>
      </c>
      <c r="D72" s="16" t="str">
        <v>营销费用</v>
      </c>
      <c r="E72" s="17">
        <f>G72&amp;"-"&amp;LEFT(C72,4)</f>
      </c>
      <c r="F72" s="18" t="str">
        <v>品类内容推广</v>
      </c>
      <c r="G72" s="18" t="str">
        <v>AD竞价内容创意</v>
      </c>
      <c r="H72" s="16" t="str">
        <v>品牌运营中心</v>
      </c>
      <c r="I72" s="16" t="str">
        <v>市场广告推广部</v>
      </c>
      <c r="J72" s="16" t="str">
        <v>广告投放部</v>
      </c>
      <c r="K72" s="16" t="str">
        <v>内容策划组</v>
      </c>
      <c r="L72" s="17" t="str">
        <v>销售费用_营销费用_搭建服务费</v>
      </c>
      <c r="M72" s="17" t="str">
        <v>6601.36.03</v>
      </c>
      <c r="N72" s="17"/>
      <c r="O72" s="17" t="str">
        <v>搭建服务费</v>
      </c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16">
        <f>ROW(B73)-2</f>
      </c>
      <c r="B73" s="19" t="str">
        <v>其他费用</v>
      </c>
      <c r="C73" s="19" t="str">
        <v>设备租赁费</v>
      </c>
      <c r="D73" s="16" t="str">
        <v>营销费用</v>
      </c>
      <c r="E73" s="17">
        <f>G73&amp;"-"&amp;LEFT(C73,4)</f>
      </c>
      <c r="F73" s="18" t="str">
        <v>品类内容推广</v>
      </c>
      <c r="G73" s="18" t="str">
        <v>AD竞价内容创意</v>
      </c>
      <c r="H73" s="16" t="str">
        <v>品牌运营中心</v>
      </c>
      <c r="I73" s="16" t="str">
        <v>市场广告推广部</v>
      </c>
      <c r="J73" s="16" t="str">
        <v>广告投放部</v>
      </c>
      <c r="K73" s="16" t="str">
        <v>内容策划组</v>
      </c>
      <c r="L73" s="17">
        <f>"销售费用_"&amp;D73&amp;"_"&amp;C73</f>
      </c>
      <c r="M73" s="17" t="str">
        <v>6601.36.19</v>
      </c>
      <c r="N73" s="17"/>
      <c r="O73" s="17">
        <f>C73</f>
      </c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16">
        <f>ROW(B74)-2</f>
      </c>
      <c r="B74" s="19" t="str">
        <v>内容制作费</v>
      </c>
      <c r="C74" s="19" t="str">
        <v>视频制作费</v>
      </c>
      <c r="D74" s="16" t="str">
        <v>营销费用</v>
      </c>
      <c r="E74" s="20">
        <f>G74</f>
      </c>
      <c r="F74" s="18" t="str">
        <v>品牌项目</v>
      </c>
      <c r="G74" s="18" t="str">
        <v>IMC花养</v>
      </c>
      <c r="H74" s="16" t="str">
        <v>品牌产品中心</v>
      </c>
      <c r="I74" s="16" t="str">
        <v>品牌营销部</v>
      </c>
      <c r="J74" s="16"/>
      <c r="K74" s="16"/>
      <c r="L74" s="17">
        <f>"销售费用_"&amp;D74&amp;"_"&amp;C74</f>
      </c>
      <c r="M74" s="17" t="str">
        <v>6601.36.21</v>
      </c>
      <c r="N74" s="17"/>
      <c r="O74" s="17">
        <f>C74</f>
      </c>
      <c r="P74" s="16" t="str">
        <v>Y</v>
      </c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16">
        <f>ROW(B75)-2</f>
      </c>
      <c r="B75" s="19" t="str">
        <v>内容制作费</v>
      </c>
      <c r="C75" s="19" t="str">
        <v>视频制作费</v>
      </c>
      <c r="D75" s="16" t="str">
        <v>营销费用</v>
      </c>
      <c r="E75" s="20">
        <f>G75</f>
      </c>
      <c r="F75" s="18" t="str">
        <v>品牌项目</v>
      </c>
      <c r="G75" s="18" t="str">
        <v>IMC国妆</v>
      </c>
      <c r="H75" s="16" t="str">
        <v>品牌产品中心</v>
      </c>
      <c r="I75" s="16" t="str">
        <v>品牌营销部</v>
      </c>
      <c r="J75" s="16"/>
      <c r="K75" s="16"/>
      <c r="L75" s="17">
        <f>"销售费用_"&amp;D75&amp;"_"&amp;C75</f>
      </c>
      <c r="M75" s="17" t="str">
        <v>6601.36.21</v>
      </c>
      <c r="N75" s="17"/>
      <c r="O75" s="17">
        <f>C75</f>
      </c>
      <c r="P75" s="16" t="str">
        <v>Y</v>
      </c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16">
        <f>ROW(B76)-2</f>
      </c>
      <c r="B76" s="19" t="str">
        <v>内容制作费</v>
      </c>
      <c r="C76" s="19" t="str">
        <v>视频制作费</v>
      </c>
      <c r="D76" s="16" t="str">
        <v>营销费用</v>
      </c>
      <c r="E76" s="20">
        <f>G76</f>
      </c>
      <c r="F76" s="18" t="str">
        <v>品牌项目</v>
      </c>
      <c r="G76" s="18" t="str">
        <v>IMC文化</v>
      </c>
      <c r="H76" s="16" t="str">
        <v>品牌产品中心</v>
      </c>
      <c r="I76" s="16" t="str">
        <v>品牌营销部</v>
      </c>
      <c r="J76" s="16"/>
      <c r="K76" s="16"/>
      <c r="L76" s="17">
        <f>"销售费用_"&amp;D76&amp;"_"&amp;C76</f>
      </c>
      <c r="M76" s="17" t="str">
        <v>6601.36.21</v>
      </c>
      <c r="N76" s="17"/>
      <c r="O76" s="17">
        <f>C76</f>
      </c>
      <c r="P76" s="16" t="str">
        <v>Y</v>
      </c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16">
        <f>ROW(B77)-2</f>
      </c>
      <c r="B77" s="19" t="str">
        <v>内容制作费</v>
      </c>
      <c r="C77" s="19" t="str">
        <v>视频制作费</v>
      </c>
      <c r="D77" s="16" t="str">
        <v>营销费用</v>
      </c>
      <c r="E77" s="20">
        <f>G77</f>
      </c>
      <c r="F77" s="18" t="str">
        <v>品牌项目</v>
      </c>
      <c r="G77" s="18" t="str">
        <v>日常-创意与物料</v>
      </c>
      <c r="H77" s="16" t="str">
        <v>品牌产品中心</v>
      </c>
      <c r="I77" s="16" t="str">
        <v>品牌营销部</v>
      </c>
      <c r="J77" s="16"/>
      <c r="K77" s="16"/>
      <c r="L77" s="17">
        <f>"销售费用_"&amp;D77&amp;"_"&amp;C77</f>
      </c>
      <c r="M77" s="17" t="str">
        <v>6601.36.21</v>
      </c>
      <c r="N77" s="17"/>
      <c r="O77" s="17">
        <f>C77</f>
      </c>
      <c r="P77" s="16" t="str">
        <v>Y</v>
      </c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16">
        <f>ROW(B78)-2</f>
      </c>
      <c r="B78" s="19" t="str">
        <v>内容制作费</v>
      </c>
      <c r="C78" s="19" t="str">
        <v>动画制作费</v>
      </c>
      <c r="D78" s="16" t="str">
        <v>营销费用</v>
      </c>
      <c r="E78" s="20">
        <f>G78</f>
      </c>
      <c r="F78" s="18" t="str">
        <v>品牌项目</v>
      </c>
      <c r="G78" s="18" t="str">
        <v>IMC花养</v>
      </c>
      <c r="H78" s="16" t="str">
        <v>品牌产品中心</v>
      </c>
      <c r="I78" s="16" t="str">
        <v>品牌营销部</v>
      </c>
      <c r="J78" s="16"/>
      <c r="K78" s="16"/>
      <c r="L78" s="17">
        <f>"销售费用_"&amp;D78&amp;"_"&amp;C78</f>
      </c>
      <c r="M78" s="17" t="str">
        <v>6601.36.07</v>
      </c>
      <c r="N78" s="17"/>
      <c r="O78" s="17">
        <f>C78</f>
      </c>
      <c r="P78" s="16" t="str">
        <v>Y</v>
      </c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16">
        <f>ROW(B79)-2</f>
      </c>
      <c r="B79" s="19" t="str">
        <v>内容制作费</v>
      </c>
      <c r="C79" s="19" t="str">
        <v>动画制作费</v>
      </c>
      <c r="D79" s="16" t="str">
        <v>营销费用</v>
      </c>
      <c r="E79" s="20">
        <f>G79</f>
      </c>
      <c r="F79" s="18" t="str">
        <v>品牌项目</v>
      </c>
      <c r="G79" s="18" t="str">
        <v>IMC国妆</v>
      </c>
      <c r="H79" s="16" t="str">
        <v>品牌产品中心</v>
      </c>
      <c r="I79" s="16" t="str">
        <v>品牌营销部</v>
      </c>
      <c r="J79" s="16"/>
      <c r="K79" s="16"/>
      <c r="L79" s="17">
        <f>"销售费用_"&amp;D79&amp;"_"&amp;C79</f>
      </c>
      <c r="M79" s="17" t="str">
        <v>6601.36.07</v>
      </c>
      <c r="N79" s="17"/>
      <c r="O79" s="17">
        <f>C79</f>
      </c>
      <c r="P79" s="16" t="str">
        <v>Y</v>
      </c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16">
        <f>ROW(B80)-2</f>
      </c>
      <c r="B80" s="19" t="str">
        <v>内容制作费</v>
      </c>
      <c r="C80" s="19" t="str">
        <v>动画制作费</v>
      </c>
      <c r="D80" s="16" t="str">
        <v>营销费用</v>
      </c>
      <c r="E80" s="20">
        <f>G80</f>
      </c>
      <c r="F80" s="18" t="str">
        <v>品牌项目</v>
      </c>
      <c r="G80" s="18" t="str">
        <v>IMC文化</v>
      </c>
      <c r="H80" s="16" t="str">
        <v>品牌产品中心</v>
      </c>
      <c r="I80" s="16" t="str">
        <v>品牌营销部</v>
      </c>
      <c r="J80" s="16"/>
      <c r="K80" s="16"/>
      <c r="L80" s="17">
        <f>"销售费用_"&amp;D80&amp;"_"&amp;C80</f>
      </c>
      <c r="M80" s="17" t="str">
        <v>6601.36.07</v>
      </c>
      <c r="N80" s="17"/>
      <c r="O80" s="17">
        <f>C80</f>
      </c>
      <c r="P80" s="16" t="str">
        <v>Y</v>
      </c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16">
        <f>ROW(B81)-2</f>
      </c>
      <c r="B81" s="19" t="str">
        <v>内容制作费</v>
      </c>
      <c r="C81" s="19" t="str">
        <v>动画制作费</v>
      </c>
      <c r="D81" s="16" t="str">
        <v>营销费用</v>
      </c>
      <c r="E81" s="20">
        <f>G81</f>
      </c>
      <c r="F81" s="18" t="str">
        <v>品牌项目</v>
      </c>
      <c r="G81" s="18" t="str">
        <v>日常-创意与物料</v>
      </c>
      <c r="H81" s="16" t="str">
        <v>品牌产品中心</v>
      </c>
      <c r="I81" s="16" t="str">
        <v>品牌营销部</v>
      </c>
      <c r="J81" s="16"/>
      <c r="K81" s="16"/>
      <c r="L81" s="17">
        <f>"销售费用_"&amp;D81&amp;"_"&amp;C81</f>
      </c>
      <c r="M81" s="17" t="str">
        <v>6601.36.07</v>
      </c>
      <c r="N81" s="17"/>
      <c r="O81" s="17">
        <f>C81</f>
      </c>
      <c r="P81" s="16" t="str">
        <v>Y</v>
      </c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16">
        <f>ROW(B82)-2</f>
      </c>
      <c r="B82" s="19" t="str">
        <v>内容制作费</v>
      </c>
      <c r="C82" s="19" t="str">
        <v>图文平面制作费</v>
      </c>
      <c r="D82" s="16" t="str">
        <v>营销费用</v>
      </c>
      <c r="E82" s="20">
        <f>G82</f>
      </c>
      <c r="F82" s="18" t="str">
        <v>品牌项目</v>
      </c>
      <c r="G82" s="18" t="str">
        <v>IMC花养</v>
      </c>
      <c r="H82" s="16" t="str">
        <v>品牌产品中心</v>
      </c>
      <c r="I82" s="16" t="str">
        <v>品牌营销部</v>
      </c>
      <c r="J82" s="16"/>
      <c r="K82" s="16"/>
      <c r="L82" s="17">
        <f>"销售费用_"&amp;D82&amp;"_"&amp;C82</f>
      </c>
      <c r="M82" s="17" t="str">
        <v>6601.36.22</v>
      </c>
      <c r="N82" s="17"/>
      <c r="O82" s="17">
        <f>C82</f>
      </c>
      <c r="P82" s="16" t="str">
        <v>Y</v>
      </c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16">
        <f>ROW(B83)-2</f>
      </c>
      <c r="B83" s="19" t="str">
        <v>内容制作费</v>
      </c>
      <c r="C83" s="19" t="str">
        <v>图文平面制作费</v>
      </c>
      <c r="D83" s="16" t="str">
        <v>营销费用</v>
      </c>
      <c r="E83" s="20">
        <f>G83</f>
      </c>
      <c r="F83" s="18" t="str">
        <v>品牌项目</v>
      </c>
      <c r="G83" s="18" t="str">
        <v>IMC国妆</v>
      </c>
      <c r="H83" s="16" t="str">
        <v>品牌产品中心</v>
      </c>
      <c r="I83" s="16" t="str">
        <v>品牌营销部</v>
      </c>
      <c r="J83" s="16"/>
      <c r="K83" s="16"/>
      <c r="L83" s="17">
        <f>"销售费用_"&amp;D83&amp;"_"&amp;C83</f>
      </c>
      <c r="M83" s="17" t="str">
        <v>6601.36.22</v>
      </c>
      <c r="N83" s="17"/>
      <c r="O83" s="17">
        <f>C83</f>
      </c>
      <c r="P83" s="16" t="str">
        <v>Y</v>
      </c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16">
        <f>ROW(B84)-2</f>
      </c>
      <c r="B84" s="19" t="str">
        <v>内容制作费</v>
      </c>
      <c r="C84" s="19" t="str">
        <v>图文平面制作费</v>
      </c>
      <c r="D84" s="16" t="str">
        <v>营销费用</v>
      </c>
      <c r="E84" s="20">
        <f>G84</f>
      </c>
      <c r="F84" s="18" t="str">
        <v>品牌项目</v>
      </c>
      <c r="G84" s="18" t="str">
        <v>IMC文化</v>
      </c>
      <c r="H84" s="16" t="str">
        <v>品牌产品中心</v>
      </c>
      <c r="I84" s="16" t="str">
        <v>品牌营销部</v>
      </c>
      <c r="J84" s="16"/>
      <c r="K84" s="16"/>
      <c r="L84" s="17">
        <f>"销售费用_"&amp;D84&amp;"_"&amp;C84</f>
      </c>
      <c r="M84" s="17" t="str">
        <v>6601.36.22</v>
      </c>
      <c r="N84" s="17"/>
      <c r="O84" s="17">
        <f>C84</f>
      </c>
      <c r="P84" s="16" t="str">
        <v>Y</v>
      </c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16">
        <f>ROW(B85)-2</f>
      </c>
      <c r="B85" s="19" t="str">
        <v>内容制作费</v>
      </c>
      <c r="C85" s="19" t="str">
        <v>图文平面制作费</v>
      </c>
      <c r="D85" s="16" t="str">
        <v>营销费用</v>
      </c>
      <c r="E85" s="20">
        <f>G85</f>
      </c>
      <c r="F85" s="18" t="str">
        <v>品牌项目</v>
      </c>
      <c r="G85" s="18" t="str">
        <v>日常-创意与物料</v>
      </c>
      <c r="H85" s="16" t="str">
        <v>品牌产品中心</v>
      </c>
      <c r="I85" s="16" t="str">
        <v>品牌营销部</v>
      </c>
      <c r="J85" s="16"/>
      <c r="K85" s="16"/>
      <c r="L85" s="17">
        <f>"销售费用_"&amp;D85&amp;"_"&amp;C85</f>
      </c>
      <c r="M85" s="17" t="str">
        <v>6601.36.22</v>
      </c>
      <c r="N85" s="17"/>
      <c r="O85" s="17">
        <f>C85</f>
      </c>
      <c r="P85" s="16" t="str">
        <v>Y</v>
      </c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16">
        <f>ROW(B86)-2</f>
      </c>
      <c r="B86" s="19" t="str">
        <v>内容制作费</v>
      </c>
      <c r="C86" s="19" t="str">
        <v>建模服务费</v>
      </c>
      <c r="D86" s="16" t="str">
        <v>营销费用</v>
      </c>
      <c r="E86" s="20">
        <f>G86</f>
      </c>
      <c r="F86" s="18" t="str">
        <v>品牌项目</v>
      </c>
      <c r="G86" s="18" t="str">
        <v>IMC花养</v>
      </c>
      <c r="H86" s="16" t="str">
        <v>品牌产品中心</v>
      </c>
      <c r="I86" s="16" t="str">
        <v>品牌营销部</v>
      </c>
      <c r="J86" s="16"/>
      <c r="K86" s="16"/>
      <c r="L86" s="17">
        <f>"销售费用_"&amp;D86&amp;"_"&amp;C86</f>
      </c>
      <c r="M86" s="17" t="str">
        <v>6601.36.10</v>
      </c>
      <c r="N86" s="17"/>
      <c r="O86" s="17">
        <f>C86</f>
      </c>
      <c r="P86" s="16" t="str">
        <v>Y</v>
      </c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16">
        <f>ROW(B87)-2</f>
      </c>
      <c r="B87" s="19" t="str">
        <v>内容制作费</v>
      </c>
      <c r="C87" s="19" t="str">
        <v>建模服务费</v>
      </c>
      <c r="D87" s="16" t="str">
        <v>营销费用</v>
      </c>
      <c r="E87" s="20">
        <f>G87</f>
      </c>
      <c r="F87" s="18" t="str">
        <v>品牌项目</v>
      </c>
      <c r="G87" s="18" t="str">
        <v>IMC国妆</v>
      </c>
      <c r="H87" s="16" t="str">
        <v>品牌产品中心</v>
      </c>
      <c r="I87" s="16" t="str">
        <v>品牌营销部</v>
      </c>
      <c r="J87" s="16"/>
      <c r="K87" s="16"/>
      <c r="L87" s="17">
        <f>"销售费用_"&amp;D87&amp;"_"&amp;C87</f>
      </c>
      <c r="M87" s="17" t="str">
        <v>6601.36.10</v>
      </c>
      <c r="N87" s="17"/>
      <c r="O87" s="17">
        <f>C87</f>
      </c>
      <c r="P87" s="16" t="str">
        <v>Y</v>
      </c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16">
        <f>ROW(B88)-2</f>
      </c>
      <c r="B88" s="19" t="str">
        <v>内容制作费</v>
      </c>
      <c r="C88" s="19" t="str">
        <v>建模服务费</v>
      </c>
      <c r="D88" s="16" t="str">
        <v>营销费用</v>
      </c>
      <c r="E88" s="20">
        <f>G88</f>
      </c>
      <c r="F88" s="18" t="str">
        <v>品牌项目</v>
      </c>
      <c r="G88" s="18" t="str">
        <v>IMC文化</v>
      </c>
      <c r="H88" s="16" t="str">
        <v>品牌产品中心</v>
      </c>
      <c r="I88" s="16" t="str">
        <v>品牌营销部</v>
      </c>
      <c r="J88" s="16"/>
      <c r="K88" s="16"/>
      <c r="L88" s="17">
        <f>"销售费用_"&amp;D88&amp;"_"&amp;C88</f>
      </c>
      <c r="M88" s="17" t="str">
        <v>6601.36.10</v>
      </c>
      <c r="N88" s="17"/>
      <c r="O88" s="17">
        <f>C88</f>
      </c>
      <c r="P88" s="16" t="str">
        <v>Y</v>
      </c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16">
        <f>ROW(B89)-2</f>
      </c>
      <c r="B89" s="19" t="str">
        <v>内容制作费</v>
      </c>
      <c r="C89" s="19" t="str">
        <v>建模服务费</v>
      </c>
      <c r="D89" s="16" t="str">
        <v>营销费用</v>
      </c>
      <c r="E89" s="20">
        <f>G89</f>
      </c>
      <c r="F89" s="18" t="str">
        <v>品牌项目</v>
      </c>
      <c r="G89" s="18" t="str">
        <v>日常-创意与物料</v>
      </c>
      <c r="H89" s="16" t="str">
        <v>品牌产品中心</v>
      </c>
      <c r="I89" s="16" t="str">
        <v>品牌营销部</v>
      </c>
      <c r="J89" s="16"/>
      <c r="K89" s="16"/>
      <c r="L89" s="17">
        <f>"销售费用_"&amp;D89&amp;"_"&amp;C89</f>
      </c>
      <c r="M89" s="17" t="str">
        <v>6601.36.10</v>
      </c>
      <c r="N89" s="17"/>
      <c r="O89" s="17">
        <f>C89</f>
      </c>
      <c r="P89" s="16" t="str">
        <v>Y</v>
      </c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16">
        <f>ROW(B90)-2</f>
      </c>
      <c r="B90" s="19" t="str">
        <v>内容制作费</v>
      </c>
      <c r="C90" s="19" t="str">
        <v>渲染服务费</v>
      </c>
      <c r="D90" s="16" t="str">
        <v>营销费用</v>
      </c>
      <c r="E90" s="20">
        <f>G90</f>
      </c>
      <c r="F90" s="18" t="str">
        <v>品牌项目</v>
      </c>
      <c r="G90" s="18" t="str">
        <v>IMC花养</v>
      </c>
      <c r="H90" s="16" t="str">
        <v>品牌产品中心</v>
      </c>
      <c r="I90" s="16" t="str">
        <v>品牌营销部</v>
      </c>
      <c r="J90" s="16"/>
      <c r="K90" s="16"/>
      <c r="L90" s="17">
        <f>"销售费用_"&amp;D90&amp;"_"&amp;C90</f>
      </c>
      <c r="M90" s="17" t="str">
        <v>6601.36.26</v>
      </c>
      <c r="N90" s="17"/>
      <c r="O90" s="17">
        <f>C90</f>
      </c>
      <c r="P90" s="16" t="str">
        <v>Y</v>
      </c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16">
        <f>ROW(B91)-2</f>
      </c>
      <c r="B91" s="19" t="str">
        <v>内容制作费</v>
      </c>
      <c r="C91" s="19" t="str">
        <v>渲染服务费</v>
      </c>
      <c r="D91" s="16" t="str">
        <v>营销费用</v>
      </c>
      <c r="E91" s="20">
        <f>G91</f>
      </c>
      <c r="F91" s="18" t="str">
        <v>品牌项目</v>
      </c>
      <c r="G91" s="18" t="str">
        <v>IMC国妆</v>
      </c>
      <c r="H91" s="16" t="str">
        <v>品牌产品中心</v>
      </c>
      <c r="I91" s="16" t="str">
        <v>品牌营销部</v>
      </c>
      <c r="J91" s="16"/>
      <c r="K91" s="16"/>
      <c r="L91" s="17">
        <f>"销售费用_"&amp;D91&amp;"_"&amp;C91</f>
      </c>
      <c r="M91" s="17" t="str">
        <v>6601.36.26</v>
      </c>
      <c r="N91" s="17"/>
      <c r="O91" s="17">
        <f>C91</f>
      </c>
      <c r="P91" s="16" t="str">
        <v>Y</v>
      </c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16">
        <f>ROW(B92)-2</f>
      </c>
      <c r="B92" s="19" t="str">
        <v>内容制作费</v>
      </c>
      <c r="C92" s="19" t="str">
        <v>渲染服务费</v>
      </c>
      <c r="D92" s="16" t="str">
        <v>营销费用</v>
      </c>
      <c r="E92" s="20">
        <f>G92</f>
      </c>
      <c r="F92" s="18" t="str">
        <v>品牌项目</v>
      </c>
      <c r="G92" s="18" t="str">
        <v>IMC文化</v>
      </c>
      <c r="H92" s="16" t="str">
        <v>品牌产品中心</v>
      </c>
      <c r="I92" s="16" t="str">
        <v>品牌营销部</v>
      </c>
      <c r="J92" s="16"/>
      <c r="K92" s="16"/>
      <c r="L92" s="17">
        <f>"销售费用_"&amp;D92&amp;"_"&amp;C92</f>
      </c>
      <c r="M92" s="17" t="str">
        <v>6601.36.26</v>
      </c>
      <c r="N92" s="17"/>
      <c r="O92" s="17">
        <f>C92</f>
      </c>
      <c r="P92" s="16" t="str">
        <v>Y</v>
      </c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16">
        <f>ROW(B93)-2</f>
      </c>
      <c r="B93" s="19" t="str">
        <v>内容制作费</v>
      </c>
      <c r="C93" s="19" t="str">
        <v>渲染服务费</v>
      </c>
      <c r="D93" s="16" t="str">
        <v>营销费用</v>
      </c>
      <c r="E93" s="20">
        <f>G93</f>
      </c>
      <c r="F93" s="18" t="str">
        <v>品牌项目</v>
      </c>
      <c r="G93" s="18" t="str">
        <v>日常-创意与物料</v>
      </c>
      <c r="H93" s="16" t="str">
        <v>品牌产品中心</v>
      </c>
      <c r="I93" s="16" t="str">
        <v>品牌营销部</v>
      </c>
      <c r="J93" s="16"/>
      <c r="K93" s="16"/>
      <c r="L93" s="17">
        <f>"销售费用_"&amp;D93&amp;"_"&amp;C93</f>
      </c>
      <c r="M93" s="17" t="str">
        <v>6601.36.26</v>
      </c>
      <c r="N93" s="17"/>
      <c r="O93" s="17">
        <f>C93</f>
      </c>
      <c r="P93" s="16" t="str">
        <v>Y</v>
      </c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16">
        <f>ROW(B94)-2</f>
      </c>
      <c r="B94" s="19" t="str">
        <v>内容制作费</v>
      </c>
      <c r="C94" s="19" t="str">
        <v>模特服务费</v>
      </c>
      <c r="D94" s="16" t="str">
        <v>营销费用</v>
      </c>
      <c r="E94" s="20">
        <f>G94</f>
      </c>
      <c r="F94" s="18" t="str">
        <v>品牌项目</v>
      </c>
      <c r="G94" s="18" t="str">
        <v>IMC花养</v>
      </c>
      <c r="H94" s="16" t="str">
        <v>品牌产品中心</v>
      </c>
      <c r="I94" s="16" t="str">
        <v>品牌营销部</v>
      </c>
      <c r="J94" s="16"/>
      <c r="K94" s="16"/>
      <c r="L94" s="17">
        <f>"销售费用_"&amp;D94&amp;"_"&amp;C94</f>
      </c>
      <c r="M94" s="17" t="str">
        <v>6601.36.13</v>
      </c>
      <c r="N94" s="17"/>
      <c r="O94" s="17">
        <f>C94</f>
      </c>
      <c r="P94" s="16" t="str">
        <v>Y</v>
      </c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16">
        <f>ROW(B95)-2</f>
      </c>
      <c r="B95" s="19" t="str">
        <v>内容制作费</v>
      </c>
      <c r="C95" s="19" t="str">
        <v>模特服务费</v>
      </c>
      <c r="D95" s="16" t="str">
        <v>营销费用</v>
      </c>
      <c r="E95" s="20">
        <f>G95</f>
      </c>
      <c r="F95" s="18" t="str">
        <v>品牌项目</v>
      </c>
      <c r="G95" s="18" t="str">
        <v>IMC国妆</v>
      </c>
      <c r="H95" s="16" t="str">
        <v>品牌产品中心</v>
      </c>
      <c r="I95" s="16" t="str">
        <v>品牌营销部</v>
      </c>
      <c r="J95" s="16"/>
      <c r="K95" s="16"/>
      <c r="L95" s="17">
        <f>"销售费用_"&amp;D95&amp;"_"&amp;C95</f>
      </c>
      <c r="M95" s="17" t="str">
        <v>6601.36.13</v>
      </c>
      <c r="N95" s="17"/>
      <c r="O95" s="17">
        <f>C95</f>
      </c>
      <c r="P95" s="16" t="str">
        <v>Y</v>
      </c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16">
        <f>ROW(B96)-2</f>
      </c>
      <c r="B96" s="19" t="str">
        <v>内容制作费</v>
      </c>
      <c r="C96" s="19" t="str">
        <v>模特服务费</v>
      </c>
      <c r="D96" s="16" t="str">
        <v>营销费用</v>
      </c>
      <c r="E96" s="20">
        <f>G96</f>
      </c>
      <c r="F96" s="18" t="str">
        <v>品牌项目</v>
      </c>
      <c r="G96" s="18" t="str">
        <v>IMC文化</v>
      </c>
      <c r="H96" s="16" t="str">
        <v>品牌产品中心</v>
      </c>
      <c r="I96" s="16" t="str">
        <v>品牌营销部</v>
      </c>
      <c r="J96" s="16"/>
      <c r="K96" s="16"/>
      <c r="L96" s="17">
        <f>"销售费用_"&amp;D96&amp;"_"&amp;C96</f>
      </c>
      <c r="M96" s="17" t="str">
        <v>6601.36.13</v>
      </c>
      <c r="N96" s="17"/>
      <c r="O96" s="17">
        <f>C96</f>
      </c>
      <c r="P96" s="16" t="str">
        <v>Y</v>
      </c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16">
        <f>ROW(B97)-2</f>
      </c>
      <c r="B97" s="19" t="str">
        <v>内容制作费</v>
      </c>
      <c r="C97" s="19" t="str">
        <v>模特服务费</v>
      </c>
      <c r="D97" s="16" t="str">
        <v>营销费用</v>
      </c>
      <c r="E97" s="20">
        <f>G97</f>
      </c>
      <c r="F97" s="18" t="str">
        <v>品牌项目</v>
      </c>
      <c r="G97" s="18" t="str">
        <v>日常-创意与物料</v>
      </c>
      <c r="H97" s="16" t="str">
        <v>品牌产品中心</v>
      </c>
      <c r="I97" s="16" t="str">
        <v>品牌营销部</v>
      </c>
      <c r="J97" s="16"/>
      <c r="K97" s="16"/>
      <c r="L97" s="17">
        <f>"销售费用_"&amp;D97&amp;"_"&amp;C97</f>
      </c>
      <c r="M97" s="17" t="str">
        <v>6601.36.13</v>
      </c>
      <c r="N97" s="17"/>
      <c r="O97" s="17">
        <f>C97</f>
      </c>
      <c r="P97" s="16" t="str">
        <v>Y</v>
      </c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16">
        <f>ROW(B98)-2</f>
      </c>
      <c r="B98" s="19" t="str">
        <v>内容制作费</v>
      </c>
      <c r="C98" s="19" t="str">
        <v>专业人物合作费</v>
      </c>
      <c r="D98" s="16" t="str">
        <v>营销费用</v>
      </c>
      <c r="E98" s="20">
        <f>G98</f>
      </c>
      <c r="F98" s="18" t="str">
        <v>品牌项目</v>
      </c>
      <c r="G98" s="18" t="str">
        <v>IMC花养</v>
      </c>
      <c r="H98" s="16" t="str">
        <v>品牌产品中心</v>
      </c>
      <c r="I98" s="16" t="str">
        <v>品牌营销部</v>
      </c>
      <c r="J98" s="16"/>
      <c r="K98" s="16"/>
      <c r="L98" s="17">
        <f>"销售费用_"&amp;D98&amp;"_"&amp;C98</f>
      </c>
      <c r="M98" s="17" t="str">
        <v>6601.36.32</v>
      </c>
      <c r="N98" s="17"/>
      <c r="O98" s="17">
        <f>C98</f>
      </c>
      <c r="P98" s="16" t="str">
        <v>Y</v>
      </c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16">
        <f>ROW(B99)-2</f>
      </c>
      <c r="B99" s="19" t="str">
        <v>内容制作费</v>
      </c>
      <c r="C99" s="19" t="str">
        <v>专业人物合作费</v>
      </c>
      <c r="D99" s="16" t="str">
        <v>营销费用</v>
      </c>
      <c r="E99" s="20">
        <f>G99</f>
      </c>
      <c r="F99" s="18" t="str">
        <v>品牌项目</v>
      </c>
      <c r="G99" s="18" t="str">
        <v>IMC国妆</v>
      </c>
      <c r="H99" s="16" t="str">
        <v>品牌产品中心</v>
      </c>
      <c r="I99" s="16" t="str">
        <v>品牌营销部</v>
      </c>
      <c r="J99" s="16"/>
      <c r="K99" s="16"/>
      <c r="L99" s="17">
        <f>"销售费用_"&amp;D99&amp;"_"&amp;C99</f>
      </c>
      <c r="M99" s="17" t="str">
        <v>6601.36.32</v>
      </c>
      <c r="N99" s="17"/>
      <c r="O99" s="17">
        <f>C99</f>
      </c>
      <c r="P99" s="16" t="str">
        <v>Y</v>
      </c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16">
        <f>ROW(B100)-2</f>
      </c>
      <c r="B100" s="19" t="str">
        <v>内容制作费</v>
      </c>
      <c r="C100" s="19" t="str">
        <v>专业人物合作费</v>
      </c>
      <c r="D100" s="16" t="str">
        <v>营销费用</v>
      </c>
      <c r="E100" s="20">
        <f>G100</f>
      </c>
      <c r="F100" s="18" t="str">
        <v>品牌项目</v>
      </c>
      <c r="G100" s="18" t="str">
        <v>IMC文化</v>
      </c>
      <c r="H100" s="16" t="str">
        <v>品牌产品中心</v>
      </c>
      <c r="I100" s="16" t="str">
        <v>品牌营销部</v>
      </c>
      <c r="J100" s="16"/>
      <c r="K100" s="16"/>
      <c r="L100" s="17">
        <f>"销售费用_"&amp;D100&amp;"_"&amp;C100</f>
      </c>
      <c r="M100" s="17" t="str">
        <v>6601.36.32</v>
      </c>
      <c r="N100" s="17"/>
      <c r="O100" s="17">
        <f>C100</f>
      </c>
      <c r="P100" s="16" t="str">
        <v>Y</v>
      </c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16">
        <f>ROW(B101)-2</f>
      </c>
      <c r="B101" s="19" t="str">
        <v>内容制作费</v>
      </c>
      <c r="C101" s="19" t="str">
        <v>专业人物合作费</v>
      </c>
      <c r="D101" s="16" t="str">
        <v>营销费用</v>
      </c>
      <c r="E101" s="20">
        <f>G101</f>
      </c>
      <c r="F101" s="18" t="str">
        <v>品牌项目</v>
      </c>
      <c r="G101" s="18" t="str">
        <v>日常-创意与物料</v>
      </c>
      <c r="H101" s="16" t="str">
        <v>品牌产品中心</v>
      </c>
      <c r="I101" s="16" t="str">
        <v>品牌营销部</v>
      </c>
      <c r="J101" s="16"/>
      <c r="K101" s="16"/>
      <c r="L101" s="17">
        <f>"销售费用_"&amp;D101&amp;"_"&amp;C101</f>
      </c>
      <c r="M101" s="17" t="str">
        <v>6601.36.32</v>
      </c>
      <c r="N101" s="17"/>
      <c r="O101" s="17">
        <f>C101</f>
      </c>
      <c r="P101" s="16" t="str">
        <v>Y</v>
      </c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16">
        <f>ROW(B102)-2</f>
      </c>
      <c r="B102" s="19" t="str">
        <v>内容制作费</v>
      </c>
      <c r="C102" s="19" t="str">
        <v>服化道费用</v>
      </c>
      <c r="D102" s="16" t="str">
        <v>营销费用</v>
      </c>
      <c r="E102" s="20">
        <f>G102</f>
      </c>
      <c r="F102" s="18" t="str">
        <v>品牌项目</v>
      </c>
      <c r="G102" s="18" t="str">
        <v>IMC花养</v>
      </c>
      <c r="H102" s="16" t="str">
        <v>品牌产品中心</v>
      </c>
      <c r="I102" s="16" t="str">
        <v>品牌营销部</v>
      </c>
      <c r="J102" s="16"/>
      <c r="K102" s="16"/>
      <c r="L102" s="17">
        <f>"销售费用_"&amp;D102&amp;"_"&amp;C102</f>
      </c>
      <c r="M102" s="17" t="str">
        <v>6601.36.08</v>
      </c>
      <c r="N102" s="17"/>
      <c r="O102" s="17" t="str">
        <v>服装费、化妆费、道具费</v>
      </c>
      <c r="P102" s="16" t="str">
        <v>Y</v>
      </c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16">
        <f>ROW(B103)-2</f>
      </c>
      <c r="B103" s="19" t="str">
        <v>内容制作费</v>
      </c>
      <c r="C103" s="19" t="str">
        <v>服化道费用</v>
      </c>
      <c r="D103" s="16" t="str">
        <v>营销费用</v>
      </c>
      <c r="E103" s="20">
        <f>G103</f>
      </c>
      <c r="F103" s="18" t="str">
        <v>品牌项目</v>
      </c>
      <c r="G103" s="18" t="str">
        <v>IMC国妆</v>
      </c>
      <c r="H103" s="16" t="str">
        <v>品牌产品中心</v>
      </c>
      <c r="I103" s="16" t="str">
        <v>品牌营销部</v>
      </c>
      <c r="J103" s="16"/>
      <c r="K103" s="16"/>
      <c r="L103" s="17">
        <f>"销售费用_"&amp;D103&amp;"_"&amp;C103</f>
      </c>
      <c r="M103" s="17" t="str">
        <v>6601.36.08</v>
      </c>
      <c r="N103" s="17"/>
      <c r="O103" s="17" t="str">
        <v>服装费、化妆费、道具费</v>
      </c>
      <c r="P103" s="16" t="str">
        <v>Y</v>
      </c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16">
        <f>ROW(B104)-2</f>
      </c>
      <c r="B104" s="19" t="str">
        <v>内容制作费</v>
      </c>
      <c r="C104" s="19" t="str">
        <v>服化道费用</v>
      </c>
      <c r="D104" s="16" t="str">
        <v>营销费用</v>
      </c>
      <c r="E104" s="20">
        <f>G104</f>
      </c>
      <c r="F104" s="18" t="str">
        <v>品牌项目</v>
      </c>
      <c r="G104" s="18" t="str">
        <v>IMC文化</v>
      </c>
      <c r="H104" s="16" t="str">
        <v>品牌产品中心</v>
      </c>
      <c r="I104" s="16" t="str">
        <v>品牌营销部</v>
      </c>
      <c r="J104" s="16"/>
      <c r="K104" s="16"/>
      <c r="L104" s="17">
        <f>"销售费用_"&amp;D104&amp;"_"&amp;C104</f>
      </c>
      <c r="M104" s="17" t="str">
        <v>6601.36.08</v>
      </c>
      <c r="N104" s="17"/>
      <c r="O104" s="17" t="str">
        <v>服装费、化妆费、道具费</v>
      </c>
      <c r="P104" s="16" t="str">
        <v>Y</v>
      </c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16">
        <f>ROW(B105)-2</f>
      </c>
      <c r="B105" s="19" t="str">
        <v>内容制作费</v>
      </c>
      <c r="C105" s="19" t="str">
        <v>服化道费用</v>
      </c>
      <c r="D105" s="16" t="str">
        <v>营销费用</v>
      </c>
      <c r="E105" s="20">
        <f>G105</f>
      </c>
      <c r="F105" s="18" t="str">
        <v>品牌项目</v>
      </c>
      <c r="G105" s="18" t="str">
        <v>日常-创意与物料</v>
      </c>
      <c r="H105" s="16" t="str">
        <v>品牌产品中心</v>
      </c>
      <c r="I105" s="16" t="str">
        <v>品牌营销部</v>
      </c>
      <c r="J105" s="16"/>
      <c r="K105" s="16"/>
      <c r="L105" s="17">
        <f>"销售费用_"&amp;D105&amp;"_"&amp;C105</f>
      </c>
      <c r="M105" s="17" t="str">
        <v>6601.36.08</v>
      </c>
      <c r="N105" s="17"/>
      <c r="O105" s="17" t="str">
        <v>服装费、化妆费、道具费</v>
      </c>
      <c r="P105" s="16" t="str">
        <v>Y</v>
      </c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16">
        <f>ROW(B106)-2</f>
      </c>
      <c r="B106" s="19" t="str">
        <v>内容制作费</v>
      </c>
      <c r="C106" s="19" t="str">
        <v>拍摄服务费</v>
      </c>
      <c r="D106" s="16" t="str">
        <v>营销费用</v>
      </c>
      <c r="E106" s="20">
        <f>G106</f>
      </c>
      <c r="F106" s="18" t="str">
        <v>品牌项目</v>
      </c>
      <c r="G106" s="18" t="str">
        <v>IMC花养</v>
      </c>
      <c r="H106" s="16" t="str">
        <v>品牌产品中心</v>
      </c>
      <c r="I106" s="16" t="str">
        <v>品牌营销部</v>
      </c>
      <c r="J106" s="16"/>
      <c r="K106" s="16"/>
      <c r="L106" s="17">
        <f>"销售费用_"&amp;D106&amp;"_"&amp;C106</f>
      </c>
      <c r="M106" s="17" t="str">
        <v>6601.36.15</v>
      </c>
      <c r="N106" s="17"/>
      <c r="O106" s="17">
        <f>C106</f>
      </c>
      <c r="P106" s="16" t="str">
        <v>Y</v>
      </c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16">
        <f>ROW(B107)-2</f>
      </c>
      <c r="B107" s="19" t="str">
        <v>内容制作费</v>
      </c>
      <c r="C107" s="19" t="str">
        <v>拍摄服务费</v>
      </c>
      <c r="D107" s="16" t="str">
        <v>营销费用</v>
      </c>
      <c r="E107" s="20">
        <f>G107</f>
      </c>
      <c r="F107" s="18" t="str">
        <v>品牌项目</v>
      </c>
      <c r="G107" s="18" t="str">
        <v>IMC国妆</v>
      </c>
      <c r="H107" s="16" t="str">
        <v>品牌产品中心</v>
      </c>
      <c r="I107" s="16" t="str">
        <v>品牌营销部</v>
      </c>
      <c r="J107" s="16"/>
      <c r="K107" s="16"/>
      <c r="L107" s="17">
        <f>"销售费用_"&amp;D107&amp;"_"&amp;C107</f>
      </c>
      <c r="M107" s="17" t="str">
        <v>6601.36.15</v>
      </c>
      <c r="N107" s="17"/>
      <c r="O107" s="17">
        <f>C107</f>
      </c>
      <c r="P107" s="16" t="str">
        <v>Y</v>
      </c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16">
        <f>ROW(B108)-2</f>
      </c>
      <c r="B108" s="19" t="str">
        <v>内容制作费</v>
      </c>
      <c r="C108" s="19" t="str">
        <v>拍摄服务费</v>
      </c>
      <c r="D108" s="16" t="str">
        <v>营销费用</v>
      </c>
      <c r="E108" s="20">
        <f>G108</f>
      </c>
      <c r="F108" s="18" t="str">
        <v>品牌项目</v>
      </c>
      <c r="G108" s="18" t="str">
        <v>IMC文化</v>
      </c>
      <c r="H108" s="16" t="str">
        <v>品牌产品中心</v>
      </c>
      <c r="I108" s="16" t="str">
        <v>品牌营销部</v>
      </c>
      <c r="J108" s="16"/>
      <c r="K108" s="16"/>
      <c r="L108" s="17">
        <f>"销售费用_"&amp;D108&amp;"_"&amp;C108</f>
      </c>
      <c r="M108" s="17" t="str">
        <v>6601.36.15</v>
      </c>
      <c r="N108" s="17"/>
      <c r="O108" s="17">
        <f>C108</f>
      </c>
      <c r="P108" s="16" t="str">
        <v>Y</v>
      </c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16">
        <f>ROW(B109)-2</f>
      </c>
      <c r="B109" s="19" t="str">
        <v>内容制作费</v>
      </c>
      <c r="C109" s="19" t="str">
        <v>拍摄服务费</v>
      </c>
      <c r="D109" s="16" t="str">
        <v>营销费用</v>
      </c>
      <c r="E109" s="20">
        <f>G109</f>
      </c>
      <c r="F109" s="18" t="str">
        <v>品牌项目</v>
      </c>
      <c r="G109" s="18" t="str">
        <v>日常-创意与物料</v>
      </c>
      <c r="H109" s="16" t="str">
        <v>品牌产品中心</v>
      </c>
      <c r="I109" s="16" t="str">
        <v>品牌营销部</v>
      </c>
      <c r="J109" s="16"/>
      <c r="K109" s="16"/>
      <c r="L109" s="17">
        <f>"销售费用_"&amp;D109&amp;"_"&amp;C109</f>
      </c>
      <c r="M109" s="17" t="str">
        <v>6601.36.15</v>
      </c>
      <c r="N109" s="17"/>
      <c r="O109" s="17">
        <f>C109</f>
      </c>
      <c r="P109" s="16" t="str">
        <v>Y</v>
      </c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16">
        <f>ROW(B110)-2</f>
      </c>
      <c r="B110" s="19" t="str">
        <v>内容制作费</v>
      </c>
      <c r="C110" s="19" t="str">
        <v>拍摄物料费</v>
      </c>
      <c r="D110" s="16" t="str">
        <v>营销费用</v>
      </c>
      <c r="E110" s="20">
        <f>G110</f>
      </c>
      <c r="F110" s="18" t="str">
        <v>品牌项目</v>
      </c>
      <c r="G110" s="18" t="str">
        <v>IMC花养</v>
      </c>
      <c r="H110" s="16" t="str">
        <v>品牌产品中心</v>
      </c>
      <c r="I110" s="16" t="str">
        <v>品牌营销部</v>
      </c>
      <c r="J110" s="16"/>
      <c r="K110" s="16"/>
      <c r="L110" s="17">
        <f>"销售费用_"&amp;D110&amp;"_"&amp;C110</f>
      </c>
      <c r="M110" s="17" t="str">
        <v>6601.36.16</v>
      </c>
      <c r="N110" s="17"/>
      <c r="O110" s="17">
        <f>C110</f>
      </c>
      <c r="P110" s="16" t="str">
        <v>Y</v>
      </c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16">
        <f>ROW(B111)-2</f>
      </c>
      <c r="B111" s="19" t="str">
        <v>内容制作费</v>
      </c>
      <c r="C111" s="19" t="str">
        <v>拍摄物料费</v>
      </c>
      <c r="D111" s="16" t="str">
        <v>营销费用</v>
      </c>
      <c r="E111" s="20">
        <f>G111</f>
      </c>
      <c r="F111" s="18" t="str">
        <v>品牌项目</v>
      </c>
      <c r="G111" s="18" t="str">
        <v>IMC国妆</v>
      </c>
      <c r="H111" s="16" t="str">
        <v>品牌产品中心</v>
      </c>
      <c r="I111" s="16" t="str">
        <v>品牌营销部</v>
      </c>
      <c r="J111" s="16"/>
      <c r="K111" s="16"/>
      <c r="L111" s="17">
        <f>"销售费用_"&amp;D111&amp;"_"&amp;C111</f>
      </c>
      <c r="M111" s="17" t="str">
        <v>6601.36.16</v>
      </c>
      <c r="N111" s="17"/>
      <c r="O111" s="17">
        <f>C111</f>
      </c>
      <c r="P111" s="16" t="str">
        <v>Y</v>
      </c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16">
        <f>ROW(B112)-2</f>
      </c>
      <c r="B112" s="19" t="str">
        <v>内容制作费</v>
      </c>
      <c r="C112" s="19" t="str">
        <v>拍摄物料费</v>
      </c>
      <c r="D112" s="16" t="str">
        <v>营销费用</v>
      </c>
      <c r="E112" s="20">
        <f>G112</f>
      </c>
      <c r="F112" s="18" t="str">
        <v>品牌项目</v>
      </c>
      <c r="G112" s="18" t="str">
        <v>IMC文化</v>
      </c>
      <c r="H112" s="16" t="str">
        <v>品牌产品中心</v>
      </c>
      <c r="I112" s="16" t="str">
        <v>品牌营销部</v>
      </c>
      <c r="J112" s="16"/>
      <c r="K112" s="16"/>
      <c r="L112" s="17">
        <f>"销售费用_"&amp;D112&amp;"_"&amp;C112</f>
      </c>
      <c r="M112" s="17" t="str">
        <v>6601.36.16</v>
      </c>
      <c r="N112" s="17"/>
      <c r="O112" s="17">
        <f>C112</f>
      </c>
      <c r="P112" s="16" t="str">
        <v>Y</v>
      </c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16">
        <f>ROW(B113)-2</f>
      </c>
      <c r="B113" s="19" t="str">
        <v>内容制作费</v>
      </c>
      <c r="C113" s="19" t="str">
        <v>拍摄物料费</v>
      </c>
      <c r="D113" s="16" t="str">
        <v>营销费用</v>
      </c>
      <c r="E113" s="20">
        <f>G113</f>
      </c>
      <c r="F113" s="18" t="str">
        <v>品牌项目</v>
      </c>
      <c r="G113" s="18" t="str">
        <v>日常-创意与物料</v>
      </c>
      <c r="H113" s="16" t="str">
        <v>品牌产品中心</v>
      </c>
      <c r="I113" s="16" t="str">
        <v>品牌营销部</v>
      </c>
      <c r="J113" s="16"/>
      <c r="K113" s="16"/>
      <c r="L113" s="17">
        <f>"销售费用_"&amp;D113&amp;"_"&amp;C113</f>
      </c>
      <c r="M113" s="17" t="str">
        <v>6601.36.16</v>
      </c>
      <c r="N113" s="17"/>
      <c r="O113" s="17">
        <f>C113</f>
      </c>
      <c r="P113" s="16" t="str">
        <v>Y</v>
      </c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16">
        <f>ROW(B114)-2</f>
      </c>
      <c r="B114" s="19" t="str">
        <v>内容制作费</v>
      </c>
      <c r="C114" s="19" t="str">
        <v>内容制作费</v>
      </c>
      <c r="D114" s="16" t="str">
        <v>营销费用</v>
      </c>
      <c r="E114" s="20">
        <f>G114</f>
      </c>
      <c r="F114" s="18" t="str">
        <v>品牌项目</v>
      </c>
      <c r="G114" s="18" t="str">
        <v>IMC花养</v>
      </c>
      <c r="H114" s="16" t="str">
        <v>品牌产品中心</v>
      </c>
      <c r="I114" s="16" t="str">
        <v>品牌营销部</v>
      </c>
      <c r="J114" s="16"/>
      <c r="K114" s="16"/>
      <c r="L114" s="17">
        <f>"销售费用_"&amp;D114&amp;"_"&amp;C114</f>
      </c>
      <c r="M114" s="17" t="str">
        <v>6601.36.14</v>
      </c>
      <c r="N114" s="17"/>
      <c r="O114" s="17">
        <f>C114</f>
      </c>
      <c r="P114" s="16" t="str">
        <v>Y</v>
      </c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16">
        <f>ROW(B115)-2</f>
      </c>
      <c r="B115" s="19" t="str">
        <v>内容制作费</v>
      </c>
      <c r="C115" s="19" t="str">
        <v>内容制作费</v>
      </c>
      <c r="D115" s="16" t="str">
        <v>营销费用</v>
      </c>
      <c r="E115" s="20">
        <f>G115</f>
      </c>
      <c r="F115" s="18" t="str">
        <v>品牌项目</v>
      </c>
      <c r="G115" s="18" t="str">
        <v>IMC国妆</v>
      </c>
      <c r="H115" s="16" t="str">
        <v>品牌产品中心</v>
      </c>
      <c r="I115" s="16" t="str">
        <v>品牌营销部</v>
      </c>
      <c r="J115" s="16"/>
      <c r="K115" s="16"/>
      <c r="L115" s="17">
        <f>"销售费用_"&amp;D115&amp;"_"&amp;C115</f>
      </c>
      <c r="M115" s="17" t="str">
        <v>6601.36.14</v>
      </c>
      <c r="N115" s="17"/>
      <c r="O115" s="17">
        <f>C115</f>
      </c>
      <c r="P115" s="16" t="str">
        <v>Y</v>
      </c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16">
        <f>ROW(B116)-2</f>
      </c>
      <c r="B116" s="19" t="str">
        <v>内容制作费</v>
      </c>
      <c r="C116" s="19" t="str">
        <v>内容制作费</v>
      </c>
      <c r="D116" s="16" t="str">
        <v>营销费用</v>
      </c>
      <c r="E116" s="20">
        <f>G116</f>
      </c>
      <c r="F116" s="18" t="str">
        <v>品牌项目</v>
      </c>
      <c r="G116" s="18" t="str">
        <v>IMC文化</v>
      </c>
      <c r="H116" s="16" t="str">
        <v>品牌产品中心</v>
      </c>
      <c r="I116" s="16" t="str">
        <v>品牌营销部</v>
      </c>
      <c r="J116" s="16"/>
      <c r="K116" s="16"/>
      <c r="L116" s="17">
        <f>"销售费用_"&amp;D116&amp;"_"&amp;C116</f>
      </c>
      <c r="M116" s="17" t="str">
        <v>6601.36.14</v>
      </c>
      <c r="N116" s="17"/>
      <c r="O116" s="17">
        <f>C116</f>
      </c>
      <c r="P116" s="16" t="str">
        <v>Y</v>
      </c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16">
        <f>ROW(B117)-2</f>
      </c>
      <c r="B117" s="19" t="str">
        <v>内容制作费</v>
      </c>
      <c r="C117" s="19" t="str">
        <v>内容制作费</v>
      </c>
      <c r="D117" s="16" t="str">
        <v>营销费用</v>
      </c>
      <c r="E117" s="20">
        <f>G117</f>
      </c>
      <c r="F117" s="18" t="str">
        <v>品牌项目</v>
      </c>
      <c r="G117" s="18" t="str">
        <v>日常-创意与物料</v>
      </c>
      <c r="H117" s="16" t="str">
        <v>品牌产品中心</v>
      </c>
      <c r="I117" s="16" t="str">
        <v>品牌营销部</v>
      </c>
      <c r="J117" s="16"/>
      <c r="K117" s="16"/>
      <c r="L117" s="17">
        <f>"销售费用_"&amp;D117&amp;"_"&amp;C117</f>
      </c>
      <c r="M117" s="17" t="str">
        <v>6601.36.14</v>
      </c>
      <c r="N117" s="17"/>
      <c r="O117" s="17">
        <f>C117</f>
      </c>
      <c r="P117" s="16" t="str">
        <v>Y</v>
      </c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16">
        <f>ROW(B118)-2</f>
      </c>
      <c r="B118" s="19" t="str">
        <v>品牌宣传费</v>
      </c>
      <c r="C118" s="19" t="str">
        <v>创意策划服务费</v>
      </c>
      <c r="D118" s="16" t="str">
        <v>营销费用</v>
      </c>
      <c r="E118" s="20">
        <f>G118</f>
      </c>
      <c r="F118" s="18" t="str">
        <v>品牌项目</v>
      </c>
      <c r="G118" s="18" t="str">
        <v>IMC花养</v>
      </c>
      <c r="H118" s="16" t="str">
        <v>品牌产品中心</v>
      </c>
      <c r="I118" s="16" t="str">
        <v>品牌营销部</v>
      </c>
      <c r="J118" s="16"/>
      <c r="K118" s="16"/>
      <c r="L118" s="17" t="str">
        <v>销售费用_营销费用_策划服务费</v>
      </c>
      <c r="M118" s="17" t="str">
        <v>6601.36.01</v>
      </c>
      <c r="N118" s="17"/>
      <c r="O118" s="17" t="str">
        <v>策划服务费</v>
      </c>
      <c r="P118" s="16" t="str">
        <v>Y</v>
      </c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16">
        <f>ROW(B119)-2</f>
      </c>
      <c r="B119" s="19" t="str">
        <v>品牌宣传费</v>
      </c>
      <c r="C119" s="19" t="str">
        <v>创意策划服务费</v>
      </c>
      <c r="D119" s="16" t="str">
        <v>营销费用</v>
      </c>
      <c r="E119" s="20">
        <f>G119</f>
      </c>
      <c r="F119" s="18" t="str">
        <v>品牌项目</v>
      </c>
      <c r="G119" s="18" t="str">
        <v>IMC国妆</v>
      </c>
      <c r="H119" s="16" t="str">
        <v>品牌产品中心</v>
      </c>
      <c r="I119" s="16" t="str">
        <v>品牌营销部</v>
      </c>
      <c r="J119" s="16"/>
      <c r="K119" s="16"/>
      <c r="L119" s="17" t="str">
        <v>销售费用_营销费用_策划服务费</v>
      </c>
      <c r="M119" s="17" t="str">
        <v>6601.36.01</v>
      </c>
      <c r="N119" s="17"/>
      <c r="O119" s="17" t="str">
        <v>策划服务费</v>
      </c>
      <c r="P119" s="16" t="str">
        <v>Y</v>
      </c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16">
        <f>ROW(B120)-2</f>
      </c>
      <c r="B120" s="19" t="str">
        <v>品牌宣传费</v>
      </c>
      <c r="C120" s="19" t="str">
        <v>创意策划服务费</v>
      </c>
      <c r="D120" s="16" t="str">
        <v>营销费用</v>
      </c>
      <c r="E120" s="20">
        <f>G120</f>
      </c>
      <c r="F120" s="18" t="str">
        <v>品牌项目</v>
      </c>
      <c r="G120" s="18" t="str">
        <v>IMC文化</v>
      </c>
      <c r="H120" s="16" t="str">
        <v>品牌产品中心</v>
      </c>
      <c r="I120" s="16" t="str">
        <v>品牌营销部</v>
      </c>
      <c r="J120" s="16"/>
      <c r="K120" s="16"/>
      <c r="L120" s="17" t="str">
        <v>销售费用_营销费用_策划服务费</v>
      </c>
      <c r="M120" s="17" t="str">
        <v>6601.36.01</v>
      </c>
      <c r="N120" s="17"/>
      <c r="O120" s="17" t="str">
        <v>策划服务费</v>
      </c>
      <c r="P120" s="16" t="str">
        <v>Y</v>
      </c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16">
        <f>ROW(B121)-2</f>
      </c>
      <c r="B121" s="19" t="str">
        <v>品牌宣传费</v>
      </c>
      <c r="C121" s="19" t="str">
        <v>创意策划服务费</v>
      </c>
      <c r="D121" s="16" t="str">
        <v>营销费用</v>
      </c>
      <c r="E121" s="20">
        <f>G121</f>
      </c>
      <c r="F121" s="18" t="str">
        <v>品牌项目</v>
      </c>
      <c r="G121" s="18" t="str">
        <v>日常-创意与物料</v>
      </c>
      <c r="H121" s="16" t="str">
        <v>品牌产品中心</v>
      </c>
      <c r="I121" s="16" t="str">
        <v>品牌营销部</v>
      </c>
      <c r="J121" s="16"/>
      <c r="K121" s="16"/>
      <c r="L121" s="17" t="str">
        <v>销售费用_营销费用_策划服务费</v>
      </c>
      <c r="M121" s="17" t="str">
        <v>6601.36.01</v>
      </c>
      <c r="N121" s="17"/>
      <c r="O121" s="17" t="str">
        <v>策划服务费</v>
      </c>
      <c r="P121" s="16" t="str">
        <v>Y</v>
      </c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16">
        <f>ROW(B122)-2</f>
      </c>
      <c r="B122" s="19" t="str">
        <v>品牌宣传费</v>
      </c>
      <c r="C122" s="19" t="str">
        <v>市场调研费</v>
      </c>
      <c r="D122" s="16" t="str">
        <v>营销费用</v>
      </c>
      <c r="E122" s="17" t="str">
        <v>数据采买和调研费</v>
      </c>
      <c r="F122" s="18" t="str">
        <v>品牌项目</v>
      </c>
      <c r="G122" s="18" t="str">
        <v>日常-测试</v>
      </c>
      <c r="H122" s="16" t="str">
        <v>品牌产品中心</v>
      </c>
      <c r="I122" s="16" t="str">
        <v>品牌营销部</v>
      </c>
      <c r="J122" s="16"/>
      <c r="K122" s="16"/>
      <c r="L122" s="17">
        <f>"销售费用_"&amp;D122&amp;"_"&amp;C122</f>
      </c>
      <c r="M122" s="17" t="str">
        <v>6601.36.20</v>
      </c>
      <c r="N122" s="17"/>
      <c r="O122" s="17">
        <f>C122</f>
      </c>
      <c r="P122" s="16" t="str">
        <v>Y</v>
      </c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37">
        <f>ROW(B123)-2</f>
      </c>
      <c r="B123" s="38" t="str">
        <v>品牌宣传费</v>
      </c>
      <c r="C123" s="38" t="str">
        <v>明星合作费</v>
      </c>
      <c r="D123" s="37" t="str">
        <v>营销费用</v>
      </c>
      <c r="E123" s="20">
        <f>G123</f>
      </c>
      <c r="F123" s="40" t="str">
        <v>品牌项目</v>
      </c>
      <c r="G123" s="40" t="str">
        <v>IMC花养</v>
      </c>
      <c r="H123" s="37" t="str">
        <v>品牌产品中心</v>
      </c>
      <c r="I123" s="37" t="str">
        <v>品牌营销部</v>
      </c>
      <c r="J123" s="37"/>
      <c r="K123" s="37"/>
      <c r="L123" s="39" t="str">
        <v>销售费用_营销费用_明星合作费</v>
      </c>
      <c r="M123" s="17" t="str">
        <v>6601.36.12</v>
      </c>
      <c r="N123" s="39"/>
      <c r="O123" s="39" t="str">
        <v>代言费</v>
      </c>
      <c r="P123" s="37" t="str">
        <v>Y</v>
      </c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</row>
    <row r="124">
      <c r="A124" s="37">
        <f>ROW(B124)-2</f>
      </c>
      <c r="B124" s="38" t="str">
        <v>品牌宣传费</v>
      </c>
      <c r="C124" s="38" t="str">
        <v>明星合作费</v>
      </c>
      <c r="D124" s="37" t="str">
        <v>营销费用</v>
      </c>
      <c r="E124" s="20">
        <f>G124</f>
      </c>
      <c r="F124" s="40" t="str">
        <v>品牌项目</v>
      </c>
      <c r="G124" s="40" t="str">
        <v>IMC国妆</v>
      </c>
      <c r="H124" s="37" t="str">
        <v>品牌产品中心</v>
      </c>
      <c r="I124" s="37" t="str">
        <v>品牌营销部</v>
      </c>
      <c r="J124" s="37"/>
      <c r="K124" s="37"/>
      <c r="L124" s="39" t="str">
        <v>销售费用_营销费用_明星合作费</v>
      </c>
      <c r="M124" s="17" t="str">
        <v>6601.36.12</v>
      </c>
      <c r="N124" s="39"/>
      <c r="O124" s="39" t="str">
        <v>代言费</v>
      </c>
      <c r="P124" s="37" t="str">
        <v>Y</v>
      </c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</row>
    <row r="125">
      <c r="A125" s="37">
        <f>ROW(B125)-2</f>
      </c>
      <c r="B125" s="38" t="str">
        <v>品牌宣传费</v>
      </c>
      <c r="C125" s="38" t="str">
        <v>明星合作费</v>
      </c>
      <c r="D125" s="37" t="str">
        <v>营销费用</v>
      </c>
      <c r="E125" s="20">
        <f>G125</f>
      </c>
      <c r="F125" s="40" t="str">
        <v>品牌项目</v>
      </c>
      <c r="G125" s="40" t="str">
        <v>IMC文化</v>
      </c>
      <c r="H125" s="37" t="str">
        <v>品牌产品中心</v>
      </c>
      <c r="I125" s="37" t="str">
        <v>品牌营销部</v>
      </c>
      <c r="J125" s="37"/>
      <c r="K125" s="37"/>
      <c r="L125" s="39" t="str">
        <v>销售费用_营销费用_明星合作费</v>
      </c>
      <c r="M125" s="17" t="str">
        <v>6601.36.12</v>
      </c>
      <c r="N125" s="39"/>
      <c r="O125" s="39" t="str">
        <v>代言费</v>
      </c>
      <c r="P125" s="37" t="str">
        <v>Y</v>
      </c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</row>
    <row r="126">
      <c r="A126" s="16">
        <f>ROW(B126)-2</f>
      </c>
      <c r="B126" s="19" t="str">
        <v>品牌宣传费</v>
      </c>
      <c r="C126" s="19" t="str">
        <v>活动策划服务费</v>
      </c>
      <c r="D126" s="16" t="str">
        <v>营销费用</v>
      </c>
      <c r="E126" s="20">
        <f>G126</f>
      </c>
      <c r="F126" s="18" t="str">
        <v>品牌项目</v>
      </c>
      <c r="G126" s="18" t="str">
        <v>IMC花养</v>
      </c>
      <c r="H126" s="16" t="str">
        <v>品牌产品中心</v>
      </c>
      <c r="I126" s="16" t="str">
        <v>品牌营销部</v>
      </c>
      <c r="J126" s="16"/>
      <c r="K126" s="16"/>
      <c r="L126" s="17" t="str">
        <v>销售费用_营销费用_策划服务费</v>
      </c>
      <c r="M126" s="17" t="str">
        <v>6601.36.01</v>
      </c>
      <c r="N126" s="17"/>
      <c r="O126" s="17" t="str">
        <v>策划服务费</v>
      </c>
      <c r="P126" s="16" t="str">
        <v>Y</v>
      </c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6">
        <f>ROW(B127)-2</f>
      </c>
      <c r="B127" s="19" t="str">
        <v>品牌宣传费</v>
      </c>
      <c r="C127" s="19" t="str">
        <v>活动策划服务费</v>
      </c>
      <c r="D127" s="16" t="str">
        <v>营销费用</v>
      </c>
      <c r="E127" s="20">
        <f>G127</f>
      </c>
      <c r="F127" s="18" t="str">
        <v>品牌项目</v>
      </c>
      <c r="G127" s="18" t="str">
        <v>IMC国妆</v>
      </c>
      <c r="H127" s="16" t="str">
        <v>品牌产品中心</v>
      </c>
      <c r="I127" s="16" t="str">
        <v>品牌营销部</v>
      </c>
      <c r="J127" s="16"/>
      <c r="K127" s="16"/>
      <c r="L127" s="17" t="str">
        <v>销售费用_营销费用_策划服务费</v>
      </c>
      <c r="M127" s="17" t="str">
        <v>6601.36.01</v>
      </c>
      <c r="N127" s="17"/>
      <c r="O127" s="17" t="str">
        <v>策划服务费</v>
      </c>
      <c r="P127" s="16" t="str">
        <v>Y</v>
      </c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16">
        <f>ROW(B128)-2</f>
      </c>
      <c r="B128" s="19" t="str">
        <v>品牌宣传费</v>
      </c>
      <c r="C128" s="19" t="str">
        <v>活动策划服务费</v>
      </c>
      <c r="D128" s="16" t="str">
        <v>营销费用</v>
      </c>
      <c r="E128" s="20">
        <f>G128</f>
      </c>
      <c r="F128" s="18" t="str">
        <v>品牌项目</v>
      </c>
      <c r="G128" s="18" t="str">
        <v>IMC文化</v>
      </c>
      <c r="H128" s="16" t="str">
        <v>品牌产品中心</v>
      </c>
      <c r="I128" s="16" t="str">
        <v>品牌营销部</v>
      </c>
      <c r="J128" s="16"/>
      <c r="K128" s="16"/>
      <c r="L128" s="17" t="str">
        <v>销售费用_营销费用_策划服务费</v>
      </c>
      <c r="M128" s="17" t="str">
        <v>6601.36.01</v>
      </c>
      <c r="N128" s="17"/>
      <c r="O128" s="17" t="str">
        <v>策划服务费</v>
      </c>
      <c r="P128" s="16" t="str">
        <v>Y</v>
      </c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6">
        <f>ROW(B129)-2</f>
      </c>
      <c r="B129" s="19" t="str">
        <v>品牌宣传费</v>
      </c>
      <c r="C129" s="19" t="str">
        <v>活动策划服务费</v>
      </c>
      <c r="D129" s="16" t="str">
        <v>营销费用</v>
      </c>
      <c r="E129" s="20">
        <f>G129</f>
      </c>
      <c r="F129" s="18" t="str">
        <v>品牌项目</v>
      </c>
      <c r="G129" s="18" t="str">
        <v>日常-创意与物料</v>
      </c>
      <c r="H129" s="16" t="str">
        <v>品牌产品中心</v>
      </c>
      <c r="I129" s="16" t="str">
        <v>品牌营销部</v>
      </c>
      <c r="J129" s="16"/>
      <c r="K129" s="16"/>
      <c r="L129" s="17" t="str">
        <v>销售费用_营销费用_策划服务费</v>
      </c>
      <c r="M129" s="17" t="str">
        <v>6601.36.01</v>
      </c>
      <c r="N129" s="17"/>
      <c r="O129" s="17" t="str">
        <v>策划服务费</v>
      </c>
      <c r="P129" s="16" t="str">
        <v>Y</v>
      </c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6">
        <f>ROW(B130)-2</f>
      </c>
      <c r="B130" s="19" t="str">
        <v>媒介宣传费</v>
      </c>
      <c r="C130" s="19" t="str">
        <v>媒体宣发费</v>
      </c>
      <c r="D130" s="16" t="str">
        <v>营销费用</v>
      </c>
      <c r="E130" s="20">
        <f>G130</f>
      </c>
      <c r="F130" s="18" t="str">
        <v>品牌项目</v>
      </c>
      <c r="G130" s="18" t="str">
        <v>IMC花养</v>
      </c>
      <c r="H130" s="16" t="str">
        <v>品牌产品中心</v>
      </c>
      <c r="I130" s="16" t="str">
        <v>品牌营销部</v>
      </c>
      <c r="J130" s="16"/>
      <c r="K130" s="16"/>
      <c r="L130" s="17">
        <f>"销售费用_"&amp;D130&amp;"_"&amp;C130</f>
      </c>
      <c r="M130" s="17" t="str">
        <v>#N/A</v>
      </c>
      <c r="N130" s="17"/>
      <c r="O130" s="17">
        <f>C130</f>
      </c>
      <c r="P130" s="16" t="str">
        <v>Y</v>
      </c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6">
        <f>ROW(B131)-2</f>
      </c>
      <c r="B131" s="19" t="str">
        <v>媒介宣传费</v>
      </c>
      <c r="C131" s="19" t="str">
        <v>媒体宣发费</v>
      </c>
      <c r="D131" s="16" t="str">
        <v>营销费用</v>
      </c>
      <c r="E131" s="20">
        <f>G131</f>
      </c>
      <c r="F131" s="18" t="str">
        <v>品牌项目</v>
      </c>
      <c r="G131" s="18" t="str">
        <v>IMC国妆</v>
      </c>
      <c r="H131" s="16" t="str">
        <v>品牌产品中心</v>
      </c>
      <c r="I131" s="16" t="str">
        <v>品牌营销部</v>
      </c>
      <c r="J131" s="16"/>
      <c r="K131" s="16"/>
      <c r="L131" s="17">
        <f>"销售费用_"&amp;D131&amp;"_"&amp;C131</f>
      </c>
      <c r="M131" s="17" t="str">
        <v>#N/A</v>
      </c>
      <c r="N131" s="17"/>
      <c r="O131" s="17">
        <f>C131</f>
      </c>
      <c r="P131" s="16" t="str">
        <v>Y</v>
      </c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16">
        <f>ROW(B132)-2</f>
      </c>
      <c r="B132" s="19" t="str">
        <v>媒介宣传费</v>
      </c>
      <c r="C132" s="19" t="str">
        <v>媒体宣发费</v>
      </c>
      <c r="D132" s="16" t="str">
        <v>营销费用</v>
      </c>
      <c r="E132" s="20">
        <f>G132</f>
      </c>
      <c r="F132" s="18" t="str">
        <v>品牌项目</v>
      </c>
      <c r="G132" s="18" t="str">
        <v>IMC文化</v>
      </c>
      <c r="H132" s="16" t="str">
        <v>品牌产品中心</v>
      </c>
      <c r="I132" s="16" t="str">
        <v>品牌营销部</v>
      </c>
      <c r="J132" s="16"/>
      <c r="K132" s="16"/>
      <c r="L132" s="17">
        <f>"销售费用_"&amp;D132&amp;"_"&amp;C132</f>
      </c>
      <c r="M132" s="17" t="str">
        <v>#N/A</v>
      </c>
      <c r="N132" s="17"/>
      <c r="O132" s="17">
        <f>C132</f>
      </c>
      <c r="P132" s="16" t="str">
        <v>Y</v>
      </c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6">
        <f>ROW(B133)-2</f>
      </c>
      <c r="B133" s="19" t="str">
        <v>媒介宣传费</v>
      </c>
      <c r="C133" s="19" t="str">
        <v>媒体宣发费</v>
      </c>
      <c r="D133" s="16" t="str">
        <v>营销费用</v>
      </c>
      <c r="E133" s="20">
        <f>G133</f>
      </c>
      <c r="F133" s="18" t="str">
        <v>品牌项目</v>
      </c>
      <c r="G133" s="18" t="str">
        <v>日常-创意与物料</v>
      </c>
      <c r="H133" s="16" t="str">
        <v>品牌产品中心</v>
      </c>
      <c r="I133" s="16" t="str">
        <v>品牌营销部</v>
      </c>
      <c r="J133" s="16"/>
      <c r="K133" s="16"/>
      <c r="L133" s="17">
        <f>"销售费用_"&amp;D133&amp;"_"&amp;C133</f>
      </c>
      <c r="M133" s="17" t="str">
        <v>#N/A</v>
      </c>
      <c r="N133" s="17"/>
      <c r="O133" s="17">
        <f>C133</f>
      </c>
      <c r="P133" s="16" t="str">
        <v>Y</v>
      </c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16">
        <f>ROW(B134)-2</f>
      </c>
      <c r="B134" s="19" t="str">
        <v>其他费用</v>
      </c>
      <c r="C134" s="19" t="str">
        <v>场地租赁费</v>
      </c>
      <c r="D134" s="16" t="str">
        <v>营销费用</v>
      </c>
      <c r="E134" s="20">
        <f>G134</f>
      </c>
      <c r="F134" s="18" t="str">
        <v>品牌项目</v>
      </c>
      <c r="G134" s="18" t="str">
        <v>IMC花养</v>
      </c>
      <c r="H134" s="16" t="str">
        <v>品牌产品中心</v>
      </c>
      <c r="I134" s="16" t="str">
        <v>品牌营销部</v>
      </c>
      <c r="J134" s="16"/>
      <c r="K134" s="16"/>
      <c r="L134" s="17">
        <f>"销售费用_"&amp;D134&amp;"_"&amp;C134</f>
      </c>
      <c r="M134" s="17" t="str">
        <v>6601.36.02</v>
      </c>
      <c r="N134" s="17"/>
      <c r="O134" s="17">
        <f>C134</f>
      </c>
      <c r="P134" s="16" t="str">
        <v>Y</v>
      </c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16">
        <f>ROW(B135)-2</f>
      </c>
      <c r="B135" s="19" t="str">
        <v>其他费用</v>
      </c>
      <c r="C135" s="19" t="str">
        <v>场地租赁费</v>
      </c>
      <c r="D135" s="16" t="str">
        <v>营销费用</v>
      </c>
      <c r="E135" s="20">
        <f>G135</f>
      </c>
      <c r="F135" s="18" t="str">
        <v>品牌项目</v>
      </c>
      <c r="G135" s="18" t="str">
        <v>IMC国妆</v>
      </c>
      <c r="H135" s="16" t="str">
        <v>品牌产品中心</v>
      </c>
      <c r="I135" s="16" t="str">
        <v>品牌营销部</v>
      </c>
      <c r="J135" s="16"/>
      <c r="K135" s="16"/>
      <c r="L135" s="17">
        <f>"销售费用_"&amp;D135&amp;"_"&amp;C135</f>
      </c>
      <c r="M135" s="17" t="str">
        <v>6601.36.02</v>
      </c>
      <c r="N135" s="17"/>
      <c r="O135" s="17">
        <f>C135</f>
      </c>
      <c r="P135" s="16" t="str">
        <v>Y</v>
      </c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16">
        <f>ROW(B136)-2</f>
      </c>
      <c r="B136" s="19" t="str">
        <v>其他费用</v>
      </c>
      <c r="C136" s="19" t="str">
        <v>场地租赁费</v>
      </c>
      <c r="D136" s="16" t="str">
        <v>营销费用</v>
      </c>
      <c r="E136" s="20">
        <f>G136</f>
      </c>
      <c r="F136" s="18" t="str">
        <v>品牌项目</v>
      </c>
      <c r="G136" s="18" t="str">
        <v>IMC文化</v>
      </c>
      <c r="H136" s="16" t="str">
        <v>品牌产品中心</v>
      </c>
      <c r="I136" s="16" t="str">
        <v>品牌营销部</v>
      </c>
      <c r="J136" s="16"/>
      <c r="K136" s="16"/>
      <c r="L136" s="17">
        <f>"销售费用_"&amp;D136&amp;"_"&amp;C136</f>
      </c>
      <c r="M136" s="17" t="str">
        <v>6601.36.02</v>
      </c>
      <c r="N136" s="17"/>
      <c r="O136" s="17">
        <f>C136</f>
      </c>
      <c r="P136" s="16" t="str">
        <v>Y</v>
      </c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16">
        <f>ROW(B137)-2</f>
      </c>
      <c r="B137" s="19" t="str">
        <v>其他费用</v>
      </c>
      <c r="C137" s="19" t="str">
        <v>场地租赁费</v>
      </c>
      <c r="D137" s="16" t="str">
        <v>营销费用</v>
      </c>
      <c r="E137" s="20">
        <f>G137</f>
      </c>
      <c r="F137" s="18" t="str">
        <v>品牌项目</v>
      </c>
      <c r="G137" s="18" t="str">
        <v>日常-创意与物料</v>
      </c>
      <c r="H137" s="16" t="str">
        <v>品牌产品中心</v>
      </c>
      <c r="I137" s="16" t="str">
        <v>品牌营销部</v>
      </c>
      <c r="J137" s="16"/>
      <c r="K137" s="16"/>
      <c r="L137" s="17">
        <f>"销售费用_"&amp;D137&amp;"_"&amp;C137</f>
      </c>
      <c r="M137" s="17" t="str">
        <v>6601.36.02</v>
      </c>
      <c r="N137" s="17"/>
      <c r="O137" s="17">
        <f>C137</f>
      </c>
      <c r="P137" s="16" t="str">
        <v>Y</v>
      </c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16">
        <f>ROW(B138)-2</f>
      </c>
      <c r="B138" s="25" t="str">
        <v>其他费用</v>
      </c>
      <c r="C138" s="19" t="str">
        <v>舞台场地搭建费</v>
      </c>
      <c r="D138" s="16" t="str">
        <v>营销费用</v>
      </c>
      <c r="E138" s="20">
        <f>G138</f>
      </c>
      <c r="F138" s="18" t="str">
        <v>品牌项目</v>
      </c>
      <c r="G138" s="18" t="str">
        <v>IMC花养</v>
      </c>
      <c r="H138" s="16" t="str">
        <v>品牌产品中心</v>
      </c>
      <c r="I138" s="16" t="str">
        <v>品牌营销部</v>
      </c>
      <c r="J138" s="16"/>
      <c r="K138" s="16"/>
      <c r="L138" s="17" t="str">
        <v>销售费用_营销费用_搭建服务费</v>
      </c>
      <c r="M138" s="17" t="str">
        <v>6601.36.03</v>
      </c>
      <c r="N138" s="17"/>
      <c r="O138" s="17" t="str">
        <v>搭建服务费</v>
      </c>
      <c r="P138" s="16" t="str">
        <v>Y</v>
      </c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16">
        <f>ROW(B139)-2</f>
      </c>
      <c r="B139" s="25" t="str">
        <v>其他费用</v>
      </c>
      <c r="C139" s="19" t="str">
        <v>舞台场地搭建费</v>
      </c>
      <c r="D139" s="16" t="str">
        <v>营销费用</v>
      </c>
      <c r="E139" s="20">
        <f>G139</f>
      </c>
      <c r="F139" s="18" t="str">
        <v>品牌项目</v>
      </c>
      <c r="G139" s="18" t="str">
        <v>IMC国妆</v>
      </c>
      <c r="H139" s="16" t="str">
        <v>品牌产品中心</v>
      </c>
      <c r="I139" s="16" t="str">
        <v>品牌营销部</v>
      </c>
      <c r="J139" s="16"/>
      <c r="K139" s="16"/>
      <c r="L139" s="17" t="str">
        <v>销售费用_营销费用_搭建服务费</v>
      </c>
      <c r="M139" s="17" t="str">
        <v>6601.36.03</v>
      </c>
      <c r="N139" s="17"/>
      <c r="O139" s="17" t="str">
        <v>搭建服务费</v>
      </c>
      <c r="P139" s="16" t="str">
        <v>Y</v>
      </c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16">
        <f>ROW(B140)-2</f>
      </c>
      <c r="B140" s="25" t="str">
        <v>其他费用</v>
      </c>
      <c r="C140" s="19" t="str">
        <v>舞台场地搭建费</v>
      </c>
      <c r="D140" s="16" t="str">
        <v>营销费用</v>
      </c>
      <c r="E140" s="20">
        <f>G140</f>
      </c>
      <c r="F140" s="18" t="str">
        <v>品牌项目</v>
      </c>
      <c r="G140" s="18" t="str">
        <v>IMC文化</v>
      </c>
      <c r="H140" s="16" t="str">
        <v>品牌产品中心</v>
      </c>
      <c r="I140" s="16" t="str">
        <v>品牌营销部</v>
      </c>
      <c r="J140" s="16"/>
      <c r="K140" s="16"/>
      <c r="L140" s="17" t="str">
        <v>销售费用_营销费用_搭建服务费</v>
      </c>
      <c r="M140" s="17" t="str">
        <v>6601.36.03</v>
      </c>
      <c r="N140" s="17"/>
      <c r="O140" s="17" t="str">
        <v>搭建服务费</v>
      </c>
      <c r="P140" s="16" t="str">
        <v>Y</v>
      </c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16">
        <f>ROW(B141)-2</f>
      </c>
      <c r="B141" s="25" t="str">
        <v>其他费用</v>
      </c>
      <c r="C141" s="19" t="str">
        <v>舞台场地搭建费</v>
      </c>
      <c r="D141" s="16" t="str">
        <v>营销费用</v>
      </c>
      <c r="E141" s="20">
        <f>G141</f>
      </c>
      <c r="F141" s="18" t="str">
        <v>品牌项目</v>
      </c>
      <c r="G141" s="18" t="str">
        <v>日常-创意与物料</v>
      </c>
      <c r="H141" s="16" t="str">
        <v>品牌产品中心</v>
      </c>
      <c r="I141" s="16" t="str">
        <v>品牌营销部</v>
      </c>
      <c r="J141" s="16"/>
      <c r="K141" s="16"/>
      <c r="L141" s="17" t="str">
        <v>销售费用_营销费用_搭建服务费</v>
      </c>
      <c r="M141" s="17" t="str">
        <v>6601.36.03</v>
      </c>
      <c r="N141" s="17"/>
      <c r="O141" s="17" t="str">
        <v>搭建服务费</v>
      </c>
      <c r="P141" s="16" t="str">
        <v>Y</v>
      </c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16">
        <f>ROW(B142)-2</f>
      </c>
      <c r="B142" s="19" t="str">
        <v>其他费用</v>
      </c>
      <c r="C142" s="19" t="str">
        <v>设备租赁费</v>
      </c>
      <c r="D142" s="16" t="str">
        <v>营销费用</v>
      </c>
      <c r="E142" s="20">
        <f>G142</f>
      </c>
      <c r="F142" s="18" t="str">
        <v>品牌项目</v>
      </c>
      <c r="G142" s="18" t="str">
        <v>IMC花养</v>
      </c>
      <c r="H142" s="16" t="str">
        <v>品牌产品中心</v>
      </c>
      <c r="I142" s="16" t="str">
        <v>品牌营销部</v>
      </c>
      <c r="J142" s="16"/>
      <c r="K142" s="16"/>
      <c r="L142" s="17">
        <f>"销售费用_"&amp;D142&amp;"_"&amp;C142</f>
      </c>
      <c r="M142" s="17" t="str">
        <v>6601.36.19</v>
      </c>
      <c r="N142" s="17"/>
      <c r="O142" s="17">
        <f>C142</f>
      </c>
      <c r="P142" s="16" t="str">
        <v>Y</v>
      </c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16">
        <f>ROW(B143)-2</f>
      </c>
      <c r="B143" s="19" t="str">
        <v>其他费用</v>
      </c>
      <c r="C143" s="19" t="str">
        <v>设备租赁费</v>
      </c>
      <c r="D143" s="16" t="str">
        <v>营销费用</v>
      </c>
      <c r="E143" s="20">
        <f>G143</f>
      </c>
      <c r="F143" s="18" t="str">
        <v>品牌项目</v>
      </c>
      <c r="G143" s="18" t="str">
        <v>IMC国妆</v>
      </c>
      <c r="H143" s="16" t="str">
        <v>品牌产品中心</v>
      </c>
      <c r="I143" s="16" t="str">
        <v>品牌营销部</v>
      </c>
      <c r="J143" s="16"/>
      <c r="K143" s="16"/>
      <c r="L143" s="17">
        <f>"销售费用_"&amp;D143&amp;"_"&amp;C143</f>
      </c>
      <c r="M143" s="17" t="str">
        <v>6601.36.19</v>
      </c>
      <c r="N143" s="17"/>
      <c r="O143" s="17">
        <f>C143</f>
      </c>
      <c r="P143" s="16" t="str">
        <v>Y</v>
      </c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16">
        <f>ROW(B144)-2</f>
      </c>
      <c r="B144" s="19" t="str">
        <v>其他费用</v>
      </c>
      <c r="C144" s="19" t="str">
        <v>设备租赁费</v>
      </c>
      <c r="D144" s="16" t="str">
        <v>营销费用</v>
      </c>
      <c r="E144" s="20">
        <f>G144</f>
      </c>
      <c r="F144" s="18" t="str">
        <v>品牌项目</v>
      </c>
      <c r="G144" s="18" t="str">
        <v>IMC文化</v>
      </c>
      <c r="H144" s="16" t="str">
        <v>品牌产品中心</v>
      </c>
      <c r="I144" s="16" t="str">
        <v>品牌营销部</v>
      </c>
      <c r="J144" s="16"/>
      <c r="K144" s="16"/>
      <c r="L144" s="17">
        <f>"销售费用_"&amp;D144&amp;"_"&amp;C144</f>
      </c>
      <c r="M144" s="17" t="str">
        <v>6601.36.19</v>
      </c>
      <c r="N144" s="17"/>
      <c r="O144" s="17">
        <f>C144</f>
      </c>
      <c r="P144" s="16" t="str">
        <v>Y</v>
      </c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16">
        <f>ROW(B145)-2</f>
      </c>
      <c r="B145" s="19" t="str">
        <v>其他费用</v>
      </c>
      <c r="C145" s="19" t="str">
        <v>设备租赁费</v>
      </c>
      <c r="D145" s="16" t="str">
        <v>营销费用</v>
      </c>
      <c r="E145" s="20">
        <f>G145</f>
      </c>
      <c r="F145" s="18" t="str">
        <v>品牌项目</v>
      </c>
      <c r="G145" s="18" t="str">
        <v>日常-创意与物料</v>
      </c>
      <c r="H145" s="16" t="str">
        <v>品牌产品中心</v>
      </c>
      <c r="I145" s="16" t="str">
        <v>品牌营销部</v>
      </c>
      <c r="J145" s="16"/>
      <c r="K145" s="16"/>
      <c r="L145" s="17">
        <f>"销售费用_"&amp;D145&amp;"_"&amp;C145</f>
      </c>
      <c r="M145" s="17" t="str">
        <v>6601.36.19</v>
      </c>
      <c r="N145" s="17"/>
      <c r="O145" s="17">
        <f>C145</f>
      </c>
      <c r="P145" s="16" t="str">
        <v>Y</v>
      </c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16">
        <f>ROW(B146)-2</f>
      </c>
      <c r="B146" s="19" t="str">
        <v>内容制作费</v>
      </c>
      <c r="C146" s="19" t="str">
        <v>图文平面制作费</v>
      </c>
      <c r="D146" s="16" t="str">
        <v>营销费用</v>
      </c>
      <c r="E146" s="17" t="str">
        <v>私域图文制作费</v>
      </c>
      <c r="F146" s="18" t="str">
        <v>品牌项目</v>
      </c>
      <c r="G146" s="18" t="str">
        <v>日常-私域</v>
      </c>
      <c r="H146" s="16" t="str">
        <v>品牌产品中心</v>
      </c>
      <c r="I146" s="16" t="str">
        <v>品牌营销部</v>
      </c>
      <c r="J146" s="16"/>
      <c r="K146" s="16"/>
      <c r="L146" s="17">
        <f>"销售费用_"&amp;D146&amp;"_"&amp;C146</f>
      </c>
      <c r="M146" s="17" t="str">
        <v>6601.36.22</v>
      </c>
      <c r="N146" s="17"/>
      <c r="O146" s="17">
        <f>C146</f>
      </c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16">
        <f>ROW(B147)-2</f>
      </c>
      <c r="B147" s="19" t="str">
        <v>内容制作费</v>
      </c>
      <c r="C147" s="19" t="str">
        <v>视频制作费</v>
      </c>
      <c r="D147" s="16" t="str">
        <v>营销费用</v>
      </c>
      <c r="E147" s="17" t="str">
        <v>私域视频制作</v>
      </c>
      <c r="F147" s="18" t="str">
        <v>品牌项目</v>
      </c>
      <c r="G147" s="18" t="str">
        <v>日常-私域</v>
      </c>
      <c r="H147" s="16" t="str">
        <v>品牌产品中心</v>
      </c>
      <c r="I147" s="16" t="str">
        <v>品牌营销部</v>
      </c>
      <c r="J147" s="16"/>
      <c r="K147" s="16"/>
      <c r="L147" s="17">
        <f>"销售费用_"&amp;D147&amp;"_"&amp;C147</f>
      </c>
      <c r="M147" s="17" t="str">
        <v>6601.36.21</v>
      </c>
      <c r="N147" s="16"/>
      <c r="O147" s="17">
        <f>C147</f>
      </c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16">
        <f>ROW(B148)-2</f>
      </c>
      <c r="B148" s="19" t="str">
        <v>渠道推广费</v>
      </c>
      <c r="C148" s="19" t="str">
        <v>代运营服务费</v>
      </c>
      <c r="D148" s="16" t="str">
        <v>营销费用</v>
      </c>
      <c r="E148" s="17" t="str">
        <v>私域代运营费用</v>
      </c>
      <c r="F148" s="18" t="str">
        <v>品牌项目</v>
      </c>
      <c r="G148" s="18" t="str">
        <v>日常-私域</v>
      </c>
      <c r="H148" s="16" t="str">
        <v>品牌产品中心</v>
      </c>
      <c r="I148" s="16" t="str">
        <v>品牌营销部</v>
      </c>
      <c r="J148" s="16"/>
      <c r="K148" s="16"/>
      <c r="L148" s="17">
        <f>"销售费用_"&amp;D148&amp;"_"&amp;C148</f>
      </c>
      <c r="M148" s="17" t="str">
        <v>6601.36.05</v>
      </c>
      <c r="N148" s="16"/>
      <c r="O148" s="17" t="str">
        <v>服务费</v>
      </c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16">
        <f>ROW(B149)-2</f>
      </c>
      <c r="B149" s="19" t="str">
        <v>其他费用</v>
      </c>
      <c r="C149" s="19" t="str">
        <v>日常营运费用</v>
      </c>
      <c r="D149" s="16" t="str">
        <v>营销费用</v>
      </c>
      <c r="E149" s="17" t="str">
        <v>私域账号运营费</v>
      </c>
      <c r="F149" s="18" t="str">
        <v>品牌项目</v>
      </c>
      <c r="G149" s="18" t="str">
        <v>日常-私域</v>
      </c>
      <c r="H149" s="16" t="str">
        <v>品牌产品中心</v>
      </c>
      <c r="I149" s="16" t="str">
        <v>品牌营销部</v>
      </c>
      <c r="J149" s="16"/>
      <c r="K149" s="16"/>
      <c r="L149" s="17" t="str">
        <v>销售费用_营销费用_年审费</v>
      </c>
      <c r="M149" s="17" t="str">
        <v>#N/A</v>
      </c>
      <c r="N149" s="16"/>
      <c r="O149" s="17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16">
        <f>ROW(B150)-2</f>
      </c>
      <c r="B150" s="19" t="str">
        <v>渠道推广费</v>
      </c>
      <c r="C150" s="21" t="str">
        <v>站内推广费</v>
      </c>
      <c r="D150" s="16" t="str">
        <v>营销费用</v>
      </c>
      <c r="E150" s="17" t="str">
        <v>京东2B企业购</v>
      </c>
      <c r="F150" s="18" t="str">
        <v>平台电商推广</v>
      </c>
      <c r="G150" s="18" t="str">
        <v>京东2B企业购</v>
      </c>
      <c r="H150" s="16" t="str">
        <v>品牌运营中心</v>
      </c>
      <c r="I150" s="16" t="str">
        <v>渠道运营部</v>
      </c>
      <c r="J150" s="16" t="str">
        <v>特色电商部</v>
      </c>
      <c r="K150" s="16" t="str">
        <v>京东部</v>
      </c>
      <c r="L150" s="17" t="str">
        <v>销售费用_营销费用_线上推广费</v>
      </c>
      <c r="M150" s="17" t="str">
        <v>6601.36.24</v>
      </c>
      <c r="N150" s="17"/>
      <c r="O150" s="17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16">
        <f>ROW(B151)-2</f>
      </c>
      <c r="B151" s="19" t="str">
        <v>渠道推广费</v>
      </c>
      <c r="C151" s="21" t="str">
        <v>直播服务费</v>
      </c>
      <c r="D151" s="16" t="str">
        <v>营销费用</v>
      </c>
      <c r="E151" s="17" t="str">
        <v>京东达播佣金</v>
      </c>
      <c r="F151" s="18" t="str">
        <v>平台电商推广</v>
      </c>
      <c r="G151" s="18" t="str">
        <v>达播-京东</v>
      </c>
      <c r="H151" s="16" t="str">
        <v>品牌运营中心</v>
      </c>
      <c r="I151" s="16" t="str">
        <v>渠道运营部</v>
      </c>
      <c r="J151" s="16" t="str">
        <v>特色电商部</v>
      </c>
      <c r="K151" s="16" t="str">
        <v>京东部</v>
      </c>
      <c r="L151" s="17" t="str">
        <v>销售费用_营销费用_直播服务费</v>
      </c>
      <c r="M151" s="17" t="str">
        <v>6601.36.28</v>
      </c>
      <c r="N151" s="17"/>
      <c r="O151" s="17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16">
        <f>ROW(B152)-2</f>
      </c>
      <c r="B152" s="19" t="str">
        <v>渠道推广费</v>
      </c>
      <c r="C152" s="21" t="str">
        <v>直播坑位费</v>
      </c>
      <c r="D152" s="16" t="str">
        <v>营销费用</v>
      </c>
      <c r="E152" s="17" t="str">
        <v>京东达播服务费</v>
      </c>
      <c r="F152" s="18" t="str">
        <v>平台电商推广</v>
      </c>
      <c r="G152" s="18" t="str">
        <v>达播-京东</v>
      </c>
      <c r="H152" s="16" t="str">
        <v>品牌运营中心</v>
      </c>
      <c r="I152" s="16" t="str">
        <v>渠道运营部</v>
      </c>
      <c r="J152" s="16" t="str">
        <v>特色电商部</v>
      </c>
      <c r="K152" s="16" t="str">
        <v>京东部</v>
      </c>
      <c r="L152" s="17" t="str">
        <v>销售费用_营销费用_直播坑位费</v>
      </c>
      <c r="M152" s="17" t="str">
        <v>6601.36.31</v>
      </c>
      <c r="N152" s="17"/>
      <c r="O152" s="17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16">
        <f>ROW(B153)-2</f>
      </c>
      <c r="B153" s="19" t="str">
        <v>渠道推广费</v>
      </c>
      <c r="C153" s="21" t="str">
        <v>直播服务费</v>
      </c>
      <c r="D153" s="16" t="str">
        <v>营销费用</v>
      </c>
      <c r="E153" s="17" t="str">
        <v>京东自播服务</v>
      </c>
      <c r="F153" s="18" t="str">
        <v>平台电商推广</v>
      </c>
      <c r="G153" s="18" t="str">
        <v>京东自播服务费</v>
      </c>
      <c r="H153" s="16" t="str">
        <v>品牌运营中心</v>
      </c>
      <c r="I153" s="16" t="str">
        <v>渠道运营部</v>
      </c>
      <c r="J153" s="16" t="str">
        <v>特色电商部</v>
      </c>
      <c r="K153" s="16" t="str">
        <v>京东部</v>
      </c>
      <c r="L153" s="17">
        <f>"销售费用_"&amp;D153&amp;"_"&amp;C153</f>
      </c>
      <c r="M153" s="17" t="str">
        <v>6601.36.28</v>
      </c>
      <c r="N153" s="17"/>
      <c r="O153" s="17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16">
        <f>ROW(B154)-2</f>
      </c>
      <c r="B154" s="19" t="str">
        <v>渠道推广费</v>
      </c>
      <c r="C154" s="21" t="str">
        <v>站内推广费</v>
      </c>
      <c r="D154" s="16" t="str">
        <v>营销费用</v>
      </c>
      <c r="E154" s="18" t="str">
        <v>唯享客</v>
      </c>
      <c r="F154" s="18" t="str">
        <v>平台电商推广</v>
      </c>
      <c r="G154" s="18" t="str">
        <v>唯享客</v>
      </c>
      <c r="H154" s="16" t="str">
        <v>品牌运营中心</v>
      </c>
      <c r="I154" s="16" t="str">
        <v>渠道运营部</v>
      </c>
      <c r="J154" s="16" t="str">
        <v>特色电商部</v>
      </c>
      <c r="K154" s="16" t="str">
        <v>唯品综合部</v>
      </c>
      <c r="L154" s="17" t="str">
        <v>销售费用_营销费用_线上推广费</v>
      </c>
      <c r="M154" s="17" t="str">
        <v>6601.36.24</v>
      </c>
      <c r="N154" s="17"/>
      <c r="O154" s="17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16">
        <f>ROW(B155)-2</f>
      </c>
      <c r="B155" s="19" t="str">
        <v>内容制作费</v>
      </c>
      <c r="C155" s="19" t="str">
        <v>内容制作费</v>
      </c>
      <c r="D155" s="16" t="str">
        <v>营销费用</v>
      </c>
      <c r="E155" s="18" t="str">
        <v>快手人设号-内容制作</v>
      </c>
      <c r="F155" s="18" t="str">
        <v>直播电商推广</v>
      </c>
      <c r="G155" s="18" t="str">
        <v>快手人设号</v>
      </c>
      <c r="H155" s="16" t="str">
        <v>品牌运营中心</v>
      </c>
      <c r="I155" s="16" t="str">
        <v>渠道运营部</v>
      </c>
      <c r="J155" s="16" t="str">
        <v>创新部</v>
      </c>
      <c r="K155" s="16"/>
      <c r="L155" s="17">
        <f>"销售费用_"&amp;D155&amp;"_"&amp;C155</f>
      </c>
      <c r="M155" s="17" t="str">
        <v>6601.36.14</v>
      </c>
      <c r="N155" s="17"/>
      <c r="O155" s="17">
        <f>C155</f>
      </c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16">
        <f>ROW(B156)-2</f>
      </c>
      <c r="B156" s="19" t="str">
        <v>内容制作费</v>
      </c>
      <c r="C156" s="19" t="str">
        <v>图文平面制作费</v>
      </c>
      <c r="D156" s="16" t="str">
        <v>营销费用</v>
      </c>
      <c r="E156" s="18" t="str">
        <v>快手人设号-图文平面制作</v>
      </c>
      <c r="F156" s="18" t="str">
        <v>直播电商推广</v>
      </c>
      <c r="G156" s="18" t="str">
        <v>快手人设号</v>
      </c>
      <c r="H156" s="16" t="str">
        <v>品牌运营中心</v>
      </c>
      <c r="I156" s="16" t="str">
        <v>渠道运营部</v>
      </c>
      <c r="J156" s="16" t="str">
        <v>创新部</v>
      </c>
      <c r="K156" s="16"/>
      <c r="L156" s="17">
        <f>"销售费用_"&amp;D156&amp;"_"&amp;C156</f>
      </c>
      <c r="M156" s="17" t="str">
        <v>6601.36.22</v>
      </c>
      <c r="N156" s="17"/>
      <c r="O156" s="17">
        <f>C156</f>
      </c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16">
        <f>ROW(B157)-2</f>
      </c>
      <c r="B157" s="19" t="str">
        <v>内容制作费</v>
      </c>
      <c r="C157" s="19" t="str">
        <v>视频制作费</v>
      </c>
      <c r="D157" s="16" t="str">
        <v>营销费用</v>
      </c>
      <c r="E157" s="18" t="str">
        <v>快手人设号-视频制作</v>
      </c>
      <c r="F157" s="18" t="str">
        <v>直播电商推广</v>
      </c>
      <c r="G157" s="18" t="str">
        <v>快手人设号</v>
      </c>
      <c r="H157" s="16" t="str">
        <v>品牌运营中心</v>
      </c>
      <c r="I157" s="16" t="str">
        <v>渠道运营部</v>
      </c>
      <c r="J157" s="16" t="str">
        <v>创新部</v>
      </c>
      <c r="K157" s="16"/>
      <c r="L157" s="17">
        <f>"销售费用_"&amp;D157&amp;"_"&amp;C157</f>
      </c>
      <c r="M157" s="17" t="str">
        <v>6601.36.21</v>
      </c>
      <c r="N157" s="17"/>
      <c r="O157" s="17">
        <f>C157</f>
      </c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16">
        <f>ROW(B158)-2</f>
      </c>
      <c r="B158" s="19" t="str">
        <v>渠道推广费</v>
      </c>
      <c r="C158" s="21" t="str">
        <v>直播服务费</v>
      </c>
      <c r="D158" s="16" t="str">
        <v>营销费用</v>
      </c>
      <c r="E158" s="18" t="str">
        <v>微信-达播服务费</v>
      </c>
      <c r="F158" s="18" t="str">
        <v>社交电商推广</v>
      </c>
      <c r="G158" s="18" t="str">
        <v>微信-达播</v>
      </c>
      <c r="H158" s="16" t="str">
        <v>品牌运营中心</v>
      </c>
      <c r="I158" s="16" t="str">
        <v>渠道运营部</v>
      </c>
      <c r="J158" s="16" t="str">
        <v>内容综合部</v>
      </c>
      <c r="K158" s="16" t="str">
        <v>综合渠道部</v>
      </c>
      <c r="L158" s="17" t="str">
        <v>销售费用_营销费用_直播服务费</v>
      </c>
      <c r="M158" s="17" t="str">
        <v>6601.36.28</v>
      </c>
      <c r="N158" s="17"/>
      <c r="O158" s="17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16">
        <f>ROW(B159)-2</f>
      </c>
      <c r="B159" s="19" t="str">
        <v>渠道推广费</v>
      </c>
      <c r="C159" s="19" t="str">
        <v>直播服务费</v>
      </c>
      <c r="D159" s="16" t="str">
        <v>营销费用</v>
      </c>
      <c r="E159" s="18" t="str">
        <v>微信-达播佣金</v>
      </c>
      <c r="F159" s="18" t="str">
        <v>社交电商推广</v>
      </c>
      <c r="G159" s="18" t="str">
        <v>微信-达播</v>
      </c>
      <c r="H159" s="16" t="str">
        <v>品牌运营中心</v>
      </c>
      <c r="I159" s="16" t="str">
        <v>渠道运营部</v>
      </c>
      <c r="J159" s="16" t="str">
        <v>内容综合部</v>
      </c>
      <c r="K159" s="16" t="str">
        <v>综合渠道部</v>
      </c>
      <c r="L159" s="17" t="str">
        <v>销售费用_营销费用_直播服务费</v>
      </c>
      <c r="M159" s="17" t="str">
        <v>6601.36.28</v>
      </c>
      <c r="N159" s="17"/>
      <c r="O159" s="17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16">
        <f>ROW(B160)-2</f>
      </c>
      <c r="B160" s="19" t="str">
        <v>渠道推广费</v>
      </c>
      <c r="C160" s="21" t="str">
        <v>线下推广费</v>
      </c>
      <c r="D160" s="16" t="str">
        <v>营销费用</v>
      </c>
      <c r="E160" s="18" t="str">
        <v>特渠运营</v>
      </c>
      <c r="F160" s="18" t="str">
        <v>特殊渠道推广</v>
      </c>
      <c r="G160" s="18" t="str">
        <v>特殊渠道推广</v>
      </c>
      <c r="H160" s="16" t="str">
        <v>品牌运营中心</v>
      </c>
      <c r="I160" s="16" t="str">
        <v>渠道运营部</v>
      </c>
      <c r="J160" s="16"/>
      <c r="K160" s="16"/>
      <c r="L160" s="17" t="str">
        <v>销售费用_营销费用_线下推广费</v>
      </c>
      <c r="M160" s="17" t="str">
        <v>6601.36.25</v>
      </c>
      <c r="N160" s="17"/>
      <c r="O160" s="17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16">
        <f>ROW(B161)-2</f>
      </c>
      <c r="B161" s="19" t="str">
        <v>内容制作费</v>
      </c>
      <c r="C161" s="19" t="str">
        <v>视频制作费</v>
      </c>
      <c r="D161" s="16" t="str">
        <v>营销费用</v>
      </c>
      <c r="E161" s="17" t="str">
        <v>抖音视频创意-矩阵号-视频制作</v>
      </c>
      <c r="F161" s="18" t="str">
        <v>品类内容推广</v>
      </c>
      <c r="G161" s="18" t="str">
        <v>抖音视频创意-矩阵号</v>
      </c>
      <c r="H161" s="16" t="str">
        <v>品牌运营中心</v>
      </c>
      <c r="I161" s="16" t="str">
        <v>渠道运营部</v>
      </c>
      <c r="J161" s="16" t="str">
        <v>抖音部</v>
      </c>
      <c r="K161" s="16" t="str">
        <v>矩阵部</v>
      </c>
      <c r="L161" s="17">
        <f>"销售费用_"&amp;D161&amp;"_"&amp;C161</f>
      </c>
      <c r="M161" s="17" t="str">
        <v>6601.36.21</v>
      </c>
      <c r="N161" s="17"/>
      <c r="O161" s="17">
        <f>C161</f>
      </c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16">
        <f>ROW(B162)-2</f>
      </c>
      <c r="B162" s="19" t="str">
        <v>内容制作费</v>
      </c>
      <c r="C162" s="19" t="str">
        <v>视频制作费</v>
      </c>
      <c r="D162" s="16" t="str">
        <v>营销费用</v>
      </c>
      <c r="E162" s="17" t="str">
        <v>抖音视频创意-店铺-视频制作</v>
      </c>
      <c r="F162" s="18" t="str">
        <v>品类内容推广</v>
      </c>
      <c r="G162" s="18" t="str">
        <v>抖音视频创意-店铺</v>
      </c>
      <c r="H162" s="16" t="str">
        <v>品牌运营中心</v>
      </c>
      <c r="I162" s="16" t="str">
        <v>渠道运营部</v>
      </c>
      <c r="J162" s="16" t="str">
        <v>抖音部</v>
      </c>
      <c r="K162" s="16" t="str">
        <v>内容部</v>
      </c>
      <c r="L162" s="17">
        <f>"销售费用_"&amp;D162&amp;"_"&amp;C162</f>
      </c>
      <c r="M162" s="17" t="str">
        <v>6601.36.21</v>
      </c>
      <c r="N162" s="17"/>
      <c r="O162" s="17">
        <f>C162</f>
      </c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16">
        <f>ROW(B163)-2</f>
      </c>
      <c r="B163" s="19" t="str">
        <v>内容制作费</v>
      </c>
      <c r="C163" s="19" t="str">
        <v>动画制作费</v>
      </c>
      <c r="D163" s="16" t="str">
        <v>营销费用</v>
      </c>
      <c r="E163" s="17" t="str">
        <v>抖音视频创意-矩阵号-动画制作</v>
      </c>
      <c r="F163" s="18" t="str">
        <v>品类内容推广</v>
      </c>
      <c r="G163" s="18" t="str">
        <v>抖音视频创意-矩阵号</v>
      </c>
      <c r="H163" s="16" t="str">
        <v>品牌运营中心</v>
      </c>
      <c r="I163" s="16" t="str">
        <v>渠道运营部</v>
      </c>
      <c r="J163" s="16" t="str">
        <v>抖音部</v>
      </c>
      <c r="K163" s="16" t="str">
        <v>矩阵部</v>
      </c>
      <c r="L163" s="17">
        <f>"销售费用_"&amp;D163&amp;"_"&amp;C163</f>
      </c>
      <c r="M163" s="17" t="str">
        <v>6601.36.07</v>
      </c>
      <c r="N163" s="17"/>
      <c r="O163" s="17">
        <f>C163</f>
      </c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16">
        <f>ROW(B164)-2</f>
      </c>
      <c r="B164" s="19" t="str">
        <v>内容制作费</v>
      </c>
      <c r="C164" s="19" t="str">
        <v>动画制作费</v>
      </c>
      <c r="D164" s="16" t="str">
        <v>营销费用</v>
      </c>
      <c r="E164" s="17" t="str">
        <v>抖音视频创意-店铺-动画制作</v>
      </c>
      <c r="F164" s="18" t="str">
        <v>品类内容推广</v>
      </c>
      <c r="G164" s="18" t="str">
        <v>抖音视频创意-店铺</v>
      </c>
      <c r="H164" s="16" t="str">
        <v>品牌运营中心</v>
      </c>
      <c r="I164" s="16" t="str">
        <v>渠道运营部</v>
      </c>
      <c r="J164" s="16" t="str">
        <v>抖音部</v>
      </c>
      <c r="K164" s="16" t="str">
        <v>内容部</v>
      </c>
      <c r="L164" s="17">
        <f>"销售费用_"&amp;D164&amp;"_"&amp;C164</f>
      </c>
      <c r="M164" s="17" t="str">
        <v>6601.36.07</v>
      </c>
      <c r="N164" s="17"/>
      <c r="O164" s="17">
        <f>C164</f>
      </c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16">
        <f>ROW(B165)-2</f>
      </c>
      <c r="B165" s="19" t="str">
        <v>内容制作费</v>
      </c>
      <c r="C165" s="19" t="str">
        <v>图文平面制作费</v>
      </c>
      <c r="D165" s="16" t="str">
        <v>营销费用</v>
      </c>
      <c r="E165" s="17" t="str">
        <v>抖音视频创意-矩阵号-图文平面制作</v>
      </c>
      <c r="F165" s="18" t="str">
        <v>品类内容推广</v>
      </c>
      <c r="G165" s="18" t="str">
        <v>抖音视频创意-矩阵号</v>
      </c>
      <c r="H165" s="16" t="str">
        <v>品牌运营中心</v>
      </c>
      <c r="I165" s="16" t="str">
        <v>渠道运营部</v>
      </c>
      <c r="J165" s="16" t="str">
        <v>抖音部</v>
      </c>
      <c r="K165" s="16" t="str">
        <v>矩阵部</v>
      </c>
      <c r="L165" s="17">
        <f>"销售费用_"&amp;D165&amp;"_"&amp;C165</f>
      </c>
      <c r="M165" s="17" t="str">
        <v>6601.36.22</v>
      </c>
      <c r="N165" s="17"/>
      <c r="O165" s="17">
        <f>C165</f>
      </c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16">
        <f>ROW(B166)-2</f>
      </c>
      <c r="B166" s="19" t="str">
        <v>内容制作费</v>
      </c>
      <c r="C166" s="19" t="str">
        <v>图文平面制作费</v>
      </c>
      <c r="D166" s="16" t="str">
        <v>营销费用</v>
      </c>
      <c r="E166" s="17" t="str">
        <v>抖音视频创意-店铺-图文平面制作</v>
      </c>
      <c r="F166" s="18" t="str">
        <v>品类内容推广</v>
      </c>
      <c r="G166" s="18" t="str">
        <v>抖音视频创意-店铺</v>
      </c>
      <c r="H166" s="16" t="str">
        <v>品牌运营中心</v>
      </c>
      <c r="I166" s="16" t="str">
        <v>渠道运营部</v>
      </c>
      <c r="J166" s="16" t="str">
        <v>抖音部</v>
      </c>
      <c r="K166" s="16" t="str">
        <v>内容部</v>
      </c>
      <c r="L166" s="17">
        <f>"销售费用_"&amp;D166&amp;"_"&amp;C166</f>
      </c>
      <c r="M166" s="17" t="str">
        <v>6601.36.22</v>
      </c>
      <c r="N166" s="17"/>
      <c r="O166" s="17">
        <f>C166</f>
      </c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16">
        <f>ROW(B167)-2</f>
      </c>
      <c r="B167" s="19" t="str">
        <v>内容制作费</v>
      </c>
      <c r="C167" s="19" t="str">
        <v>建模服务费</v>
      </c>
      <c r="D167" s="16" t="str">
        <v>营销费用</v>
      </c>
      <c r="E167" s="17" t="str">
        <v>抖音视频创意-矩阵号-建模服务</v>
      </c>
      <c r="F167" s="18" t="str">
        <v>品类内容推广</v>
      </c>
      <c r="G167" s="18" t="str">
        <v>抖音视频创意-矩阵号</v>
      </c>
      <c r="H167" s="16" t="str">
        <v>品牌运营中心</v>
      </c>
      <c r="I167" s="16" t="str">
        <v>渠道运营部</v>
      </c>
      <c r="J167" s="16" t="str">
        <v>抖音部</v>
      </c>
      <c r="K167" s="16" t="str">
        <v>矩阵部</v>
      </c>
      <c r="L167" s="17">
        <f>"销售费用_"&amp;D167&amp;"_"&amp;C167</f>
      </c>
      <c r="M167" s="17" t="str">
        <v>6601.36.10</v>
      </c>
      <c r="N167" s="17"/>
      <c r="O167" s="17">
        <f>C167</f>
      </c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16">
        <f>ROW(B168)-2</f>
      </c>
      <c r="B168" s="19" t="str">
        <v>内容制作费</v>
      </c>
      <c r="C168" s="19" t="str">
        <v>建模服务费</v>
      </c>
      <c r="D168" s="16" t="str">
        <v>营销费用</v>
      </c>
      <c r="E168" s="17" t="str">
        <v>抖音视频创意-店铺-建模服务</v>
      </c>
      <c r="F168" s="18" t="str">
        <v>品类内容推广</v>
      </c>
      <c r="G168" s="18" t="str">
        <v>抖音视频创意-店铺</v>
      </c>
      <c r="H168" s="16" t="str">
        <v>品牌运营中心</v>
      </c>
      <c r="I168" s="16" t="str">
        <v>渠道运营部</v>
      </c>
      <c r="J168" s="16" t="str">
        <v>抖音部</v>
      </c>
      <c r="K168" s="16" t="str">
        <v>内容部</v>
      </c>
      <c r="L168" s="17">
        <f>"销售费用_"&amp;D168&amp;"_"&amp;C168</f>
      </c>
      <c r="M168" s="17" t="str">
        <v>6601.36.10</v>
      </c>
      <c r="N168" s="17"/>
      <c r="O168" s="17">
        <f>C168</f>
      </c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16">
        <f>ROW(B169)-2</f>
      </c>
      <c r="B169" s="19" t="str">
        <v>内容制作费</v>
      </c>
      <c r="C169" s="19" t="str">
        <v>渲染服务费</v>
      </c>
      <c r="D169" s="16" t="str">
        <v>营销费用</v>
      </c>
      <c r="E169" s="17" t="str">
        <v>抖音视频创意-矩阵号-渲染服务</v>
      </c>
      <c r="F169" s="18" t="str">
        <v>品类内容推广</v>
      </c>
      <c r="G169" s="18" t="str">
        <v>抖音视频创意-矩阵号</v>
      </c>
      <c r="H169" s="16" t="str">
        <v>品牌运营中心</v>
      </c>
      <c r="I169" s="16" t="str">
        <v>渠道运营部</v>
      </c>
      <c r="J169" s="16" t="str">
        <v>抖音部</v>
      </c>
      <c r="K169" s="16" t="str">
        <v>矩阵部</v>
      </c>
      <c r="L169" s="17">
        <f>"销售费用_"&amp;D169&amp;"_"&amp;C169</f>
      </c>
      <c r="M169" s="17" t="str">
        <v>6601.36.26</v>
      </c>
      <c r="N169" s="17"/>
      <c r="O169" s="17">
        <f>C169</f>
      </c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16">
        <f>ROW(B170)-2</f>
      </c>
      <c r="B170" s="19" t="str">
        <v>内容制作费</v>
      </c>
      <c r="C170" s="19" t="str">
        <v>渲染服务费</v>
      </c>
      <c r="D170" s="16" t="str">
        <v>营销费用</v>
      </c>
      <c r="E170" s="17" t="str">
        <v>抖音视频创意-店铺-渲染服务</v>
      </c>
      <c r="F170" s="18" t="str">
        <v>品类内容推广</v>
      </c>
      <c r="G170" s="18" t="str">
        <v>抖音视频创意-店铺</v>
      </c>
      <c r="H170" s="16" t="str">
        <v>品牌运营中心</v>
      </c>
      <c r="I170" s="16" t="str">
        <v>渠道运营部</v>
      </c>
      <c r="J170" s="16" t="str">
        <v>抖音部</v>
      </c>
      <c r="K170" s="16" t="str">
        <v>内容部</v>
      </c>
      <c r="L170" s="17">
        <f>"销售费用_"&amp;D170&amp;"_"&amp;C170</f>
      </c>
      <c r="M170" s="17" t="str">
        <v>6601.36.26</v>
      </c>
      <c r="N170" s="17"/>
      <c r="O170" s="17">
        <f>C170</f>
      </c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16">
        <f>ROW(B171)-2</f>
      </c>
      <c r="B171" s="19" t="str">
        <v>内容制作费</v>
      </c>
      <c r="C171" s="19" t="str">
        <v>模特服务费</v>
      </c>
      <c r="D171" s="16" t="str">
        <v>营销费用</v>
      </c>
      <c r="E171" s="17" t="str">
        <v>抖音视频创意-矩阵号-模特服务</v>
      </c>
      <c r="F171" s="18" t="str">
        <v>品类内容推广</v>
      </c>
      <c r="G171" s="18" t="str">
        <v>抖音视频创意-矩阵号</v>
      </c>
      <c r="H171" s="16" t="str">
        <v>品牌运营中心</v>
      </c>
      <c r="I171" s="16" t="str">
        <v>渠道运营部</v>
      </c>
      <c r="J171" s="16" t="str">
        <v>抖音部</v>
      </c>
      <c r="K171" s="16" t="str">
        <v>矩阵部</v>
      </c>
      <c r="L171" s="17">
        <f>"销售费用_"&amp;D171&amp;"_"&amp;C171</f>
      </c>
      <c r="M171" s="17" t="str">
        <v>6601.36.13</v>
      </c>
      <c r="N171" s="17"/>
      <c r="O171" s="17">
        <f>C171</f>
      </c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16">
        <f>ROW(B172)-2</f>
      </c>
      <c r="B172" s="19" t="str">
        <v>内容制作费</v>
      </c>
      <c r="C172" s="19" t="str">
        <v>模特服务费</v>
      </c>
      <c r="D172" s="16" t="str">
        <v>营销费用</v>
      </c>
      <c r="E172" s="17" t="str">
        <v>抖音视频创意-店铺-模特服务</v>
      </c>
      <c r="F172" s="18" t="str">
        <v>品类内容推广</v>
      </c>
      <c r="G172" s="18" t="str">
        <v>抖音视频创意-店铺</v>
      </c>
      <c r="H172" s="16" t="str">
        <v>品牌运营中心</v>
      </c>
      <c r="I172" s="16" t="str">
        <v>渠道运营部</v>
      </c>
      <c r="J172" s="16" t="str">
        <v>抖音部</v>
      </c>
      <c r="K172" s="16" t="str">
        <v>内容部</v>
      </c>
      <c r="L172" s="17">
        <f>"销售费用_"&amp;D172&amp;"_"&amp;C172</f>
      </c>
      <c r="M172" s="17" t="str">
        <v>6601.36.13</v>
      </c>
      <c r="N172" s="17"/>
      <c r="O172" s="17">
        <f>C172</f>
      </c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16">
        <f>ROW(B173)-2</f>
      </c>
      <c r="B173" s="19" t="str">
        <v>内容制作费</v>
      </c>
      <c r="C173" s="19" t="str">
        <v>专业人物合作费</v>
      </c>
      <c r="D173" s="16" t="str">
        <v>营销费用</v>
      </c>
      <c r="E173" s="17" t="str">
        <v>抖音视频创意-矩阵号-专业人物合作</v>
      </c>
      <c r="F173" s="18" t="str">
        <v>品类内容推广</v>
      </c>
      <c r="G173" s="18" t="str">
        <v>抖音视频创意-矩阵号</v>
      </c>
      <c r="H173" s="16" t="str">
        <v>品牌运营中心</v>
      </c>
      <c r="I173" s="16" t="str">
        <v>渠道运营部</v>
      </c>
      <c r="J173" s="16" t="str">
        <v>抖音部</v>
      </c>
      <c r="K173" s="16" t="str">
        <v>矩阵部</v>
      </c>
      <c r="L173" s="17">
        <f>"销售费用_"&amp;D173&amp;"_"&amp;C173</f>
      </c>
      <c r="M173" s="17" t="str">
        <v>6601.36.32</v>
      </c>
      <c r="N173" s="17"/>
      <c r="O173" s="17">
        <f>C173</f>
      </c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16">
        <f>ROW(B174)-2</f>
      </c>
      <c r="B174" s="19" t="str">
        <v>内容制作费</v>
      </c>
      <c r="C174" s="19" t="str">
        <v>专业人物合作费</v>
      </c>
      <c r="D174" s="16" t="str">
        <v>营销费用</v>
      </c>
      <c r="E174" s="17" t="str">
        <v>抖音视频创意-店铺-专业人物合作</v>
      </c>
      <c r="F174" s="18" t="str">
        <v>品类内容推广</v>
      </c>
      <c r="G174" s="18" t="str">
        <v>抖音视频创意-店铺</v>
      </c>
      <c r="H174" s="16" t="str">
        <v>品牌运营中心</v>
      </c>
      <c r="I174" s="16" t="str">
        <v>渠道运营部</v>
      </c>
      <c r="J174" s="16" t="str">
        <v>抖音部</v>
      </c>
      <c r="K174" s="16" t="str">
        <v>内容部</v>
      </c>
      <c r="L174" s="17">
        <f>"销售费用_"&amp;D174&amp;"_"&amp;C174</f>
      </c>
      <c r="M174" s="17" t="str">
        <v>6601.36.32</v>
      </c>
      <c r="N174" s="17"/>
      <c r="O174" s="17">
        <f>C174</f>
      </c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16">
        <f>ROW(B175)-2</f>
      </c>
      <c r="B175" s="19" t="str">
        <v>内容制作费</v>
      </c>
      <c r="C175" s="19" t="str">
        <v>服化道费用</v>
      </c>
      <c r="D175" s="16" t="str">
        <v>营销费用</v>
      </c>
      <c r="E175" s="17" t="str">
        <v>抖音视频创意-矩阵号-服化道费</v>
      </c>
      <c r="F175" s="18" t="str">
        <v>品类内容推广</v>
      </c>
      <c r="G175" s="18" t="str">
        <v>抖音视频创意-矩阵号</v>
      </c>
      <c r="H175" s="16" t="str">
        <v>品牌运营中心</v>
      </c>
      <c r="I175" s="16" t="str">
        <v>渠道运营部</v>
      </c>
      <c r="J175" s="16" t="str">
        <v>抖音部</v>
      </c>
      <c r="K175" s="16" t="str">
        <v>矩阵部</v>
      </c>
      <c r="L175" s="17">
        <f>"销售费用_"&amp;D175&amp;"_"&amp;C175</f>
      </c>
      <c r="M175" s="17" t="str">
        <v>6601.36.08</v>
      </c>
      <c r="N175" s="17"/>
      <c r="O175" s="17" t="str">
        <v>服装费、化妆费、道具费</v>
      </c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16">
        <f>ROW(B176)-2</f>
      </c>
      <c r="B176" s="19" t="str">
        <v>内容制作费</v>
      </c>
      <c r="C176" s="19" t="str">
        <v>服化道费用</v>
      </c>
      <c r="D176" s="16" t="str">
        <v>营销费用</v>
      </c>
      <c r="E176" s="17" t="str">
        <v>抖音视频创意-店铺-服化道费</v>
      </c>
      <c r="F176" s="18" t="str">
        <v>品类内容推广</v>
      </c>
      <c r="G176" s="18" t="str">
        <v>抖音视频创意-店铺</v>
      </c>
      <c r="H176" s="16" t="str">
        <v>品牌运营中心</v>
      </c>
      <c r="I176" s="16" t="str">
        <v>渠道运营部</v>
      </c>
      <c r="J176" s="16" t="str">
        <v>抖音部</v>
      </c>
      <c r="K176" s="16" t="str">
        <v>内容部</v>
      </c>
      <c r="L176" s="17">
        <f>"销售费用_"&amp;D176&amp;"_"&amp;C176</f>
      </c>
      <c r="M176" s="17" t="str">
        <v>6601.36.08</v>
      </c>
      <c r="N176" s="17"/>
      <c r="O176" s="17" t="str">
        <v>服装费、化妆费、道具费</v>
      </c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16">
        <f>ROW(B177)-2</f>
      </c>
      <c r="B177" s="19" t="str">
        <v>内容制作费</v>
      </c>
      <c r="C177" s="19" t="str">
        <v>拍摄服务费</v>
      </c>
      <c r="D177" s="16" t="str">
        <v>营销费用</v>
      </c>
      <c r="E177" s="17" t="str">
        <v>抖音视频创意-矩阵号-拍摄服务</v>
      </c>
      <c r="F177" s="18" t="str">
        <v>品类内容推广</v>
      </c>
      <c r="G177" s="18" t="str">
        <v>抖音视频创意-矩阵号</v>
      </c>
      <c r="H177" s="16" t="str">
        <v>品牌运营中心</v>
      </c>
      <c r="I177" s="16" t="str">
        <v>渠道运营部</v>
      </c>
      <c r="J177" s="16" t="str">
        <v>抖音部</v>
      </c>
      <c r="K177" s="16" t="str">
        <v>矩阵部</v>
      </c>
      <c r="L177" s="17">
        <f>"销售费用_"&amp;D177&amp;"_"&amp;C177</f>
      </c>
      <c r="M177" s="17" t="str">
        <v>6601.36.15</v>
      </c>
      <c r="N177" s="17"/>
      <c r="O177" s="17">
        <f>C177</f>
      </c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16">
        <f>ROW(B178)-2</f>
      </c>
      <c r="B178" s="19" t="str">
        <v>内容制作费</v>
      </c>
      <c r="C178" s="19" t="str">
        <v>拍摄服务费</v>
      </c>
      <c r="D178" s="16" t="str">
        <v>营销费用</v>
      </c>
      <c r="E178" s="17" t="str">
        <v>抖音视频创意-店铺-拍摄服务</v>
      </c>
      <c r="F178" s="18" t="str">
        <v>品类内容推广</v>
      </c>
      <c r="G178" s="18" t="str">
        <v>抖音视频创意-店铺</v>
      </c>
      <c r="H178" s="16" t="str">
        <v>品牌运营中心</v>
      </c>
      <c r="I178" s="16" t="str">
        <v>渠道运营部</v>
      </c>
      <c r="J178" s="16" t="str">
        <v>抖音部</v>
      </c>
      <c r="K178" s="16" t="str">
        <v>内容部</v>
      </c>
      <c r="L178" s="17">
        <f>"销售费用_"&amp;D178&amp;"_"&amp;C178</f>
      </c>
      <c r="M178" s="17" t="str">
        <v>6601.36.15</v>
      </c>
      <c r="N178" s="17"/>
      <c r="O178" s="17">
        <f>C178</f>
      </c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16">
        <f>ROW(B179)-2</f>
      </c>
      <c r="B179" s="19" t="str">
        <v>内容制作费</v>
      </c>
      <c r="C179" s="19" t="str">
        <v>拍摄物料费</v>
      </c>
      <c r="D179" s="16" t="str">
        <v>营销费用</v>
      </c>
      <c r="E179" s="17" t="str">
        <v>抖音视频创意-矩阵号-拍摄物料</v>
      </c>
      <c r="F179" s="18" t="str">
        <v>品类内容推广</v>
      </c>
      <c r="G179" s="18" t="str">
        <v>抖音视频创意-矩阵号</v>
      </c>
      <c r="H179" s="16" t="str">
        <v>品牌运营中心</v>
      </c>
      <c r="I179" s="16" t="str">
        <v>渠道运营部</v>
      </c>
      <c r="J179" s="16" t="str">
        <v>抖音部</v>
      </c>
      <c r="K179" s="16" t="str">
        <v>矩阵部</v>
      </c>
      <c r="L179" s="17">
        <f>"销售费用_"&amp;D179&amp;"_"&amp;C179</f>
      </c>
      <c r="M179" s="17" t="str">
        <v>6601.36.16</v>
      </c>
      <c r="N179" s="17"/>
      <c r="O179" s="17">
        <f>C179</f>
      </c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16">
        <f>ROW(B180)-2</f>
      </c>
      <c r="B180" s="19" t="str">
        <v>内容制作费</v>
      </c>
      <c r="C180" s="19" t="str">
        <v>拍摄物料费</v>
      </c>
      <c r="D180" s="16" t="str">
        <v>营销费用</v>
      </c>
      <c r="E180" s="17" t="str">
        <v>抖音视频创意-店铺-拍摄物料</v>
      </c>
      <c r="F180" s="18" t="str">
        <v>品类内容推广</v>
      </c>
      <c r="G180" s="18" t="str">
        <v>抖音视频创意-店铺</v>
      </c>
      <c r="H180" s="16" t="str">
        <v>品牌运营中心</v>
      </c>
      <c r="I180" s="16" t="str">
        <v>渠道运营部</v>
      </c>
      <c r="J180" s="16" t="str">
        <v>抖音部</v>
      </c>
      <c r="K180" s="16" t="str">
        <v>内容部</v>
      </c>
      <c r="L180" s="17">
        <f>"销售费用_"&amp;D180&amp;"_"&amp;C180</f>
      </c>
      <c r="M180" s="17" t="str">
        <v>6601.36.16</v>
      </c>
      <c r="N180" s="17"/>
      <c r="O180" s="17">
        <f>C180</f>
      </c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16">
        <f>ROW(B181)-2</f>
      </c>
      <c r="B181" s="19" t="str">
        <v>内容制作费</v>
      </c>
      <c r="C181" s="19" t="str">
        <v>内容制作费</v>
      </c>
      <c r="D181" s="16" t="str">
        <v>营销费用</v>
      </c>
      <c r="E181" s="17" t="str">
        <v>抖音视频创意-矩阵号-内容制作</v>
      </c>
      <c r="F181" s="18" t="str">
        <v>品类内容推广</v>
      </c>
      <c r="G181" s="18" t="str">
        <v>抖音视频创意-矩阵号</v>
      </c>
      <c r="H181" s="16" t="str">
        <v>品牌运营中心</v>
      </c>
      <c r="I181" s="16" t="str">
        <v>渠道运营部</v>
      </c>
      <c r="J181" s="16" t="str">
        <v>抖音部</v>
      </c>
      <c r="K181" s="16" t="str">
        <v>矩阵部</v>
      </c>
      <c r="L181" s="17">
        <f>"销售费用_"&amp;D181&amp;"_"&amp;C181</f>
      </c>
      <c r="M181" s="17" t="str">
        <v>6601.36.14</v>
      </c>
      <c r="N181" s="17"/>
      <c r="O181" s="17">
        <f>C181</f>
      </c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16">
        <f>ROW(B182)-2</f>
      </c>
      <c r="B182" s="19" t="str">
        <v>内容制作费</v>
      </c>
      <c r="C182" s="19" t="str">
        <v>内容制作费</v>
      </c>
      <c r="D182" s="16" t="str">
        <v>营销费用</v>
      </c>
      <c r="E182" s="17" t="str">
        <v>抖音视频创意-店铺-内容制作</v>
      </c>
      <c r="F182" s="18" t="str">
        <v>品类内容推广</v>
      </c>
      <c r="G182" s="18" t="str">
        <v>抖音视频创意-店铺</v>
      </c>
      <c r="H182" s="16" t="str">
        <v>品牌运营中心</v>
      </c>
      <c r="I182" s="16" t="str">
        <v>渠道运营部</v>
      </c>
      <c r="J182" s="16" t="str">
        <v>抖音部</v>
      </c>
      <c r="K182" s="16" t="str">
        <v>内容部</v>
      </c>
      <c r="L182" s="17">
        <f>"销售费用_"&amp;D182&amp;"_"&amp;C182</f>
      </c>
      <c r="M182" s="17" t="str">
        <v>6601.36.14</v>
      </c>
      <c r="N182" s="17"/>
      <c r="O182" s="17">
        <f>C182</f>
      </c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6">
        <f>ROW(B183)-2</f>
      </c>
      <c r="B183" s="19" t="str">
        <v>渠道推广费</v>
      </c>
      <c r="C183" s="21" t="str">
        <v>站内推广费</v>
      </c>
      <c r="D183" s="16" t="str">
        <v>营销费用</v>
      </c>
      <c r="E183" s="17" t="str">
        <v>千川信息流</v>
      </c>
      <c r="F183" s="18" t="str">
        <v>直播电商推广</v>
      </c>
      <c r="G183" s="18" t="str">
        <v>抖音电商渠道推广</v>
      </c>
      <c r="H183" s="16" t="str">
        <v>品牌运营中心</v>
      </c>
      <c r="I183" s="16" t="str">
        <v>渠道运营部</v>
      </c>
      <c r="J183" s="16" t="str">
        <v>抖音部</v>
      </c>
      <c r="K183" s="16" t="str">
        <v>抖音推广部</v>
      </c>
      <c r="L183" s="17" t="str">
        <v>销售费用_营销费用_线上推广费</v>
      </c>
      <c r="M183" s="17" t="str">
        <v>6601.36.24</v>
      </c>
      <c r="N183" s="17"/>
      <c r="O183" s="17" t="str">
        <v>技术服务费？服务费？</v>
      </c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6">
        <f>ROW(B184)-2</f>
      </c>
      <c r="B184" s="19" t="str">
        <v>渠道推广费</v>
      </c>
      <c r="C184" s="21" t="str">
        <v>站内推广费</v>
      </c>
      <c r="D184" s="16" t="str">
        <v>营销费用</v>
      </c>
      <c r="E184" s="17" t="str">
        <v>矩阵号千川信息流</v>
      </c>
      <c r="F184" s="18" t="str">
        <v>直播电商推广</v>
      </c>
      <c r="G184" s="18" t="str">
        <v>抖音矩阵号渠道推广</v>
      </c>
      <c r="H184" s="16" t="str">
        <v>品牌运营中心</v>
      </c>
      <c r="I184" s="16" t="str">
        <v>渠道运营部</v>
      </c>
      <c r="J184" s="16" t="str">
        <v>抖音部</v>
      </c>
      <c r="K184" s="16" t="str">
        <v>矩阵部</v>
      </c>
      <c r="L184" s="17" t="str">
        <v>销售费用_营销费用_线上推广费</v>
      </c>
      <c r="M184" s="17" t="str">
        <v>6601.36.24</v>
      </c>
      <c r="N184" s="17"/>
      <c r="O184" s="17" t="str">
        <v>技术服务费？服务费？</v>
      </c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6">
        <f>ROW(B185)-2</f>
      </c>
      <c r="B185" s="19" t="str">
        <v>渠道推广费</v>
      </c>
      <c r="C185" s="19" t="str">
        <v>代运营服务费</v>
      </c>
      <c r="D185" s="16" t="str">
        <v>营销费用</v>
      </c>
      <c r="E185" s="17" t="str">
        <v>矩阵号服务费</v>
      </c>
      <c r="F185" s="18" t="str">
        <v>直播电商推广</v>
      </c>
      <c r="G185" s="18" t="str">
        <v>抖音矩阵号直播佣金服务费</v>
      </c>
      <c r="H185" s="16" t="str">
        <v>品牌运营中心</v>
      </c>
      <c r="I185" s="16" t="str">
        <v>渠道运营部</v>
      </c>
      <c r="J185" s="16" t="str">
        <v>抖音部</v>
      </c>
      <c r="K185" s="16" t="str">
        <v>矩阵部</v>
      </c>
      <c r="L185" s="17">
        <f>"销售费用_"&amp;D185&amp;"_"&amp;C185</f>
      </c>
      <c r="M185" s="17" t="str">
        <v>6601.36.05</v>
      </c>
      <c r="N185" s="17"/>
      <c r="O185" s="17" t="str">
        <v>服务费</v>
      </c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6">
        <f>ROW(B186)-2</f>
      </c>
      <c r="B186" s="19" t="str">
        <v>达人推广费</v>
      </c>
      <c r="C186" s="19" t="str">
        <v>内容推广费</v>
      </c>
      <c r="D186" s="16" t="str">
        <v>营销费用</v>
      </c>
      <c r="E186" s="36" t="str">
        <v>矩阵号DOU+</v>
      </c>
      <c r="F186" s="18" t="str">
        <v>品类内容推广</v>
      </c>
      <c r="G186" s="18" t="str">
        <v>抖音矩阵号渠道推广</v>
      </c>
      <c r="H186" s="16" t="str">
        <v>品牌运营中心</v>
      </c>
      <c r="I186" s="16" t="str">
        <v>渠道运营部</v>
      </c>
      <c r="J186" s="16" t="str">
        <v>抖音部</v>
      </c>
      <c r="K186" s="16" t="str">
        <v>矩阵部</v>
      </c>
      <c r="L186" s="17" t="str">
        <v>销售费用_营销费用_线上推广费</v>
      </c>
      <c r="M186" s="17" t="str">
        <v>6601.36.24</v>
      </c>
      <c r="N186" s="17"/>
      <c r="O186" s="17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6">
        <f>ROW(B187)-2</f>
      </c>
      <c r="B187" s="19" t="str">
        <v>达人推广费</v>
      </c>
      <c r="C187" s="19" t="str">
        <v>内容推广费</v>
      </c>
      <c r="D187" s="16" t="str">
        <v>营销费用</v>
      </c>
      <c r="E187" s="36" t="str">
        <v>抖音官号DOU+</v>
      </c>
      <c r="F187" s="18" t="str">
        <v>直播电商推广</v>
      </c>
      <c r="G187" s="18" t="str">
        <v>抖音电商渠道推广</v>
      </c>
      <c r="H187" s="16" t="str">
        <v>品牌运营中心</v>
      </c>
      <c r="I187" s="16" t="str">
        <v>渠道运营部</v>
      </c>
      <c r="J187" s="16" t="str">
        <v>抖音部</v>
      </c>
      <c r="K187" s="16" t="str">
        <v>抖音推广部</v>
      </c>
      <c r="L187" s="17" t="str">
        <v>销售费用_营销费用_线上推广费</v>
      </c>
      <c r="M187" s="17" t="str">
        <v>6601.36.24</v>
      </c>
      <c r="N187" s="17"/>
      <c r="O187" s="17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6">
        <f>ROW(B188)-2</f>
      </c>
      <c r="B188" s="19" t="str">
        <v>渠道推广费</v>
      </c>
      <c r="C188" s="19" t="str">
        <v>代运营佣金</v>
      </c>
      <c r="D188" s="16" t="str">
        <v>营销费用</v>
      </c>
      <c r="E188" s="17" t="str">
        <v>矩阵号佣金</v>
      </c>
      <c r="F188" s="18" t="str">
        <v>直播电商推广</v>
      </c>
      <c r="G188" s="18" t="str">
        <v>抖音矩阵号直播佣金服务费</v>
      </c>
      <c r="H188" s="16" t="str">
        <v>品牌运营中心</v>
      </c>
      <c r="I188" s="16" t="str">
        <v>渠道运营部</v>
      </c>
      <c r="J188" s="16" t="str">
        <v>抖音部</v>
      </c>
      <c r="K188" s="16" t="str">
        <v>矩阵部</v>
      </c>
      <c r="L188" s="17">
        <f>"销售费用_"&amp;D188&amp;"_"&amp;C188</f>
      </c>
      <c r="M188" s="17" t="str">
        <v>6601.36.06</v>
      </c>
      <c r="N188" s="17"/>
      <c r="O188" s="17" t="str">
        <v>服务费</v>
      </c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6">
        <f>ROW(B189)-2</f>
      </c>
      <c r="B189" s="19" t="str">
        <v>渠道推广费</v>
      </c>
      <c r="C189" s="19" t="str">
        <v>代运营服务费</v>
      </c>
      <c r="D189" s="16" t="str">
        <v>营销费用</v>
      </c>
      <c r="E189" s="17" t="str">
        <v>共创直播间服务费-唯品会</v>
      </c>
      <c r="F189" s="18" t="str">
        <v>平台电商推广</v>
      </c>
      <c r="G189" s="18" t="str">
        <v>唯品渠道推广（共创）</v>
      </c>
      <c r="H189" s="16" t="str">
        <v>品牌运营中心</v>
      </c>
      <c r="I189" s="16" t="str">
        <v>渠道运营部</v>
      </c>
      <c r="J189" s="16" t="str">
        <v>特色电商部</v>
      </c>
      <c r="K189" s="16" t="str">
        <v>唯品综合部</v>
      </c>
      <c r="L189" s="17">
        <f>"销售费用_"&amp;D189&amp;"_"&amp;C189</f>
      </c>
      <c r="M189" s="17" t="str">
        <v>6601.36.05</v>
      </c>
      <c r="N189" s="17"/>
      <c r="O189" s="17" t="str">
        <v>服务费</v>
      </c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6">
        <f>ROW(B190)-2</f>
      </c>
      <c r="B190" s="19" t="str">
        <v>渠道推广费</v>
      </c>
      <c r="C190" s="19" t="str">
        <v>代运营服务费</v>
      </c>
      <c r="D190" s="16" t="str">
        <v>营销费用</v>
      </c>
      <c r="E190" s="17" t="str">
        <v>共创直播间服务费-京东</v>
      </c>
      <c r="F190" s="18" t="str">
        <v>平台电商推广</v>
      </c>
      <c r="G190" s="18" t="str">
        <v>京东渠道推广（共创）</v>
      </c>
      <c r="H190" s="16" t="str">
        <v>品牌运营中心</v>
      </c>
      <c r="I190" s="16" t="str">
        <v>渠道运营部</v>
      </c>
      <c r="J190" s="16" t="str">
        <v>特色电商部</v>
      </c>
      <c r="K190" s="16" t="str">
        <v>京东部</v>
      </c>
      <c r="L190" s="17">
        <f>"销售费用_"&amp;D190&amp;"_"&amp;C190</f>
      </c>
      <c r="M190" s="17" t="str">
        <v>6601.36.05</v>
      </c>
      <c r="N190" s="17"/>
      <c r="O190" s="17" t="str">
        <v>服务费</v>
      </c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6">
        <f>ROW(B191)-2</f>
      </c>
      <c r="B191" s="19" t="str">
        <v>渠道推广费</v>
      </c>
      <c r="C191" s="19" t="str">
        <v>代运营佣金</v>
      </c>
      <c r="D191" s="16" t="str">
        <v>营销费用</v>
      </c>
      <c r="E191" s="17" t="str">
        <v>共创直播间佣金-唯品会</v>
      </c>
      <c r="F191" s="18" t="str">
        <v>平台电商推广</v>
      </c>
      <c r="G191" s="18" t="str">
        <v>唯品渠道推广（共创）</v>
      </c>
      <c r="H191" s="16" t="str">
        <v>品牌运营中心</v>
      </c>
      <c r="I191" s="16" t="str">
        <v>渠道运营部</v>
      </c>
      <c r="J191" s="16" t="str">
        <v>特色电商部</v>
      </c>
      <c r="K191" s="16" t="str">
        <v>唯品综合部</v>
      </c>
      <c r="L191" s="17">
        <f>"销售费用_"&amp;D191&amp;"_"&amp;C191</f>
      </c>
      <c r="M191" s="17" t="str">
        <v>6601.36.06</v>
      </c>
      <c r="N191" s="17"/>
      <c r="O191" s="17" t="str">
        <v>服务费</v>
      </c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6">
        <f>ROW(B192)-2</f>
      </c>
      <c r="B192" s="19" t="str">
        <v>渠道推广费</v>
      </c>
      <c r="C192" s="19" t="str">
        <v>代运营佣金</v>
      </c>
      <c r="D192" s="16" t="str">
        <v>营销费用</v>
      </c>
      <c r="E192" s="17" t="str">
        <v>共创直播间佣金-京东</v>
      </c>
      <c r="F192" s="18" t="str">
        <v>平台电商推广</v>
      </c>
      <c r="G192" s="18" t="str">
        <v>京东渠道推广（共创）</v>
      </c>
      <c r="H192" s="16" t="str">
        <v>品牌运营中心</v>
      </c>
      <c r="I192" s="16" t="str">
        <v>渠道运营部</v>
      </c>
      <c r="J192" s="16" t="str">
        <v>特色电商部</v>
      </c>
      <c r="K192" s="16" t="str">
        <v>京东部</v>
      </c>
      <c r="L192" s="17">
        <f>"销售费用_"&amp;D192&amp;"_"&amp;C192</f>
      </c>
      <c r="M192" s="17" t="str">
        <v>6601.36.06</v>
      </c>
      <c r="N192" s="17"/>
      <c r="O192" s="17" t="str">
        <v>服务费</v>
      </c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28">
        <f>ROW(B193)-2</f>
      </c>
      <c r="B193" s="26" t="str">
        <v>店铺运营费</v>
      </c>
      <c r="C193" s="26" t="str">
        <v>店铺服务费</v>
      </c>
      <c r="D193" s="28" t="str">
        <v>营销费用</v>
      </c>
      <c r="E193" s="29" t="str">
        <v>店铺服务费</v>
      </c>
      <c r="F193" s="29" t="str">
        <v>平台扣点</v>
      </c>
      <c r="G193" s="29" t="str">
        <v>平台服务费</v>
      </c>
      <c r="H193" s="28" t="str">
        <v>品牌运营中心</v>
      </c>
      <c r="I193" s="28" t="str">
        <v>渠道运营部</v>
      </c>
      <c r="J193" s="28"/>
      <c r="K193" s="28"/>
      <c r="L193" s="27">
        <f>"销售费用_"&amp;D193&amp;"_"&amp;C193</f>
      </c>
      <c r="M193" s="17" t="str">
        <v>#N/A</v>
      </c>
      <c r="N193" s="27"/>
      <c r="O193" s="27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>
      <c r="A194" s="28">
        <f>ROW(B194)-2</f>
      </c>
      <c r="B194" s="26" t="str">
        <v>店铺运营费</v>
      </c>
      <c r="C194" s="26" t="str">
        <v>快递拦截费</v>
      </c>
      <c r="D194" s="28" t="str">
        <v>营销费用</v>
      </c>
      <c r="E194" s="29" t="str">
        <v>快递拦截费</v>
      </c>
      <c r="F194" s="29" t="str">
        <v>平台扣点</v>
      </c>
      <c r="G194" s="29" t="str">
        <v>平台服务费</v>
      </c>
      <c r="H194" s="28" t="str">
        <v>品牌运营中心</v>
      </c>
      <c r="I194" s="28" t="str">
        <v>渠道运营部</v>
      </c>
      <c r="J194" s="28"/>
      <c r="K194" s="28"/>
      <c r="L194" s="27">
        <f>"销售费用_"&amp;D194&amp;"_"&amp;C194</f>
      </c>
      <c r="M194" s="17" t="str">
        <v>#N/A</v>
      </c>
      <c r="N194" s="27"/>
      <c r="O194" s="27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>
      <c r="A195" s="28">
        <f>ROW(B195)-2</f>
      </c>
      <c r="B195" s="26" t="str">
        <v>店铺运营费</v>
      </c>
      <c r="C195" s="26" t="str">
        <v>代收保险费</v>
      </c>
      <c r="D195" s="28" t="str">
        <v>营销费用</v>
      </c>
      <c r="E195" s="29" t="str">
        <v>店铺保险费</v>
      </c>
      <c r="F195" s="29" t="str">
        <v>平台扣点</v>
      </c>
      <c r="G195" s="29" t="str">
        <v>平台服务费</v>
      </c>
      <c r="H195" s="28" t="str">
        <v>品牌运营中心</v>
      </c>
      <c r="I195" s="28" t="str">
        <v>渠道运营部</v>
      </c>
      <c r="J195" s="28"/>
      <c r="K195" s="28"/>
      <c r="L195" s="27">
        <f>"销售费用_"&amp;D195&amp;"_"&amp;C195</f>
      </c>
      <c r="M195" s="17" t="str">
        <v>#N/A</v>
      </c>
      <c r="N195" s="27"/>
      <c r="O195" s="27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>
      <c r="A196" s="28">
        <f>ROW(B196)-2</f>
      </c>
      <c r="B196" s="26" t="str">
        <v>店铺运营费</v>
      </c>
      <c r="C196" s="26" t="str">
        <v>支付服务费</v>
      </c>
      <c r="D196" s="28" t="str">
        <v>营销费用</v>
      </c>
      <c r="E196" s="29" t="str">
        <v>支付服务费</v>
      </c>
      <c r="F196" s="29" t="str">
        <v>平台扣点</v>
      </c>
      <c r="G196" s="29" t="str">
        <v>平台服务费</v>
      </c>
      <c r="H196" s="28" t="str">
        <v>品牌运营中心</v>
      </c>
      <c r="I196" s="28" t="str">
        <v>渠道运营部</v>
      </c>
      <c r="J196" s="28"/>
      <c r="K196" s="28"/>
      <c r="L196" s="27">
        <f>"销售费用_"&amp;D196&amp;"_"&amp;C196</f>
      </c>
      <c r="M196" s="17" t="str">
        <v>#N/A</v>
      </c>
      <c r="N196" s="27"/>
      <c r="O196" s="27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>
      <c r="A197" s="28">
        <f>ROW(B197)-2</f>
      </c>
      <c r="B197" s="26" t="str">
        <v>店铺运营费</v>
      </c>
      <c r="C197" s="26" t="str">
        <v>平台技术服务费</v>
      </c>
      <c r="D197" s="28" t="str">
        <v>营销费用</v>
      </c>
      <c r="E197" s="29" t="str">
        <v>平台技术服务费</v>
      </c>
      <c r="F197" s="29" t="str">
        <v>平台扣点</v>
      </c>
      <c r="G197" s="29" t="str">
        <v>平台服务费</v>
      </c>
      <c r="H197" s="28" t="str">
        <v>品牌运营中心</v>
      </c>
      <c r="I197" s="28" t="str">
        <v>渠道运营部</v>
      </c>
      <c r="J197" s="28"/>
      <c r="K197" s="28"/>
      <c r="L197" s="27">
        <f>"销售费用_"&amp;D197&amp;"_"&amp;C197</f>
      </c>
      <c r="M197" s="17" t="str">
        <v>#N/A</v>
      </c>
      <c r="N197" s="27"/>
      <c r="O197" s="27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>
      <c r="A198" s="28">
        <f>ROW(B198)-2</f>
      </c>
      <c r="B198" s="26" t="str">
        <v>店铺运营费</v>
      </c>
      <c r="C198" s="26" t="str">
        <v>支付手续费</v>
      </c>
      <c r="D198" s="28" t="str">
        <v>营销费用</v>
      </c>
      <c r="E198" s="29" t="str">
        <v>支付手续费</v>
      </c>
      <c r="F198" s="29" t="str">
        <v>平台扣点</v>
      </c>
      <c r="G198" s="29" t="str">
        <v>平台服务费</v>
      </c>
      <c r="H198" s="28" t="str">
        <v>品牌运营中心</v>
      </c>
      <c r="I198" s="28" t="str">
        <v>渠道运营部</v>
      </c>
      <c r="J198" s="28"/>
      <c r="K198" s="28"/>
      <c r="L198" s="27">
        <f>"销售费用_"&amp;D198&amp;"_"&amp;C198</f>
      </c>
      <c r="M198" s="17" t="str">
        <v>#N/A</v>
      </c>
      <c r="N198" s="27"/>
      <c r="O198" s="27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>
      <c r="A199" s="16">
        <f>ROW(B199)-2</f>
      </c>
      <c r="B199" s="19" t="str">
        <v>店铺运营费</v>
      </c>
      <c r="C199" s="19" t="str">
        <v>平台软件费</v>
      </c>
      <c r="D199" s="16" t="str">
        <v>营销费用</v>
      </c>
      <c r="E199" s="18" t="str">
        <v>软件费用</v>
      </c>
      <c r="F199" s="18" t="str">
        <v>平台扣点</v>
      </c>
      <c r="G199" s="18" t="str">
        <v>软件服务费</v>
      </c>
      <c r="H199" s="16" t="str">
        <v>品牌运营中心</v>
      </c>
      <c r="I199" s="16" t="str">
        <v>渠道运营部</v>
      </c>
      <c r="J199" s="16"/>
      <c r="K199" s="16"/>
      <c r="L199" s="17">
        <f>"销售费用_"&amp;D199&amp;"_"&amp;C199</f>
      </c>
      <c r="M199" s="17" t="str">
        <v>6601.36.18</v>
      </c>
      <c r="N199" s="17"/>
      <c r="O199" s="17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6">
        <f>ROW(B200)-2</f>
      </c>
      <c r="B200" s="19" t="str">
        <v>其他费用</v>
      </c>
      <c r="C200" s="19" t="str">
        <v>场地租赁费</v>
      </c>
      <c r="D200" s="16" t="str">
        <v>营销费用</v>
      </c>
      <c r="E200" s="17" t="str">
        <v>抖音视频创意-矩阵号-场地租赁</v>
      </c>
      <c r="F200" s="18" t="str">
        <v>品类内容推广</v>
      </c>
      <c r="G200" s="18" t="str">
        <v>抖音视频创意-矩阵号</v>
      </c>
      <c r="H200" s="16" t="str">
        <v>品牌运营中心</v>
      </c>
      <c r="I200" s="16" t="str">
        <v>渠道运营部</v>
      </c>
      <c r="J200" s="16" t="str">
        <v>抖音部</v>
      </c>
      <c r="K200" s="16" t="str">
        <v>矩阵部</v>
      </c>
      <c r="L200" s="17">
        <f>"销售费用_"&amp;D200&amp;"_"&amp;C200</f>
      </c>
      <c r="M200" s="17" t="str">
        <v>6601.36.02</v>
      </c>
      <c r="N200" s="17"/>
      <c r="O200" s="17">
        <f>C200</f>
      </c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6">
        <f>ROW(B201)-2</f>
      </c>
      <c r="B201" s="19" t="str">
        <v>其他费用</v>
      </c>
      <c r="C201" s="19" t="str">
        <v>场地租赁费</v>
      </c>
      <c r="D201" s="16" t="str">
        <v>营销费用</v>
      </c>
      <c r="E201" s="17" t="str">
        <v>抖音视频创意-店铺-场地租赁</v>
      </c>
      <c r="F201" s="18" t="str">
        <v>品类内容推广</v>
      </c>
      <c r="G201" s="18" t="str">
        <v>抖音视频创意-店铺</v>
      </c>
      <c r="H201" s="16" t="str">
        <v>品牌运营中心</v>
      </c>
      <c r="I201" s="16" t="str">
        <v>渠道运营部</v>
      </c>
      <c r="J201" s="16" t="str">
        <v>抖音部</v>
      </c>
      <c r="K201" s="16" t="str">
        <v>内容部</v>
      </c>
      <c r="L201" s="17">
        <f>"销售费用_"&amp;D201&amp;"_"&amp;C201</f>
      </c>
      <c r="M201" s="17" t="str">
        <v>6601.36.02</v>
      </c>
      <c r="N201" s="17"/>
      <c r="O201" s="17">
        <f>C201</f>
      </c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16">
        <f>ROW(B202)-2</f>
      </c>
      <c r="B202" s="25" t="str">
        <v>其他费用</v>
      </c>
      <c r="C202" s="19" t="str">
        <v>舞台场地搭建费</v>
      </c>
      <c r="D202" s="16" t="str">
        <v>营销费用</v>
      </c>
      <c r="E202" s="17" t="str">
        <v>抖音视频创意-矩阵号-舞台场地搭建</v>
      </c>
      <c r="F202" s="18" t="str">
        <v>品类内容推广</v>
      </c>
      <c r="G202" s="18" t="str">
        <v>抖音视频创意-矩阵号</v>
      </c>
      <c r="H202" s="16" t="str">
        <v>品牌运营中心</v>
      </c>
      <c r="I202" s="16" t="str">
        <v>渠道运营部</v>
      </c>
      <c r="J202" s="16" t="str">
        <v>抖音部</v>
      </c>
      <c r="K202" s="16" t="str">
        <v>矩阵部</v>
      </c>
      <c r="L202" s="17" t="str">
        <v>销售费用_营销费用_搭建服务费</v>
      </c>
      <c r="M202" s="17" t="str">
        <v>6601.36.03</v>
      </c>
      <c r="N202" s="17"/>
      <c r="O202" s="17" t="str">
        <v>搭建服务费</v>
      </c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16">
        <f>ROW(B203)-2</f>
      </c>
      <c r="B203" s="25" t="str">
        <v>其他费用</v>
      </c>
      <c r="C203" s="19" t="str">
        <v>舞台场地搭建费</v>
      </c>
      <c r="D203" s="16" t="str">
        <v>营销费用</v>
      </c>
      <c r="E203" s="17" t="str">
        <v>抖音视频创意-店铺-舞台场地搭建</v>
      </c>
      <c r="F203" s="18" t="str">
        <v>品类内容推广</v>
      </c>
      <c r="G203" s="18" t="str">
        <v>抖音视频创意-店铺</v>
      </c>
      <c r="H203" s="16" t="str">
        <v>品牌运营中心</v>
      </c>
      <c r="I203" s="16" t="str">
        <v>渠道运营部</v>
      </c>
      <c r="J203" s="16" t="str">
        <v>抖音部</v>
      </c>
      <c r="K203" s="16" t="str">
        <v>内容部</v>
      </c>
      <c r="L203" s="17" t="str">
        <v>销售费用_营销费用_搭建服务费</v>
      </c>
      <c r="M203" s="17" t="str">
        <v>6601.36.03</v>
      </c>
      <c r="N203" s="17"/>
      <c r="O203" s="17" t="str">
        <v>搭建服务费</v>
      </c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16">
        <f>ROW(B204)-2</f>
      </c>
      <c r="B204" s="19" t="str">
        <v>其他费用</v>
      </c>
      <c r="C204" s="19" t="str">
        <v>设备租赁费</v>
      </c>
      <c r="D204" s="16" t="str">
        <v>营销费用</v>
      </c>
      <c r="E204" s="17" t="str">
        <v>抖音视频创意-矩阵号-设备租赁</v>
      </c>
      <c r="F204" s="18" t="str">
        <v>品类内容推广</v>
      </c>
      <c r="G204" s="18" t="str">
        <v>抖音视频创意-矩阵号</v>
      </c>
      <c r="H204" s="16" t="str">
        <v>品牌运营中心</v>
      </c>
      <c r="I204" s="16" t="str">
        <v>渠道运营部</v>
      </c>
      <c r="J204" s="16" t="str">
        <v>抖音部</v>
      </c>
      <c r="K204" s="16" t="str">
        <v>矩阵部</v>
      </c>
      <c r="L204" s="17">
        <f>"销售费用_"&amp;D204&amp;"_"&amp;C204</f>
      </c>
      <c r="M204" s="17" t="str">
        <v>6601.36.19</v>
      </c>
      <c r="N204" s="17"/>
      <c r="O204" s="17">
        <f>C204</f>
      </c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16">
        <f>ROW(B205)-2</f>
      </c>
      <c r="B205" s="19" t="str">
        <v>其他费用</v>
      </c>
      <c r="C205" s="19" t="str">
        <v>设备租赁费</v>
      </c>
      <c r="D205" s="16" t="str">
        <v>营销费用</v>
      </c>
      <c r="E205" s="17" t="str">
        <v>抖音视频创意-店铺-设备租赁</v>
      </c>
      <c r="F205" s="18" t="str">
        <v>品类内容推广</v>
      </c>
      <c r="G205" s="18" t="str">
        <v>抖音视频创意-店铺</v>
      </c>
      <c r="H205" s="16" t="str">
        <v>品牌运营中心</v>
      </c>
      <c r="I205" s="16" t="str">
        <v>渠道运营部</v>
      </c>
      <c r="J205" s="16" t="str">
        <v>抖音部</v>
      </c>
      <c r="K205" s="16" t="str">
        <v>内容部</v>
      </c>
      <c r="L205" s="17">
        <f>"销售费用_"&amp;D205&amp;"_"&amp;C205</f>
      </c>
      <c r="M205" s="17" t="str">
        <v>6601.36.19</v>
      </c>
      <c r="N205" s="17"/>
      <c r="O205" s="17">
        <f>C205</f>
      </c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16">
        <f>ROW(B206)-2</f>
      </c>
      <c r="B206" s="19" t="str">
        <v>品牌宣传费</v>
      </c>
      <c r="C206" s="19" t="str">
        <v>营销宣传费</v>
      </c>
      <c r="D206" s="16" t="str">
        <v>营销费用</v>
      </c>
      <c r="E206" s="17" t="str">
        <v>明星影综营销号</v>
      </c>
      <c r="F206" s="17" t="str">
        <v>IP明星内容合作</v>
      </c>
      <c r="G206" s="17" t="str">
        <v>品牌IP及娱乐营销</v>
      </c>
      <c r="H206" s="16" t="str">
        <v>品牌运营中心</v>
      </c>
      <c r="I206" s="16" t="str">
        <v>市场广告推广部</v>
      </c>
      <c r="J206" s="16" t="str">
        <v>市场推广部</v>
      </c>
      <c r="K206" s="16" t="str">
        <v>娱乐营销部</v>
      </c>
      <c r="L206" s="17">
        <f>"销售费用_"&amp;D206&amp;"_"&amp;C206</f>
      </c>
      <c r="M206" s="17" t="str">
        <v>6601.36.27</v>
      </c>
      <c r="N206" s="16"/>
      <c r="O206" s="17">
        <f>C206</f>
      </c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16">
        <f>ROW(B207)-2</f>
      </c>
      <c r="B207" s="19" t="str">
        <v>品牌宣传费</v>
      </c>
      <c r="C207" s="19" t="str">
        <v>品牌植入费</v>
      </c>
      <c r="D207" s="16" t="str">
        <v>营销费用</v>
      </c>
      <c r="E207" s="17" t="str">
        <v>影视综艺植入</v>
      </c>
      <c r="F207" s="17" t="str">
        <v>IP明星内容合作</v>
      </c>
      <c r="G207" s="17" t="str">
        <v>品牌IP及娱乐营销</v>
      </c>
      <c r="H207" s="16" t="str">
        <v>品牌运营中心</v>
      </c>
      <c r="I207" s="16" t="str">
        <v>市场广告推广部</v>
      </c>
      <c r="J207" s="16" t="str">
        <v>市场推广部</v>
      </c>
      <c r="K207" s="16" t="str">
        <v>娱乐营销部</v>
      </c>
      <c r="L207" s="17">
        <f>"销售费用_"&amp;D207&amp;"_"&amp;C207</f>
      </c>
      <c r="M207" s="17" t="str">
        <v>6601.36.17</v>
      </c>
      <c r="N207" s="16"/>
      <c r="O207" s="17">
        <f>C207</f>
      </c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16">
        <f>ROW(B208)-2</f>
      </c>
      <c r="B208" s="19" t="str">
        <v>品牌宣传费</v>
      </c>
      <c r="C208" s="19" t="str">
        <v>明星合作费</v>
      </c>
      <c r="D208" s="16" t="str">
        <v>营销费用</v>
      </c>
      <c r="E208" s="17" t="str">
        <v>明星代言单次合作</v>
      </c>
      <c r="F208" s="17" t="str">
        <v>IP明星内容合作</v>
      </c>
      <c r="G208" s="17" t="str">
        <v>明星代言单次</v>
      </c>
      <c r="H208" s="16" t="str">
        <v>品牌运营中心</v>
      </c>
      <c r="I208" s="16" t="str">
        <v>市场广告推广部</v>
      </c>
      <c r="J208" s="16" t="str">
        <v>市场推广部</v>
      </c>
      <c r="K208" s="16" t="str">
        <v>娱乐营销部</v>
      </c>
      <c r="L208" s="17">
        <f>"销售费用_"&amp;D208&amp;"_"&amp;C208</f>
      </c>
      <c r="M208" s="17" t="str">
        <v>6601.36.12</v>
      </c>
      <c r="N208" s="16"/>
      <c r="O208" s="17">
        <f>C208</f>
      </c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16">
        <f>ROW(B209)-2</f>
      </c>
      <c r="B209" s="19" t="str">
        <v>品牌宣传费</v>
      </c>
      <c r="C209" s="19" t="str">
        <v>明星合作费</v>
      </c>
      <c r="D209" s="16" t="str">
        <v>营销费用</v>
      </c>
      <c r="E209" s="17" t="str">
        <v>明星代言合作</v>
      </c>
      <c r="F209" s="17" t="str">
        <v>IP明星内容合作</v>
      </c>
      <c r="G209" s="17" t="str">
        <v>明星代言摊销</v>
      </c>
      <c r="H209" s="16" t="str">
        <v>品牌运营中心</v>
      </c>
      <c r="I209" s="16" t="str">
        <v>市场广告推广部</v>
      </c>
      <c r="J209" s="16" t="str">
        <v>市场推广部</v>
      </c>
      <c r="K209" s="16" t="str">
        <v>娱乐营销部</v>
      </c>
      <c r="L209" s="17" t="str">
        <v>销售费用_营销费用_策划服务费</v>
      </c>
      <c r="M209" s="17" t="str">
        <v>6601.36.01</v>
      </c>
      <c r="N209" s="16"/>
      <c r="O209" s="17" t="str">
        <v>策划服务费</v>
      </c>
      <c r="P209" s="16" t="str">
        <v>Y</v>
      </c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16">
        <f>ROW(B210)-2</f>
      </c>
      <c r="B210" s="19" t="str">
        <v>品牌宣传费</v>
      </c>
      <c r="C210" s="46" t="str">
        <v>创意策划服务费</v>
      </c>
      <c r="D210" s="16" t="str">
        <v>营销费用</v>
      </c>
      <c r="E210" s="51" t="str">
        <v>IP合作</v>
      </c>
      <c r="F210" s="17" t="str">
        <v>IP明星内容合作</v>
      </c>
      <c r="G210" s="17" t="str">
        <v>品牌IP及娱乐营销</v>
      </c>
      <c r="H210" s="16" t="str">
        <v>品牌运营中心</v>
      </c>
      <c r="I210" s="16" t="str">
        <v>市场广告推广部</v>
      </c>
      <c r="J210" s="16" t="str">
        <v>市场推广部</v>
      </c>
      <c r="K210" s="16" t="str">
        <v>市场PR部</v>
      </c>
      <c r="L210" s="17" t="str">
        <v>销售费用_营销费用_策划服务费</v>
      </c>
      <c r="M210" s="17" t="str">
        <v>6601.36.01</v>
      </c>
      <c r="N210" s="16"/>
      <c r="O210" s="17" t="str">
        <v>策划服务费</v>
      </c>
      <c r="P210" s="16" t="str">
        <v>Y</v>
      </c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16">
        <f>ROW(B211)-2</f>
      </c>
      <c r="B211" s="19" t="str">
        <v>品牌宣传费</v>
      </c>
      <c r="C211" s="19" t="str">
        <v>创意策划服务费</v>
      </c>
      <c r="D211" s="22" t="str">
        <v>营销费用</v>
      </c>
      <c r="E211" s="20" t="str">
        <v>明星综艺线下活动</v>
      </c>
      <c r="F211" s="17" t="str">
        <v>IP明星内容合作</v>
      </c>
      <c r="G211" s="17" t="str">
        <v>明星代言单次</v>
      </c>
      <c r="H211" s="30" t="str">
        <v>品牌运营中心</v>
      </c>
      <c r="I211" s="16" t="str">
        <v>市场广告推广部</v>
      </c>
      <c r="J211" s="30" t="str">
        <v>市场推广部</v>
      </c>
      <c r="K211" s="16" t="str">
        <v>娱乐营销部</v>
      </c>
      <c r="L211" s="17" t="str">
        <v>销售费用_营销费用_策划服务费</v>
      </c>
      <c r="M211" s="17" t="str">
        <v>6601.36.01</v>
      </c>
      <c r="N211" s="16"/>
      <c r="O211" s="17">
        <f>C211</f>
      </c>
      <c r="P211" s="16" t="str">
        <v>Y</v>
      </c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6">
        <f>ROW(B212)-2</f>
      </c>
      <c r="B212" s="19" t="str">
        <v>品牌宣传费</v>
      </c>
      <c r="C212" s="19" t="str">
        <v>活动策划服务费</v>
      </c>
      <c r="D212" s="16" t="str">
        <v>营销费用</v>
      </c>
      <c r="E212" s="20" t="str">
        <v>明星综艺线下活动</v>
      </c>
      <c r="F212" s="17" t="str">
        <v>IP明星内容合作</v>
      </c>
      <c r="G212" s="17" t="str">
        <v>明星代言单次</v>
      </c>
      <c r="H212" s="16" t="str">
        <v>品牌运营中心</v>
      </c>
      <c r="I212" s="16" t="str">
        <v>市场广告推广部</v>
      </c>
      <c r="J212" s="16" t="str">
        <v>市场推广部</v>
      </c>
      <c r="K212" s="16" t="str">
        <v>娱乐营销部</v>
      </c>
      <c r="L212" s="17" t="str">
        <v>销售费用_营销费用_策划服务费</v>
      </c>
      <c r="M212" s="17" t="str">
        <v>6601.36.01</v>
      </c>
      <c r="N212" s="16"/>
      <c r="O212" s="17">
        <f>C212</f>
      </c>
      <c r="P212" s="16" t="str">
        <v>Y</v>
      </c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16">
        <f>ROW(B213)-2</f>
      </c>
      <c r="B213" s="19" t="str">
        <v>其他费用</v>
      </c>
      <c r="C213" s="19" t="str">
        <v>场地租赁费</v>
      </c>
      <c r="D213" s="22" t="str">
        <v>营销费用</v>
      </c>
      <c r="E213" s="20" t="str">
        <v>明星综艺线下活动</v>
      </c>
      <c r="F213" s="17" t="str">
        <v>IP明星内容合作</v>
      </c>
      <c r="G213" s="17" t="str">
        <v>明星代言单次</v>
      </c>
      <c r="H213" s="16" t="str">
        <v>品牌运营中心</v>
      </c>
      <c r="I213" s="16" t="str">
        <v>市场广告推广部</v>
      </c>
      <c r="J213" s="16" t="str">
        <v>市场推广部</v>
      </c>
      <c r="K213" s="16" t="str">
        <v>娱乐营销部</v>
      </c>
      <c r="L213" s="17" t="str">
        <v>销售费用_营销费用_搭建服务费</v>
      </c>
      <c r="M213" s="17" t="str">
        <v>6601.36.03</v>
      </c>
      <c r="N213" s="16"/>
      <c r="O213" s="17" t="str">
        <v>搭建服务费</v>
      </c>
      <c r="P213" s="16" t="str">
        <v>Y</v>
      </c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16">
        <f>ROW(B214)-2</f>
      </c>
      <c r="B214" s="19" t="str">
        <v>其他费用</v>
      </c>
      <c r="C214" s="19" t="str">
        <v>设备租赁费</v>
      </c>
      <c r="D214" s="16" t="str">
        <v>营销费用</v>
      </c>
      <c r="E214" s="20" t="str">
        <v>明星综艺线下活动</v>
      </c>
      <c r="F214" s="17" t="str">
        <v>IP明星内容合作</v>
      </c>
      <c r="G214" s="17" t="str">
        <v>明星代言单次</v>
      </c>
      <c r="H214" s="16" t="str">
        <v>品牌运营中心</v>
      </c>
      <c r="I214" s="16" t="str">
        <v>市场广告推广部</v>
      </c>
      <c r="J214" s="16" t="str">
        <v>市场推广部</v>
      </c>
      <c r="K214" s="16" t="str">
        <v>娱乐营销部</v>
      </c>
      <c r="L214" s="17" t="str">
        <v>销售费用_营销费用_达人发布费</v>
      </c>
      <c r="M214" s="17" t="str">
        <v>6601.36.04</v>
      </c>
      <c r="N214" s="16"/>
      <c r="O214" s="25" t="str">
        <v>达人发布费</v>
      </c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6">
        <f>ROW(B215)-2</f>
      </c>
      <c r="B215" s="25" t="str">
        <v>其他费用</v>
      </c>
      <c r="C215" s="19" t="str">
        <v>舞台场地搭建费</v>
      </c>
      <c r="D215" s="16" t="str">
        <v>营销费用</v>
      </c>
      <c r="E215" s="20" t="str">
        <v>明星综艺线下活动</v>
      </c>
      <c r="F215" s="17" t="str">
        <v>IP明星内容合作</v>
      </c>
      <c r="G215" s="17" t="str">
        <v>明星代言单次</v>
      </c>
      <c r="H215" s="16" t="str">
        <v>品牌运营中心</v>
      </c>
      <c r="I215" s="16" t="str">
        <v>市场广告推广部</v>
      </c>
      <c r="J215" s="16" t="str">
        <v>市场推广部</v>
      </c>
      <c r="K215" s="16" t="str">
        <v>娱乐营销部</v>
      </c>
      <c r="L215" s="17" t="str">
        <v>销售费用_营销费用_推广服务费</v>
      </c>
      <c r="M215" s="17" t="str">
        <v>6601.36.23</v>
      </c>
      <c r="N215" s="16"/>
      <c r="O215" s="17" t="str">
        <v>推广服务费</v>
      </c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16">
        <f>ROW(B216)-2</f>
      </c>
      <c r="B216" s="19" t="str">
        <v>达人推广费</v>
      </c>
      <c r="C216" s="19" t="str">
        <v>达人合作费</v>
      </c>
      <c r="D216" s="16" t="str">
        <v>营销费用</v>
      </c>
      <c r="E216" s="17" t="str">
        <v>达人合作</v>
      </c>
      <c r="F216" s="17" t="str">
        <v>市场达人推广</v>
      </c>
      <c r="G216" s="17" t="str">
        <v>达人推广</v>
      </c>
      <c r="H216" s="16" t="str">
        <v>品牌运营中心</v>
      </c>
      <c r="I216" s="16" t="str">
        <v>市场广告推广部</v>
      </c>
      <c r="J216" s="16" t="str">
        <v>市场推广部</v>
      </c>
      <c r="K216" s="16"/>
      <c r="L216" s="17" t="str">
        <v>销售费用_营销费用_达人发布费</v>
      </c>
      <c r="M216" s="17" t="str">
        <v>6601.36.04</v>
      </c>
      <c r="N216" s="16"/>
      <c r="O216" s="17">
        <f>C216</f>
      </c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16">
        <f>ROW(B217)-2</f>
      </c>
      <c r="B217" s="25" t="str">
        <v>内容制作费</v>
      </c>
      <c r="C217" s="19" t="str">
        <v>视频制作费</v>
      </c>
      <c r="D217" s="16" t="str">
        <v>营销费用</v>
      </c>
      <c r="E217" s="36" t="str">
        <v>虚拟IP</v>
      </c>
      <c r="F217" s="18" t="str">
        <v>品类内容推广</v>
      </c>
      <c r="G217" s="44" t="str" xml:space="preserve">
        <v>虚拟IP &amp;直播间视觉设计 </v>
      </c>
      <c r="H217" s="16" t="str">
        <v>品牌运营中心</v>
      </c>
      <c r="I217" s="16" t="str">
        <v>渠道运营部</v>
      </c>
      <c r="J217" s="16" t="str">
        <v>抖音部</v>
      </c>
      <c r="K217" s="16" t="str">
        <v>内容部</v>
      </c>
      <c r="L217" s="17">
        <f>"销售费用_"&amp;D217&amp;"_"&amp;C217</f>
      </c>
      <c r="M217" s="17" t="str">
        <v>6601.36.21</v>
      </c>
      <c r="N217" s="17"/>
      <c r="O217" s="17">
        <f>C217</f>
      </c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6">
        <f>ROW(B218)-2</f>
      </c>
      <c r="B218" s="25" t="str">
        <v>内容制作费</v>
      </c>
      <c r="C218" s="50" t="str">
        <v>视觉设计费</v>
      </c>
      <c r="D218" s="16" t="str">
        <v>营销费用</v>
      </c>
      <c r="E218" s="49" t="str">
        <v>直播间视觉设计费</v>
      </c>
      <c r="F218" s="18" t="str">
        <v>品类内容推广</v>
      </c>
      <c r="G218" s="45" t="str" xml:space="preserve">
        <v>虚拟IP &amp;直播间视觉设计 </v>
      </c>
      <c r="H218" s="16" t="str">
        <v>品牌运营中心</v>
      </c>
      <c r="I218" s="16" t="str">
        <v>渠道运营部</v>
      </c>
      <c r="J218" s="16" t="str">
        <v>抖音部</v>
      </c>
      <c r="K218" s="16" t="str">
        <v>内容部</v>
      </c>
      <c r="L218" s="17"/>
      <c r="M218" s="17"/>
      <c r="N218" s="16"/>
      <c r="O218" s="17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16">
        <f>ROW(B219)-2</f>
      </c>
      <c r="B219" s="19" t="str">
        <v>达人推广费</v>
      </c>
      <c r="C219" s="19" t="str">
        <v>达人推广佣金</v>
      </c>
      <c r="D219" s="16" t="str">
        <v>营销费用</v>
      </c>
      <c r="E219" s="17" t="str">
        <v>达人佣金</v>
      </c>
      <c r="F219" s="17" t="str">
        <v>市场达人推广</v>
      </c>
      <c r="G219" s="17" t="str">
        <v>达人推广</v>
      </c>
      <c r="H219" s="16" t="str">
        <v>品牌运营中心</v>
      </c>
      <c r="I219" s="16" t="str">
        <v>市场广告推广部</v>
      </c>
      <c r="J219" s="16" t="str">
        <v>市场推广部</v>
      </c>
      <c r="K219" s="16"/>
      <c r="L219" s="17" t="str">
        <v>销售费用_营销费用_搭建服务费</v>
      </c>
      <c r="M219" s="17" t="str">
        <v>6601.36.03</v>
      </c>
      <c r="N219" s="16"/>
      <c r="O219" s="17" t="str">
        <v>搭建服务费</v>
      </c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16">
        <f>ROW(B220)-2</f>
      </c>
      <c r="B220" s="25" t="str">
        <v>其他费用</v>
      </c>
      <c r="C220" s="19" t="str">
        <v>场地租赁费</v>
      </c>
      <c r="D220" s="16" t="str">
        <v>营销费用</v>
      </c>
      <c r="E220" s="20" t="str">
        <v>明星拍摄</v>
      </c>
      <c r="F220" s="17" t="str">
        <v>IP明星内容合作</v>
      </c>
      <c r="G220" s="56" t="str">
        <v>明星拍摄</v>
      </c>
      <c r="H220" s="16" t="str">
        <v>品牌运营中心</v>
      </c>
      <c r="I220" s="16" t="str">
        <v>市场广告推广部</v>
      </c>
      <c r="J220" s="16" t="str">
        <v>市场推广部</v>
      </c>
      <c r="K220" s="16" t="str">
        <v>娱乐营销部</v>
      </c>
      <c r="L220" s="17" t="str">
        <v>销售费用_营销费用_拍摄服务费</v>
      </c>
      <c r="M220" s="17" t="str">
        <v>6601.36.15</v>
      </c>
      <c r="N220" s="16"/>
      <c r="O220" s="17" t="str">
        <v>拍摄服务费</v>
      </c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6">
        <f>ROW(B221)-2</f>
      </c>
      <c r="B221" s="25" t="str">
        <v>内容制作费</v>
      </c>
      <c r="C221" s="19" t="str">
        <v>舞台场地搭建费</v>
      </c>
      <c r="D221" s="16" t="str">
        <v>营销费用</v>
      </c>
      <c r="E221" s="42" t="str">
        <v>明星拍摄</v>
      </c>
      <c r="F221" s="43" t="str">
        <v>IP明星内容合作</v>
      </c>
      <c r="G221" s="44" t="str">
        <v>明星拍摄</v>
      </c>
      <c r="H221" s="16" t="str">
        <v>品牌运营中心</v>
      </c>
      <c r="I221" s="16" t="str">
        <v>市场广告推广部</v>
      </c>
      <c r="J221" s="16" t="str">
        <v>市场推广部</v>
      </c>
      <c r="K221" s="16" t="str">
        <v>娱乐营销部</v>
      </c>
      <c r="L221" s="17" t="str">
        <v>销售费用_营销费用_搭建服务费</v>
      </c>
      <c r="M221" s="17" t="str">
        <v>6601.36.03</v>
      </c>
      <c r="N221" s="16"/>
      <c r="O221" s="17" t="str">
        <v>服装费、化妆费、道具费</v>
      </c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6">
        <f>ROW(B222)-2</f>
      </c>
      <c r="B222" s="25" t="str">
        <v>内容制作费</v>
      </c>
      <c r="C222" s="19" t="str">
        <v>拍摄服务费</v>
      </c>
      <c r="D222" s="16" t="str">
        <v>营销费用</v>
      </c>
      <c r="E222" s="42" t="str">
        <v>明星拍摄</v>
      </c>
      <c r="F222" s="43" t="str">
        <v>IP明星内容合作</v>
      </c>
      <c r="G222" s="44" t="str">
        <v>明星拍摄</v>
      </c>
      <c r="H222" s="16" t="str">
        <v>品牌运营中心</v>
      </c>
      <c r="I222" s="16" t="str">
        <v>市场广告推广部</v>
      </c>
      <c r="J222" s="16" t="str">
        <v>市场推广部</v>
      </c>
      <c r="K222" s="16" t="str">
        <v>娱乐营销部</v>
      </c>
      <c r="L222" s="17" t="str">
        <v>销售费用_营销费用_拍摄服务费</v>
      </c>
      <c r="M222" s="17" t="str">
        <v>6601.36.15</v>
      </c>
      <c r="N222" s="16"/>
      <c r="O222" s="17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6">
        <f>ROW(B223)-2</f>
      </c>
      <c r="B223" s="19" t="str">
        <v>其他费用</v>
      </c>
      <c r="C223" s="19" t="str">
        <v>服化道费用</v>
      </c>
      <c r="D223" s="16" t="str">
        <v>营销费用</v>
      </c>
      <c r="E223" s="18" t="str">
        <v>明星妆发造</v>
      </c>
      <c r="F223" s="43" t="str">
        <v>IP明星内容合作</v>
      </c>
      <c r="G223" s="44" t="str">
        <v>明星妆发造</v>
      </c>
      <c r="H223" s="16" t="str">
        <v>品牌运营中心</v>
      </c>
      <c r="I223" s="16" t="str">
        <v>市场广告推广部</v>
      </c>
      <c r="J223" s="16" t="str">
        <v>市场推广部</v>
      </c>
      <c r="K223" s="16" t="str">
        <v>娱乐营销部</v>
      </c>
      <c r="L223" s="17">
        <f>"销售费用_"&amp;D223&amp;"_"&amp;C223</f>
      </c>
      <c r="M223" s="17" t="str">
        <v>6601.36.08</v>
      </c>
      <c r="N223" s="16"/>
      <c r="O223" s="17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6">
        <f>ROW(B224)-2</f>
      </c>
      <c r="B224" s="25" t="str">
        <v>其他费用</v>
      </c>
      <c r="C224" s="19" t="str">
        <v>明星差旅费</v>
      </c>
      <c r="D224" s="16" t="str">
        <v>营销费用</v>
      </c>
      <c r="E224" s="18" t="str">
        <v>明星差旅</v>
      </c>
      <c r="F224" s="43" t="str">
        <v>IP明星内容合作</v>
      </c>
      <c r="G224" s="45" t="str">
        <v>明星差旅</v>
      </c>
      <c r="H224" s="16" t="str">
        <v>品牌运营中心</v>
      </c>
      <c r="I224" s="16" t="str">
        <v>市场广告推广部</v>
      </c>
      <c r="J224" s="16" t="str">
        <v>市场推广部</v>
      </c>
      <c r="K224" s="16" t="str">
        <v>娱乐营销部</v>
      </c>
      <c r="L224" s="17" t="str">
        <v>销售费用_日常费用_差旅费</v>
      </c>
      <c r="M224" s="17" t="str">
        <v>6601.37.01</v>
      </c>
      <c r="N224" s="16"/>
      <c r="O224" s="17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6">
        <f>ROW(B225)-2</f>
      </c>
      <c r="B225" s="19" t="str">
        <v>其他费用</v>
      </c>
      <c r="C225" s="19" t="str">
        <v>公关礼品费</v>
      </c>
      <c r="D225" s="16" t="str">
        <v>营销费用</v>
      </c>
      <c r="E225" s="17" t="str">
        <v>市场公关礼-自有</v>
      </c>
      <c r="F225" s="18" t="str">
        <v>市场公关</v>
      </c>
      <c r="G225" s="18" t="str">
        <v>市场公关运营</v>
      </c>
      <c r="H225" s="16" t="str">
        <v>品牌运营中心</v>
      </c>
      <c r="I225" s="16" t="str">
        <v>市场广告推广部</v>
      </c>
      <c r="J225" s="16" t="str">
        <v>市场推广部</v>
      </c>
      <c r="K225" s="16"/>
      <c r="L225" s="17">
        <f>"销售费用_"&amp;D225&amp;"_"&amp;C225</f>
      </c>
      <c r="M225" s="17" t="str">
        <v>6601.36.09</v>
      </c>
      <c r="N225" s="16"/>
      <c r="O225" s="17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6">
        <f>ROW(B226)-2</f>
      </c>
      <c r="B226" s="19" t="str">
        <v>其他费用</v>
      </c>
      <c r="C226" s="19" t="str">
        <v>公关礼品费</v>
      </c>
      <c r="D226" s="16" t="str">
        <v>营销费用</v>
      </c>
      <c r="E226" s="17" t="str">
        <v>市场公关礼-外采</v>
      </c>
      <c r="F226" s="18" t="str">
        <v>市场公关</v>
      </c>
      <c r="G226" s="18" t="str">
        <v>市场公关运营</v>
      </c>
      <c r="H226" s="16" t="str">
        <v>品牌运营中心</v>
      </c>
      <c r="I226" s="16" t="str">
        <v>市场广告推广部</v>
      </c>
      <c r="J226" s="16" t="str">
        <v>市场推广部</v>
      </c>
      <c r="K226" s="16"/>
      <c r="L226" s="17">
        <f>"销售费用_"&amp;D226&amp;"_"&amp;C226</f>
      </c>
      <c r="M226" s="17" t="str">
        <v>6601.36.09</v>
      </c>
      <c r="N226" s="16"/>
      <c r="O226" s="17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6">
        <f>ROW(B227)-2</f>
      </c>
      <c r="B227" s="19" t="str">
        <v>品牌宣传费</v>
      </c>
      <c r="C227" s="48" t="str">
        <v>创意策划服务费</v>
      </c>
      <c r="D227" s="16" t="str">
        <v>营销费用</v>
      </c>
      <c r="E227" s="57" t="str">
        <v>公关礼策划服务</v>
      </c>
      <c r="F227" s="18" t="str">
        <v>市场公关</v>
      </c>
      <c r="G227" s="18" t="str">
        <v>市场公关运营</v>
      </c>
      <c r="H227" s="16" t="str">
        <v>品牌运营中心</v>
      </c>
      <c r="I227" s="16" t="str">
        <v>市场广告推广部</v>
      </c>
      <c r="J227" s="16" t="str">
        <v>市场推广部</v>
      </c>
      <c r="K227" s="16" t="str">
        <v>市场PR部</v>
      </c>
      <c r="L227" s="17" t="str">
        <v>销售费用_营销费用_策划服务费</v>
      </c>
      <c r="M227" s="17" t="str">
        <v>6601.36.01</v>
      </c>
      <c r="N227" s="16"/>
      <c r="O227" s="17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6">
        <f>ROW(B228)-2</f>
      </c>
      <c r="B228" s="19" t="str">
        <v>品牌宣传费</v>
      </c>
      <c r="C228" s="48" t="str">
        <v>活动策划服务费</v>
      </c>
      <c r="D228" s="16" t="str">
        <v>营销费用</v>
      </c>
      <c r="E228" s="57" t="str">
        <v>公关礼策划服务</v>
      </c>
      <c r="F228" s="18" t="str">
        <v>市场公关</v>
      </c>
      <c r="G228" s="18" t="str">
        <v>市场公关运营</v>
      </c>
      <c r="H228" s="16" t="str">
        <v>品牌运营中心</v>
      </c>
      <c r="I228" s="16" t="str">
        <v>市场广告推广部</v>
      </c>
      <c r="J228" s="16" t="str">
        <v>市场推广部</v>
      </c>
      <c r="K228" s="16" t="str">
        <v>市场PR部</v>
      </c>
      <c r="L228" s="17" t="str">
        <v>销售费用_营销费用_策划服务费</v>
      </c>
      <c r="M228" s="17" t="str">
        <v>6601.36.01</v>
      </c>
      <c r="N228" s="16"/>
      <c r="O228" s="17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16">
        <f>ROW(B229)-2</f>
      </c>
      <c r="B229" s="19" t="str">
        <v>品牌宣传费</v>
      </c>
      <c r="C229" s="48" t="str">
        <v>创意策划服务费</v>
      </c>
      <c r="D229" s="16" t="str">
        <v>营销费用</v>
      </c>
      <c r="E229" s="20" t="str">
        <v>公关整合营销</v>
      </c>
      <c r="F229" s="18" t="str">
        <v>市场公关</v>
      </c>
      <c r="G229" s="18" t="str">
        <v>市场公关运营</v>
      </c>
      <c r="H229" s="16" t="str">
        <v>品牌运营中心</v>
      </c>
      <c r="I229" s="16" t="str">
        <v>市场广告推广部</v>
      </c>
      <c r="J229" s="16" t="str">
        <v>市场推广部</v>
      </c>
      <c r="K229" s="16" t="str">
        <v>市场PR部</v>
      </c>
      <c r="L229" s="17" t="str">
        <v>销售费用_营销费用_策划服务费</v>
      </c>
      <c r="M229" s="17" t="str">
        <v>6601.36.01</v>
      </c>
      <c r="N229" s="16"/>
      <c r="O229" s="17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6">
        <f>ROW(B230)-2</f>
      </c>
      <c r="B230" s="19" t="str">
        <v>品牌宣传费</v>
      </c>
      <c r="C230" s="46" t="str">
        <v>活动策划服务费</v>
      </c>
      <c r="D230" s="16" t="str">
        <v>营销费用</v>
      </c>
      <c r="E230" s="20" t="str">
        <v>公关整合营销</v>
      </c>
      <c r="F230" s="18" t="str">
        <v>市场公关</v>
      </c>
      <c r="G230" s="18" t="str">
        <v>市场公关运营</v>
      </c>
      <c r="H230" s="16" t="str">
        <v>品牌运营中心</v>
      </c>
      <c r="I230" s="16" t="str">
        <v>市场广告推广部</v>
      </c>
      <c r="J230" s="16" t="str">
        <v>市场推广部</v>
      </c>
      <c r="K230" s="16" t="str">
        <v>市场PR部</v>
      </c>
      <c r="L230" s="17" t="str">
        <v>销售费用_营销费用_策划服务费</v>
      </c>
      <c r="M230" s="17" t="str">
        <v>6601.36.01</v>
      </c>
      <c r="N230" s="16"/>
      <c r="O230" s="17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6">
        <f>ROW(B231)-2</f>
      </c>
      <c r="B231" s="19" t="str">
        <v>品牌宣传费</v>
      </c>
      <c r="C231" s="19" t="str">
        <v>创意策划服务费</v>
      </c>
      <c r="D231" s="16" t="str">
        <v>营销费用</v>
      </c>
      <c r="E231" s="20" t="str">
        <v>市场公关线下活动</v>
      </c>
      <c r="F231" s="18" t="str">
        <v>市场公关</v>
      </c>
      <c r="G231" s="18" t="str">
        <v>市场公关运营</v>
      </c>
      <c r="H231" s="16" t="str">
        <v>品牌运营中心</v>
      </c>
      <c r="I231" s="16" t="str">
        <v>市场广告推广部</v>
      </c>
      <c r="J231" s="16" t="str">
        <v>市场推广部</v>
      </c>
      <c r="K231" s="16" t="str">
        <v>市场PR部</v>
      </c>
      <c r="L231" s="17" t="str">
        <v>销售费用_营销费用_策划服务费</v>
      </c>
      <c r="M231" s="17" t="str">
        <v>6601.36.01</v>
      </c>
      <c r="N231" s="16"/>
      <c r="O231" s="17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6">
        <f>ROW(B232)-2</f>
      </c>
      <c r="B232" s="19" t="str">
        <v>品牌宣传费</v>
      </c>
      <c r="C232" s="19" t="str">
        <v>活动策划服务费</v>
      </c>
      <c r="D232" s="16" t="str">
        <v>营销费用</v>
      </c>
      <c r="E232" s="20" t="str">
        <v>市场公关线下活动</v>
      </c>
      <c r="F232" s="18" t="str">
        <v>市场公关</v>
      </c>
      <c r="G232" s="18" t="str">
        <v>市场公关运营</v>
      </c>
      <c r="H232" s="16" t="str">
        <v>品牌运营中心</v>
      </c>
      <c r="I232" s="16" t="str">
        <v>市场广告推广部</v>
      </c>
      <c r="J232" s="16" t="str">
        <v>市场推广部</v>
      </c>
      <c r="K232" s="16" t="str">
        <v>市场PR部</v>
      </c>
      <c r="L232" s="17" t="str">
        <v>销售费用_营销费用_策划服务费</v>
      </c>
      <c r="M232" s="17" t="str">
        <v>6601.36.01</v>
      </c>
      <c r="N232" s="16"/>
      <c r="O232" s="17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6">
        <f>ROW(B233)-2</f>
      </c>
      <c r="B233" s="19" t="str">
        <v>其他费用</v>
      </c>
      <c r="C233" s="19" t="str">
        <v>场地租赁费</v>
      </c>
      <c r="D233" s="16" t="str">
        <v>营销费用</v>
      </c>
      <c r="E233" s="20" t="str">
        <v>市场公关线下活动</v>
      </c>
      <c r="F233" s="18" t="str">
        <v>市场公关</v>
      </c>
      <c r="G233" s="18" t="str">
        <v>市场公关运营</v>
      </c>
      <c r="H233" s="16" t="str">
        <v>品牌运营中心</v>
      </c>
      <c r="I233" s="16" t="str">
        <v>市场广告推广部</v>
      </c>
      <c r="J233" s="16" t="str">
        <v>市场推广部</v>
      </c>
      <c r="K233" s="16" t="str">
        <v>市场PR部</v>
      </c>
      <c r="L233" s="17">
        <f>"销售费用_"&amp;D233&amp;"_"&amp;C233</f>
      </c>
      <c r="M233" s="17" t="str">
        <v>6601.36.02</v>
      </c>
      <c r="N233" s="16"/>
      <c r="O233" s="17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6">
        <f>ROW(B234)-2</f>
      </c>
      <c r="B234" s="19" t="str">
        <v>其他费用</v>
      </c>
      <c r="C234" s="19" t="str">
        <v>设备租赁费</v>
      </c>
      <c r="D234" s="16" t="str">
        <v>营销费用</v>
      </c>
      <c r="E234" s="20" t="str">
        <v>市场公关线下活动</v>
      </c>
      <c r="F234" s="18" t="str">
        <v>市场公关</v>
      </c>
      <c r="G234" s="18" t="str">
        <v>市场公关运营</v>
      </c>
      <c r="H234" s="16" t="str">
        <v>品牌运营中心</v>
      </c>
      <c r="I234" s="16" t="str">
        <v>市场广告推广部</v>
      </c>
      <c r="J234" s="16" t="str">
        <v>市场推广部</v>
      </c>
      <c r="K234" s="16" t="str">
        <v>市场PR部</v>
      </c>
      <c r="L234" s="17">
        <f>"销售费用_"&amp;D234&amp;"_"&amp;C234</f>
      </c>
      <c r="M234" s="17" t="str">
        <v>6601.36.19</v>
      </c>
      <c r="N234" s="16"/>
      <c r="O234" s="17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6">
        <f>ROW(B235)-2</f>
      </c>
      <c r="B235" s="25" t="str">
        <v>其他费用</v>
      </c>
      <c r="C235" s="19" t="str">
        <v>舞台场地搭建费</v>
      </c>
      <c r="D235" s="16" t="str">
        <v>营销费用</v>
      </c>
      <c r="E235" s="20" t="str">
        <v>市场公关线下活动</v>
      </c>
      <c r="F235" s="18" t="str">
        <v>市场公关</v>
      </c>
      <c r="G235" s="18" t="str">
        <v>市场公关运营</v>
      </c>
      <c r="H235" s="16" t="str">
        <v>品牌运营中心</v>
      </c>
      <c r="I235" s="16" t="str">
        <v>市场广告推广部</v>
      </c>
      <c r="J235" s="16" t="str">
        <v>市场推广部</v>
      </c>
      <c r="K235" s="16" t="str">
        <v>市场PR部</v>
      </c>
      <c r="L235" s="17" t="str">
        <v>销售费用_营销费用_搭建服务费</v>
      </c>
      <c r="M235" s="17" t="str">
        <v>6601.36.03</v>
      </c>
      <c r="N235" s="16"/>
      <c r="O235" s="17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6">
        <f>ROW(B236)-2</f>
      </c>
      <c r="B236" s="19" t="str">
        <v>品牌宣传费</v>
      </c>
      <c r="C236" s="19" t="str">
        <v>公关服务费</v>
      </c>
      <c r="D236" s="16" t="str">
        <v>营销费用</v>
      </c>
      <c r="E236" s="17" t="str">
        <v>公关舆情服务</v>
      </c>
      <c r="F236" s="18" t="str">
        <v>市场公关</v>
      </c>
      <c r="G236" s="18" t="str">
        <v>市场公关运营</v>
      </c>
      <c r="H236" s="16" t="str">
        <v>品牌运营中心</v>
      </c>
      <c r="I236" s="16" t="str">
        <v>市场广告推广部</v>
      </c>
      <c r="J236" s="16" t="str">
        <v>市场推广部</v>
      </c>
      <c r="K236" s="16"/>
      <c r="L236" s="17">
        <f>"销售费用_"&amp;D236&amp;"_"&amp;C236</f>
      </c>
      <c r="M236" s="17" t="str">
        <v>#N/A</v>
      </c>
      <c r="N236" s="16"/>
      <c r="O236" s="17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6">
        <f>ROW(B237)-2</f>
      </c>
      <c r="B237" s="19" t="str">
        <v>渠道推广费</v>
      </c>
      <c r="C237" s="19" t="str">
        <v>直播服务费</v>
      </c>
      <c r="D237" s="16" t="str">
        <v>营销费用</v>
      </c>
      <c r="E237" s="18" t="str">
        <v>微信-直播间</v>
      </c>
      <c r="F237" s="18" t="str">
        <v>社交电商推广</v>
      </c>
      <c r="G237" s="18" t="str">
        <v>微信-直播间</v>
      </c>
      <c r="H237" s="16" t="str">
        <v>用户服务中心</v>
      </c>
      <c r="I237" s="16" t="str">
        <v>用户运营部</v>
      </c>
      <c r="J237" s="16" t="str">
        <v>用户营销部</v>
      </c>
      <c r="K237" s="16"/>
      <c r="L237" s="17" t="str">
        <v>销售费用_营销费用_直播服务费</v>
      </c>
      <c r="M237" s="17" t="str">
        <v>6601.36.28</v>
      </c>
      <c r="N237" s="17"/>
      <c r="O237" s="17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6">
        <f>ROW(B238)-2</f>
      </c>
      <c r="B238" s="19" t="str">
        <v>渠道推广费</v>
      </c>
      <c r="C238" s="19" t="str">
        <v>直播服务费</v>
      </c>
      <c r="D238" s="16" t="str">
        <v>营销费用</v>
      </c>
      <c r="E238" s="18" t="str">
        <v>快手人设号-服务费</v>
      </c>
      <c r="F238" s="18" t="str">
        <v>直播电商推广</v>
      </c>
      <c r="G238" s="18" t="str">
        <v>快手人设号</v>
      </c>
      <c r="H238" s="16" t="str">
        <v>品牌运营中心</v>
      </c>
      <c r="I238" s="16" t="str">
        <v>渠道运营部</v>
      </c>
      <c r="J238" s="16" t="str">
        <v>创新部</v>
      </c>
      <c r="K238" s="16"/>
      <c r="L238" s="17">
        <f>"销售费用_"&amp;D238&amp;"_"&amp;C238</f>
      </c>
      <c r="M238" s="17" t="str">
        <v>6601.36.28</v>
      </c>
      <c r="N238" s="17"/>
      <c r="O238" s="17" t="str">
        <v>直播服务费</v>
      </c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6">
        <f>ROW(B239)-2</f>
      </c>
      <c r="B239" s="19" t="str">
        <v>内容制作费</v>
      </c>
      <c r="C239" s="19" t="str">
        <v>视频制作费</v>
      </c>
      <c r="D239" s="16" t="str">
        <v>营销费用</v>
      </c>
      <c r="E239" s="20" t="str">
        <v>天猫淘内内容</v>
      </c>
      <c r="F239" s="18" t="str">
        <v>品类内容推广</v>
      </c>
      <c r="G239" s="18" t="str">
        <v>天猫淘内内容</v>
      </c>
      <c r="H239" s="16" t="str">
        <v>品牌运营中心</v>
      </c>
      <c r="I239" s="16" t="str">
        <v>直播运营部</v>
      </c>
      <c r="J239" s="16" t="str">
        <v>达播BD部</v>
      </c>
      <c r="K239" s="16"/>
      <c r="L239" s="17">
        <f>"销售费用_"&amp;D239&amp;"_"&amp;C239</f>
      </c>
      <c r="M239" s="17" t="str">
        <v>6601.36.21</v>
      </c>
      <c r="N239" s="17"/>
      <c r="O239" s="17">
        <f>C239</f>
      </c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16">
        <f>ROW(B240)-2</f>
      </c>
      <c r="B240" s="19" t="str">
        <v>内容制作费</v>
      </c>
      <c r="C240" s="19" t="str">
        <v>动画制作费</v>
      </c>
      <c r="D240" s="16" t="str">
        <v>营销费用</v>
      </c>
      <c r="E240" s="20" t="str">
        <v>天猫淘内内容</v>
      </c>
      <c r="F240" s="18" t="str">
        <v>品类内容推广</v>
      </c>
      <c r="G240" s="18" t="str">
        <v>天猫淘内内容</v>
      </c>
      <c r="H240" s="16" t="str">
        <v>品牌运营中心</v>
      </c>
      <c r="I240" s="16" t="str">
        <v>直播运营部</v>
      </c>
      <c r="J240" s="16" t="str">
        <v>达播BD部</v>
      </c>
      <c r="K240" s="16"/>
      <c r="L240" s="17">
        <f>"销售费用_"&amp;D240&amp;"_"&amp;C240</f>
      </c>
      <c r="M240" s="17" t="str">
        <v>6601.36.07</v>
      </c>
      <c r="N240" s="17"/>
      <c r="O240" s="17">
        <f>C240</f>
      </c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16">
        <f>ROW(B241)-2</f>
      </c>
      <c r="B241" s="19" t="str">
        <v>内容制作费</v>
      </c>
      <c r="C241" s="19" t="str">
        <v>图文平面制作费</v>
      </c>
      <c r="D241" s="16" t="str">
        <v>营销费用</v>
      </c>
      <c r="E241" s="20" t="str">
        <v>天猫淘内内容</v>
      </c>
      <c r="F241" s="18" t="str">
        <v>品类内容推广</v>
      </c>
      <c r="G241" s="18" t="str">
        <v>天猫淘内内容</v>
      </c>
      <c r="H241" s="16" t="str">
        <v>品牌运营中心</v>
      </c>
      <c r="I241" s="16" t="str">
        <v>直播运营部</v>
      </c>
      <c r="J241" s="16" t="str">
        <v>达播BD部</v>
      </c>
      <c r="K241" s="16"/>
      <c r="L241" s="17">
        <f>"销售费用_"&amp;D241&amp;"_"&amp;C241</f>
      </c>
      <c r="M241" s="17" t="str">
        <v>6601.36.22</v>
      </c>
      <c r="N241" s="17"/>
      <c r="O241" s="17">
        <f>C241</f>
      </c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6">
        <f>ROW(B242)-2</f>
      </c>
      <c r="B242" s="19" t="str">
        <v>内容制作费</v>
      </c>
      <c r="C242" s="19" t="str">
        <v>建模服务费</v>
      </c>
      <c r="D242" s="16" t="str">
        <v>营销费用</v>
      </c>
      <c r="E242" s="20" t="str">
        <v>天猫淘内内容</v>
      </c>
      <c r="F242" s="18" t="str">
        <v>品类内容推广</v>
      </c>
      <c r="G242" s="18" t="str">
        <v>天猫淘内内容</v>
      </c>
      <c r="H242" s="16" t="str">
        <v>品牌运营中心</v>
      </c>
      <c r="I242" s="16" t="str">
        <v>直播运营部</v>
      </c>
      <c r="J242" s="16" t="str">
        <v>达播BD部</v>
      </c>
      <c r="K242" s="16"/>
      <c r="L242" s="17">
        <f>"销售费用_"&amp;D242&amp;"_"&amp;C242</f>
      </c>
      <c r="M242" s="17" t="str">
        <v>6601.36.10</v>
      </c>
      <c r="N242" s="17"/>
      <c r="O242" s="17">
        <f>C242</f>
      </c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6">
        <f>ROW(B243)-2</f>
      </c>
      <c r="B243" s="19" t="str">
        <v>内容制作费</v>
      </c>
      <c r="C243" s="19" t="str">
        <v>渲染服务费</v>
      </c>
      <c r="D243" s="16" t="str">
        <v>营销费用</v>
      </c>
      <c r="E243" s="20" t="str">
        <v>天猫淘内内容</v>
      </c>
      <c r="F243" s="18" t="str">
        <v>品类内容推广</v>
      </c>
      <c r="G243" s="18" t="str">
        <v>天猫淘内内容</v>
      </c>
      <c r="H243" s="16" t="str">
        <v>品牌运营中心</v>
      </c>
      <c r="I243" s="16" t="str">
        <v>直播运营部</v>
      </c>
      <c r="J243" s="16" t="str">
        <v>达播BD部</v>
      </c>
      <c r="K243" s="16"/>
      <c r="L243" s="17">
        <f>"销售费用_"&amp;D243&amp;"_"&amp;C243</f>
      </c>
      <c r="M243" s="17" t="str">
        <v>6601.36.26</v>
      </c>
      <c r="N243" s="17"/>
      <c r="O243" s="17">
        <f>C243</f>
      </c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6">
        <f>ROW(B244)-2</f>
      </c>
      <c r="B244" s="19" t="str">
        <v>内容制作费</v>
      </c>
      <c r="C244" s="19" t="str">
        <v>模特服务费</v>
      </c>
      <c r="D244" s="16" t="str">
        <v>营销费用</v>
      </c>
      <c r="E244" s="20" t="str">
        <v>天猫淘内内容</v>
      </c>
      <c r="F244" s="18" t="str">
        <v>品类内容推广</v>
      </c>
      <c r="G244" s="18" t="str">
        <v>天猫淘内内容</v>
      </c>
      <c r="H244" s="16" t="str">
        <v>品牌运营中心</v>
      </c>
      <c r="I244" s="16" t="str">
        <v>直播运营部</v>
      </c>
      <c r="J244" s="16" t="str">
        <v>达播BD部</v>
      </c>
      <c r="K244" s="16"/>
      <c r="L244" s="17">
        <f>"销售费用_"&amp;D244&amp;"_"&amp;C244</f>
      </c>
      <c r="M244" s="17" t="str">
        <v>6601.36.13</v>
      </c>
      <c r="N244" s="17"/>
      <c r="O244" s="17">
        <f>C244</f>
      </c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16">
        <f>ROW(B245)-2</f>
      </c>
      <c r="B245" s="19" t="str">
        <v>内容制作费</v>
      </c>
      <c r="C245" s="19" t="str">
        <v>专业人物合作费</v>
      </c>
      <c r="D245" s="16" t="str">
        <v>营销费用</v>
      </c>
      <c r="E245" s="20" t="str">
        <v>天猫淘内内容</v>
      </c>
      <c r="F245" s="18" t="str">
        <v>品类内容推广</v>
      </c>
      <c r="G245" s="18" t="str">
        <v>天猫淘内内容</v>
      </c>
      <c r="H245" s="16" t="str">
        <v>品牌运营中心</v>
      </c>
      <c r="I245" s="16" t="str">
        <v>直播运营部</v>
      </c>
      <c r="J245" s="16" t="str">
        <v>达播BD部</v>
      </c>
      <c r="K245" s="16"/>
      <c r="L245" s="17">
        <f>"销售费用_"&amp;D245&amp;"_"&amp;C245</f>
      </c>
      <c r="M245" s="17" t="str">
        <v>6601.36.32</v>
      </c>
      <c r="N245" s="17"/>
      <c r="O245" s="17">
        <f>C245</f>
      </c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16">
        <f>ROW(B246)-2</f>
      </c>
      <c r="B246" s="19" t="str">
        <v>内容制作费</v>
      </c>
      <c r="C246" s="19" t="str">
        <v>专业人物合作费</v>
      </c>
      <c r="D246" s="16" t="str">
        <v>营销费用</v>
      </c>
      <c r="E246" s="17" t="str">
        <v>直播专场服务</v>
      </c>
      <c r="F246" s="18" t="str">
        <v>达人直播</v>
      </c>
      <c r="G246" s="18" t="str">
        <v>服务费-淘内其他</v>
      </c>
      <c r="H246" s="16" t="str">
        <v>品牌运营中心</v>
      </c>
      <c r="I246" s="16" t="str">
        <v>直播运营部</v>
      </c>
      <c r="J246" s="16" t="str">
        <v>达播BD部</v>
      </c>
      <c r="K246" s="16"/>
      <c r="L246" s="17">
        <f>"销售费用_"&amp;D246&amp;"_"&amp;C246</f>
      </c>
      <c r="M246" s="17" t="str">
        <v>6601.36.32</v>
      </c>
      <c r="N246" s="16"/>
      <c r="O246" s="17">
        <f>C246</f>
      </c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6">
        <f>ROW(B247)-2</f>
      </c>
      <c r="B247" s="21" t="str">
        <v>内容制作费</v>
      </c>
      <c r="C247" s="21" t="str">
        <v>服化道费用</v>
      </c>
      <c r="D247" s="22" t="str">
        <v>营销费用</v>
      </c>
      <c r="E247" s="24" t="str">
        <v>天猫淘内内容</v>
      </c>
      <c r="F247" s="23" t="str">
        <v>品类内容推广</v>
      </c>
      <c r="G247" s="23" t="str">
        <v>天猫淘内内容</v>
      </c>
      <c r="H247" s="22" t="str">
        <v>品牌运营中心</v>
      </c>
      <c r="I247" s="22" t="str">
        <v>直播运营部</v>
      </c>
      <c r="J247" s="16" t="str">
        <v>达播BD部</v>
      </c>
      <c r="K247" s="22"/>
      <c r="L247" s="17">
        <f>"销售费用_"&amp;D247&amp;"_"&amp;C247</f>
      </c>
      <c r="M247" s="17" t="str">
        <v>6601.36.08</v>
      </c>
      <c r="N247" s="17"/>
      <c r="O247" s="17" t="str">
        <v>服装费、化妆费、道具费</v>
      </c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6">
        <f>ROW(B248)-2</f>
      </c>
      <c r="B248" s="21" t="str">
        <v>内容制作费</v>
      </c>
      <c r="C248" s="19" t="str">
        <v>服化道费用</v>
      </c>
      <c r="D248" s="16" t="str">
        <v>营销费用</v>
      </c>
      <c r="E248" s="17" t="str">
        <v>主播部妆发造</v>
      </c>
      <c r="F248" s="18" t="str">
        <v>直播间运营费</v>
      </c>
      <c r="G248" s="18" t="str">
        <v>主播妆发造</v>
      </c>
      <c r="H248" s="16" t="str">
        <v>品牌运营中心</v>
      </c>
      <c r="I248" s="16" t="str">
        <v>直播运营部</v>
      </c>
      <c r="J248" s="16" t="str">
        <v>主播部</v>
      </c>
      <c r="K248" s="47"/>
      <c r="L248" s="17">
        <f>"销售费用_"&amp;D248&amp;"_"&amp;C248</f>
      </c>
      <c r="M248" s="17" t="str">
        <v>6601.36.08</v>
      </c>
      <c r="N248" s="17"/>
      <c r="O248" s="17" t="str">
        <v>服装费、化妆费、道具费</v>
      </c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6">
        <f>ROW(B249)-2</f>
      </c>
      <c r="B249" s="19" t="str">
        <v>内容制作费</v>
      </c>
      <c r="C249" s="19" t="str">
        <v>拍摄服务费</v>
      </c>
      <c r="D249" s="16" t="str">
        <v>营销费用</v>
      </c>
      <c r="E249" s="20" t="str">
        <v>天猫淘内内容</v>
      </c>
      <c r="F249" s="18" t="str">
        <v>品类内容推广</v>
      </c>
      <c r="G249" s="18" t="str">
        <v>天猫淘内内容</v>
      </c>
      <c r="H249" s="16" t="str">
        <v>品牌运营中心</v>
      </c>
      <c r="I249" s="16" t="str">
        <v>直播运营部</v>
      </c>
      <c r="J249" s="16" t="str">
        <v>达播BD部</v>
      </c>
      <c r="K249" s="16"/>
      <c r="L249" s="17">
        <f>"销售费用_"&amp;D249&amp;"_"&amp;C249</f>
      </c>
      <c r="M249" s="17" t="str">
        <v>6601.36.15</v>
      </c>
      <c r="N249" s="17"/>
      <c r="O249" s="17">
        <f>C249</f>
      </c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16">
        <f>ROW(B250)-2</f>
      </c>
      <c r="B250" s="19" t="str">
        <v>内容制作费</v>
      </c>
      <c r="C250" s="19" t="str">
        <v>拍摄物料费</v>
      </c>
      <c r="D250" s="16" t="str">
        <v>营销费用</v>
      </c>
      <c r="E250" s="20" t="str">
        <v>天猫淘内内容</v>
      </c>
      <c r="F250" s="18" t="str">
        <v>品类内容推广</v>
      </c>
      <c r="G250" s="18" t="str">
        <v>天猫淘内内容</v>
      </c>
      <c r="H250" s="16" t="str">
        <v>品牌运营中心</v>
      </c>
      <c r="I250" s="16" t="str">
        <v>直播运营部</v>
      </c>
      <c r="J250" s="16" t="str">
        <v>达播BD部</v>
      </c>
      <c r="K250" s="16"/>
      <c r="L250" s="17">
        <f>"销售费用_"&amp;D250&amp;"_"&amp;C250</f>
      </c>
      <c r="M250" s="17" t="str">
        <v>6601.36.16</v>
      </c>
      <c r="N250" s="17"/>
      <c r="O250" s="17">
        <f>C250</f>
      </c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16">
        <f>ROW(B251)-2</f>
      </c>
      <c r="B251" s="19" t="str">
        <v>内容制作费</v>
      </c>
      <c r="C251" s="19" t="str">
        <v>内容制作费</v>
      </c>
      <c r="D251" s="16" t="str">
        <v>营销费用</v>
      </c>
      <c r="E251" s="20" t="str">
        <v>天猫淘内内容</v>
      </c>
      <c r="F251" s="18" t="str">
        <v>品类内容推广</v>
      </c>
      <c r="G251" s="18" t="str">
        <v>天猫淘内内容</v>
      </c>
      <c r="H251" s="16" t="str">
        <v>品牌运营中心</v>
      </c>
      <c r="I251" s="16" t="str">
        <v>直播运营部</v>
      </c>
      <c r="J251" s="16" t="str">
        <v>达播BD部</v>
      </c>
      <c r="K251" s="16"/>
      <c r="L251" s="17">
        <f>"销售费用_"&amp;D251&amp;"_"&amp;C251</f>
      </c>
      <c r="M251" s="17" t="str">
        <v>6601.36.14</v>
      </c>
      <c r="N251" s="17"/>
      <c r="O251" s="17">
        <f>C251</f>
      </c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6">
        <f>ROW(B252)-2</f>
      </c>
      <c r="B252" s="19" t="str">
        <v>品牌宣传费</v>
      </c>
      <c r="C252" s="19" t="str">
        <v>明星合作费</v>
      </c>
      <c r="D252" s="16" t="str">
        <v>营销费用</v>
      </c>
      <c r="E252" s="17" t="str">
        <v>明星直播合作</v>
      </c>
      <c r="F252" s="18" t="str">
        <v>达人直播</v>
      </c>
      <c r="G252" s="18" t="str">
        <v>服务费</v>
      </c>
      <c r="H252" s="16" t="str">
        <v>品牌运营中心</v>
      </c>
      <c r="I252" s="16" t="str">
        <v>直播运营部</v>
      </c>
      <c r="J252" s="16" t="str">
        <v>达播BD部</v>
      </c>
      <c r="K252" s="16"/>
      <c r="L252" s="17">
        <f>"销售费用_"&amp;D252&amp;"_"&amp;C252</f>
      </c>
      <c r="M252" s="17" t="str">
        <v>6601.36.12</v>
      </c>
      <c r="N252" s="16"/>
      <c r="O252" s="17">
        <f>C252</f>
      </c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6">
        <f>ROW(B253)-2</f>
      </c>
      <c r="B253" s="19" t="str">
        <v>内容制作费</v>
      </c>
      <c r="C253" s="19" t="str">
        <v>拍摄服务费</v>
      </c>
      <c r="D253" s="16" t="str">
        <v>营销费用</v>
      </c>
      <c r="E253" s="17" t="str">
        <v>佳琦全案-服务费</v>
      </c>
      <c r="F253" s="23" t="str">
        <v>品牌营销直播专项</v>
      </c>
      <c r="G253" s="18" t="str">
        <v>佳琦全案</v>
      </c>
      <c r="H253" s="16" t="str">
        <v>品牌运营中心</v>
      </c>
      <c r="I253" s="16" t="str">
        <v>直播运营部</v>
      </c>
      <c r="J253" s="16" t="str">
        <v>达播BD部</v>
      </c>
      <c r="K253" s="16"/>
      <c r="L253" s="17">
        <f>"销售费用_"&amp;D253&amp;"_"&amp;C253</f>
      </c>
      <c r="M253" s="17" t="str">
        <v>6601.36.15</v>
      </c>
      <c r="N253" s="16"/>
      <c r="O253" s="17">
        <f>C253</f>
      </c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6">
        <f>ROW(B254)-2</f>
      </c>
      <c r="B254" s="19" t="str">
        <v>内容制作费</v>
      </c>
      <c r="C254" s="19" t="str">
        <v>视频制作费</v>
      </c>
      <c r="D254" s="16" t="str">
        <v>营销费用</v>
      </c>
      <c r="E254" s="17" t="str">
        <v>佳琦全案-设计费</v>
      </c>
      <c r="F254" s="23" t="str">
        <v>品牌营销直播专项</v>
      </c>
      <c r="G254" s="18" t="str">
        <v>佳琦全案</v>
      </c>
      <c r="H254" s="16" t="str">
        <v>品牌运营中心</v>
      </c>
      <c r="I254" s="16" t="str">
        <v>直播运营部</v>
      </c>
      <c r="J254" s="16" t="str">
        <v>达播BD部</v>
      </c>
      <c r="K254" s="16"/>
      <c r="L254" s="17">
        <f>"销售费用_"&amp;D254&amp;"_"&amp;C254</f>
      </c>
      <c r="M254" s="17" t="str">
        <v>6601.36.21</v>
      </c>
      <c r="N254" s="16"/>
      <c r="O254" s="17">
        <f>C254</f>
      </c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6">
        <f>ROW(B255)-2</f>
      </c>
      <c r="B255" s="19" t="str">
        <v>渠道推广费</v>
      </c>
      <c r="C255" s="19" t="str">
        <v>直播服务费</v>
      </c>
      <c r="D255" s="16" t="str">
        <v>营销费用</v>
      </c>
      <c r="E255" s="17" t="str">
        <v>天猫直播服务费-李佳琦</v>
      </c>
      <c r="F255" s="18" t="str">
        <v>达人直播</v>
      </c>
      <c r="G255" s="18" t="str">
        <v>佣金-佳琦</v>
      </c>
      <c r="H255" s="16" t="str">
        <v>品牌运营中心</v>
      </c>
      <c r="I255" s="16" t="str">
        <v>直播运营部</v>
      </c>
      <c r="J255" s="16" t="str">
        <v>达播BD部</v>
      </c>
      <c r="K255" s="16"/>
      <c r="L255" s="17">
        <f>"销售费用_"&amp;D255&amp;"_"&amp;C255</f>
      </c>
      <c r="M255" s="17" t="str">
        <v>6601.36.28</v>
      </c>
      <c r="N255" s="16"/>
      <c r="O255" s="17">
        <f>C255</f>
      </c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6">
        <f>ROW(B256)-2</f>
      </c>
      <c r="B256" s="19" t="str">
        <v>渠道推广费</v>
      </c>
      <c r="C256" s="19" t="str">
        <v>直播服务费</v>
      </c>
      <c r="D256" s="16" t="str">
        <v>营销费用</v>
      </c>
      <c r="E256" s="17" t="str">
        <v>天猫直播服务费-其他</v>
      </c>
      <c r="F256" s="18" t="str">
        <v>达人直播</v>
      </c>
      <c r="G256" s="18" t="str">
        <v>佣金-淘内其他</v>
      </c>
      <c r="H256" s="16" t="str">
        <v>品牌运营中心</v>
      </c>
      <c r="I256" s="16" t="str">
        <v>直播运营部</v>
      </c>
      <c r="J256" s="16" t="str">
        <v>达播BD部</v>
      </c>
      <c r="K256" s="16"/>
      <c r="L256" s="17">
        <f>"销售费用_"&amp;D256&amp;"_"&amp;C256</f>
      </c>
      <c r="M256" s="17" t="str">
        <v>6601.36.28</v>
      </c>
      <c r="N256" s="16" t="str">
        <v>Y</v>
      </c>
      <c r="O256" s="17">
        <f>C256</f>
      </c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33">
        <f>ROW(B257)-2</f>
      </c>
      <c r="B257" s="34" t="str">
        <v>渠道推广费</v>
      </c>
      <c r="C257" s="34" t="str">
        <v>直播服务费</v>
      </c>
      <c r="D257" s="33" t="str">
        <v>营销费用</v>
      </c>
      <c r="E257" s="32" t="str">
        <v>抖音直播服务费-田恬</v>
      </c>
      <c r="F257" s="35" t="str">
        <v>达人直播</v>
      </c>
      <c r="G257" s="35" t="str">
        <v>佣金-田恬</v>
      </c>
      <c r="H257" s="33" t="str">
        <v>品牌运营中心</v>
      </c>
      <c r="I257" s="33" t="str">
        <v>直播运营部</v>
      </c>
      <c r="J257" s="33" t="str">
        <v>达播BD部</v>
      </c>
      <c r="K257" s="33"/>
      <c r="L257" s="32">
        <f>"销售费用_"&amp;D257&amp;"_"&amp;C257</f>
      </c>
      <c r="M257" s="32" t="str">
        <v>6601.36.28</v>
      </c>
      <c r="N257" s="33" t="str">
        <v>Y</v>
      </c>
      <c r="O257" s="32">
        <f>C257</f>
      </c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</row>
    <row r="258">
      <c r="A258" s="16">
        <f>ROW(B258)-2</f>
      </c>
      <c r="B258" s="19" t="str">
        <v>渠道推广费</v>
      </c>
      <c r="C258" s="19" t="str">
        <v>直播服务费</v>
      </c>
      <c r="D258" s="16" t="str">
        <v>营销费用</v>
      </c>
      <c r="E258" s="17" t="str">
        <v>快手直播服务费</v>
      </c>
      <c r="F258" s="18" t="str">
        <v>达人直播</v>
      </c>
      <c r="G258" s="18" t="str">
        <v>佣金-快手</v>
      </c>
      <c r="H258" s="16" t="str">
        <v>品牌运营中心</v>
      </c>
      <c r="I258" s="16" t="str">
        <v>直播运营部</v>
      </c>
      <c r="J258" s="16" t="str">
        <v>达播BD部</v>
      </c>
      <c r="K258" s="16"/>
      <c r="L258" s="17">
        <f>"销售费用_"&amp;D258&amp;"_"&amp;C258</f>
      </c>
      <c r="M258" s="17" t="str">
        <v>6601.36.28</v>
      </c>
      <c r="N258" s="16" t="str">
        <v>Y</v>
      </c>
      <c r="O258" s="17">
        <f>C258</f>
      </c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6">
        <f>ROW(B259)-2</f>
      </c>
      <c r="B259" s="19" t="str">
        <v>渠道推广费</v>
      </c>
      <c r="C259" s="19" t="str">
        <v>直播服务费</v>
      </c>
      <c r="D259" s="16" t="str">
        <v>营销费用</v>
      </c>
      <c r="E259" s="17" t="str">
        <v>其他直播服务费</v>
      </c>
      <c r="F259" s="18" t="str">
        <v>达人直播</v>
      </c>
      <c r="G259" s="18" t="str">
        <v>佣金-其他</v>
      </c>
      <c r="H259" s="16" t="str">
        <v>品牌运营中心</v>
      </c>
      <c r="I259" s="16" t="str">
        <v>直播运营部</v>
      </c>
      <c r="J259" s="16" t="str">
        <v>达播BD部</v>
      </c>
      <c r="K259" s="16"/>
      <c r="L259" s="17">
        <f>"销售费用_"&amp;D259&amp;"_"&amp;C259</f>
      </c>
      <c r="M259" s="17" t="str">
        <v>6601.36.28</v>
      </c>
      <c r="N259" s="16" t="str">
        <v>Y</v>
      </c>
      <c r="O259" s="17">
        <f>C259</f>
      </c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6">
        <f>ROW(B260)-2</f>
      </c>
      <c r="B260" s="19" t="str">
        <v>渠道推广费</v>
      </c>
      <c r="C260" s="19" t="str">
        <v>直播坑位费</v>
      </c>
      <c r="D260" s="16" t="str">
        <v>营销费用</v>
      </c>
      <c r="E260" s="17" t="str">
        <v>天猫直播坑位费-李佳琦</v>
      </c>
      <c r="F260" s="18" t="str">
        <v>达人直播</v>
      </c>
      <c r="G260" s="18" t="str">
        <v>服务费-佳琦</v>
      </c>
      <c r="H260" s="16" t="str">
        <v>品牌运营中心</v>
      </c>
      <c r="I260" s="16" t="str">
        <v>直播运营部</v>
      </c>
      <c r="J260" s="16" t="str">
        <v>达播BD部</v>
      </c>
      <c r="K260" s="16"/>
      <c r="L260" s="17">
        <f>"销售费用_"&amp;D260&amp;"_"&amp;C260</f>
      </c>
      <c r="M260" s="17" t="str">
        <v>6601.36.31</v>
      </c>
      <c r="N260" s="16"/>
      <c r="O260" s="17" t="str">
        <v>直播服务费</v>
      </c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6">
        <f>ROW(B261)-2</f>
      </c>
      <c r="B261" s="19" t="str">
        <v>渠道推广费</v>
      </c>
      <c r="C261" s="19" t="str">
        <v>直播坑位费</v>
      </c>
      <c r="D261" s="16" t="str">
        <v>营销费用</v>
      </c>
      <c r="E261" s="17" t="str">
        <v>天猫直播坑位费-其他</v>
      </c>
      <c r="F261" s="18" t="str">
        <v>达人直播</v>
      </c>
      <c r="G261" s="18" t="str">
        <v>服务费-淘内其他</v>
      </c>
      <c r="H261" s="16" t="str">
        <v>品牌运营中心</v>
      </c>
      <c r="I261" s="16" t="str">
        <v>直播运营部</v>
      </c>
      <c r="J261" s="16" t="str">
        <v>达播BD部</v>
      </c>
      <c r="K261" s="16"/>
      <c r="L261" s="17">
        <f>"销售费用_"&amp;D261&amp;"_"&amp;C261</f>
      </c>
      <c r="M261" s="17" t="str">
        <v>6601.36.31</v>
      </c>
      <c r="N261" s="16" t="str">
        <v>Y</v>
      </c>
      <c r="O261" s="17" t="str">
        <v>直播服务费</v>
      </c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33">
        <f>ROW(B262)-2</f>
      </c>
      <c r="B262" s="34" t="str">
        <v>渠道推广费</v>
      </c>
      <c r="C262" s="34" t="str">
        <v>直播坑位费</v>
      </c>
      <c r="D262" s="33" t="str">
        <v>营销费用</v>
      </c>
      <c r="E262" s="32" t="str">
        <v>抖音直播坑位费-田恬</v>
      </c>
      <c r="F262" s="35" t="str">
        <v>达人直播</v>
      </c>
      <c r="G262" s="35" t="str">
        <v>服务费-田恬</v>
      </c>
      <c r="H262" s="33" t="str">
        <v>品牌运营中心</v>
      </c>
      <c r="I262" s="33" t="str">
        <v>直播运营部</v>
      </c>
      <c r="J262" s="33" t="str">
        <v>达播BD部</v>
      </c>
      <c r="K262" s="33"/>
      <c r="L262" s="32">
        <f>"销售费用_"&amp;D262&amp;"_"&amp;C262</f>
      </c>
      <c r="M262" s="32" t="str">
        <v>6601.36.31</v>
      </c>
      <c r="N262" s="33" t="str">
        <v>Y</v>
      </c>
      <c r="O262" s="32" t="str">
        <v>直播服务费</v>
      </c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</row>
    <row r="263">
      <c r="A263" s="16">
        <f>ROW(B263)-2</f>
      </c>
      <c r="B263" s="19" t="str">
        <v>渠道推广费</v>
      </c>
      <c r="C263" s="19" t="str">
        <v>直播坑位费</v>
      </c>
      <c r="D263" s="16" t="str">
        <v>营销费用</v>
      </c>
      <c r="E263" s="17" t="str">
        <v>快手直播坑位费</v>
      </c>
      <c r="F263" s="18" t="str">
        <v>达人直播</v>
      </c>
      <c r="G263" s="18" t="str">
        <v>服务费-快手</v>
      </c>
      <c r="H263" s="16" t="str">
        <v>品牌运营中心</v>
      </c>
      <c r="I263" s="16" t="str">
        <v>直播运营部</v>
      </c>
      <c r="J263" s="16" t="str">
        <v>达播BD部</v>
      </c>
      <c r="K263" s="16"/>
      <c r="L263" s="17">
        <f>"销售费用_"&amp;D263&amp;"_"&amp;C263</f>
      </c>
      <c r="M263" s="17" t="str">
        <v>6601.36.31</v>
      </c>
      <c r="N263" s="16" t="str">
        <v>Y</v>
      </c>
      <c r="O263" s="17" t="str">
        <v>直播服务费</v>
      </c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6">
        <f>ROW(B264)-2</f>
      </c>
      <c r="B264" s="19" t="str">
        <v>渠道推广费</v>
      </c>
      <c r="C264" s="19" t="str">
        <v>直播坑位费</v>
      </c>
      <c r="D264" s="16" t="str">
        <v>营销费用</v>
      </c>
      <c r="E264" s="17" t="str">
        <v>其他直播坑位费</v>
      </c>
      <c r="F264" s="18" t="str">
        <v>达人直播</v>
      </c>
      <c r="G264" s="18" t="str">
        <v>服务费-其他</v>
      </c>
      <c r="H264" s="16" t="str">
        <v>品牌运营中心</v>
      </c>
      <c r="I264" s="16" t="str">
        <v>直播运营部</v>
      </c>
      <c r="J264" s="16" t="str">
        <v>达播BD部</v>
      </c>
      <c r="K264" s="16"/>
      <c r="L264" s="17">
        <f>"销售费用_"&amp;D264&amp;"_"&amp;C264</f>
      </c>
      <c r="M264" s="17" t="str">
        <v>6601.36.31</v>
      </c>
      <c r="N264" s="16" t="str">
        <v>Y</v>
      </c>
      <c r="O264" s="17" t="str">
        <v>直播服务费</v>
      </c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33">
        <f>ROW(B265)-2</f>
      </c>
      <c r="B265" s="34" t="str">
        <v>渠道推广费</v>
      </c>
      <c r="C265" s="34" t="str">
        <v>直播间物料费</v>
      </c>
      <c r="D265" s="33" t="str">
        <v>营销费用</v>
      </c>
      <c r="E265" s="32" t="str">
        <v>佳琦直播间场景搭建</v>
      </c>
      <c r="F265" s="35" t="str">
        <v>直播间运营费</v>
      </c>
      <c r="G265" s="35" t="str">
        <v>佳琦道具及搭建</v>
      </c>
      <c r="H265" s="33" t="str">
        <v>品牌运营中心</v>
      </c>
      <c r="I265" s="33" t="str">
        <v>直播运营部</v>
      </c>
      <c r="J265" s="33" t="str">
        <v>直播内容部</v>
      </c>
      <c r="K265" s="33"/>
      <c r="L265" s="32">
        <f>"销售费用_"&amp;D265&amp;"_"&amp;C265</f>
      </c>
      <c r="M265" s="32" t="str">
        <v>6601.36.30</v>
      </c>
      <c r="N265" s="32"/>
      <c r="O265" s="32" t="str">
        <v>物料采购发票</v>
      </c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</row>
    <row r="266">
      <c r="A266" s="33">
        <f>ROW(B266)-2</f>
      </c>
      <c r="B266" s="34" t="str">
        <v>渠道推广费</v>
      </c>
      <c r="C266" s="34" t="str">
        <v>直播间物料费</v>
      </c>
      <c r="D266" s="33" t="str">
        <v>营销费用</v>
      </c>
      <c r="E266" s="32" t="str">
        <v>田恬直播间场景搭建</v>
      </c>
      <c r="F266" s="35" t="str">
        <v>直播间运营费</v>
      </c>
      <c r="G266" s="35" t="str">
        <v>达播道具及搭建-田恬</v>
      </c>
      <c r="H266" s="33" t="str">
        <v>品牌运营中心</v>
      </c>
      <c r="I266" s="33" t="str">
        <v>直播运营部</v>
      </c>
      <c r="J266" s="33" t="str">
        <v>直播内容部</v>
      </c>
      <c r="K266" s="33"/>
      <c r="L266" s="32">
        <f>"销售费用_"&amp;D266&amp;"_"&amp;C266</f>
      </c>
      <c r="M266" s="32" t="str">
        <v>6601.36.30</v>
      </c>
      <c r="N266" s="17"/>
      <c r="O266" s="17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33">
        <f>ROW(B267)-2</f>
      </c>
      <c r="B267" s="34" t="str">
        <v>渠道推广费</v>
      </c>
      <c r="C267" s="34" t="str">
        <v>直播间物料费</v>
      </c>
      <c r="D267" s="33" t="str">
        <v>营销费用</v>
      </c>
      <c r="E267" s="32" t="str">
        <v>抖音其他/快手直播间道具及搭建</v>
      </c>
      <c r="F267" s="35" t="str">
        <v>直播间运营费</v>
      </c>
      <c r="G267" s="35" t="str" xml:space="preserve">
        <v>  
达播道具及搭建 - 抖音其他/快手
</v>
      </c>
      <c r="H267" s="33" t="str">
        <v>品牌运营中心</v>
      </c>
      <c r="I267" s="33" t="str">
        <v>市场广告推广部</v>
      </c>
      <c r="J267" s="33" t="str">
        <v>达播2部</v>
      </c>
      <c r="K267" s="33"/>
      <c r="L267" s="32">
        <f>"销售费用_"&amp;D267&amp;"_"&amp;C267</f>
      </c>
      <c r="M267" s="32" t="str">
        <v>6601.36.30</v>
      </c>
      <c r="N267" s="17"/>
      <c r="O267" s="17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16">
        <f>ROW(B268)-2</f>
      </c>
      <c r="B268" s="19" t="str">
        <v>渠道推广费</v>
      </c>
      <c r="C268" s="19" t="str">
        <v>直播间物料费</v>
      </c>
      <c r="D268" s="16" t="str">
        <v>营销费用</v>
      </c>
      <c r="E268" s="17" t="str">
        <v>直播间场景道具</v>
      </c>
      <c r="F268" s="18" t="str">
        <v>直播间运营费</v>
      </c>
      <c r="G268" s="18" t="str">
        <v>直播间物料</v>
      </c>
      <c r="H268" s="16" t="str">
        <v>品牌运营中心</v>
      </c>
      <c r="I268" s="16" t="str">
        <v>直播运营部</v>
      </c>
      <c r="J268" s="16" t="str">
        <v>直播内容部</v>
      </c>
      <c r="K268" s="16"/>
      <c r="L268" s="17">
        <f>"销售费用_"&amp;D268&amp;"_"&amp;C268</f>
      </c>
      <c r="M268" s="17" t="str">
        <v>6601.36.30</v>
      </c>
      <c r="N268" s="17"/>
      <c r="O268" s="17" t="str">
        <v>物料采购发票</v>
      </c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16">
        <f>ROW(B269)-2</f>
      </c>
      <c r="B269" s="19" t="str">
        <v>渠道推广费</v>
      </c>
      <c r="C269" s="19" t="str">
        <v>直播间活动费</v>
      </c>
      <c r="D269" s="16" t="str">
        <v>营销费用</v>
      </c>
      <c r="E269" s="17" t="str">
        <v>直播间奖品-抖音</v>
      </c>
      <c r="F269" s="18" t="str">
        <v>直播间运营费</v>
      </c>
      <c r="G269" s="18" t="str">
        <v>直播间奖品</v>
      </c>
      <c r="H269" s="16" t="str">
        <v>品牌运营中心</v>
      </c>
      <c r="I269" s="16" t="str">
        <v>直播运营部</v>
      </c>
      <c r="J269" s="16" t="str">
        <v>直播运营部</v>
      </c>
      <c r="K269" s="16"/>
      <c r="L269" s="17">
        <f>"销售费用_"&amp;D269&amp;"_"&amp;C269</f>
      </c>
      <c r="M269" s="17" t="str">
        <v>6601.36.29</v>
      </c>
      <c r="N269" s="17"/>
      <c r="O269" s="17" t="str">
        <v>物料采购发票</v>
      </c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6">
        <f>ROW(B270)-2</f>
      </c>
      <c r="B270" s="19" t="str">
        <v>渠道推广费</v>
      </c>
      <c r="C270" s="19" t="str">
        <v>直播间活动费</v>
      </c>
      <c r="D270" s="16" t="str">
        <v>营销费用</v>
      </c>
      <c r="E270" s="17" t="str">
        <v>直播间奖品-快手</v>
      </c>
      <c r="F270" s="18" t="str">
        <v>直播间运营费</v>
      </c>
      <c r="G270" s="18" t="str">
        <v>直播间奖品</v>
      </c>
      <c r="H270" s="16" t="str">
        <v>品牌运营中心</v>
      </c>
      <c r="I270" s="16" t="str">
        <v>直播运营部</v>
      </c>
      <c r="J270" s="16" t="str">
        <v>直播运营部</v>
      </c>
      <c r="K270" s="16"/>
      <c r="L270" s="17">
        <f>"销售费用_"&amp;D270&amp;"_"&amp;C270</f>
      </c>
      <c r="M270" s="17" t="str">
        <v>6601.36.29</v>
      </c>
      <c r="N270" s="17"/>
      <c r="O270" s="17" t="str">
        <v>物料采购发票</v>
      </c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6">
        <f>ROW(B271)-2</f>
      </c>
      <c r="B271" s="19" t="str">
        <v>渠道推广费</v>
      </c>
      <c r="C271" s="19" t="str">
        <v>直播间活动费</v>
      </c>
      <c r="D271" s="16" t="str">
        <v>营销费用</v>
      </c>
      <c r="E271" s="17" t="str">
        <v>直播间奖品-天猫</v>
      </c>
      <c r="F271" s="18" t="str">
        <v>直播间运营费</v>
      </c>
      <c r="G271" s="18" t="str">
        <v>直播间奖品</v>
      </c>
      <c r="H271" s="16" t="str">
        <v>品牌运营中心</v>
      </c>
      <c r="I271" s="16" t="str">
        <v>直播运营部</v>
      </c>
      <c r="J271" s="16" t="str">
        <v>直播运营部</v>
      </c>
      <c r="K271" s="16"/>
      <c r="L271" s="17">
        <f>"销售费用_"&amp;D271&amp;"_"&amp;C271</f>
      </c>
      <c r="M271" s="17" t="str">
        <v>6601.36.29</v>
      </c>
      <c r="N271" s="17"/>
      <c r="O271" s="17" t="str">
        <v>物料采购发票</v>
      </c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6">
        <f>ROW(B272)-2</f>
      </c>
      <c r="B272" s="19" t="str">
        <v>渠道推广费</v>
      </c>
      <c r="C272" s="19" t="str">
        <v>直播间活动费</v>
      </c>
      <c r="D272" s="16" t="str">
        <v>营销费用</v>
      </c>
      <c r="E272" s="17" t="str">
        <v>直播间奖品-京东</v>
      </c>
      <c r="F272" s="18" t="str">
        <v>直播间运营费</v>
      </c>
      <c r="G272" s="18" t="str">
        <v>直播间奖品</v>
      </c>
      <c r="H272" s="16" t="str">
        <v>品牌运营中心</v>
      </c>
      <c r="I272" s="16" t="str">
        <v>直播运营部</v>
      </c>
      <c r="J272" s="16" t="str">
        <v>直播运营部</v>
      </c>
      <c r="K272" s="16"/>
      <c r="L272" s="17">
        <f>"销售费用_"&amp;D272&amp;"_"&amp;C272</f>
      </c>
      <c r="M272" s="17" t="str">
        <v>6601.36.29</v>
      </c>
      <c r="N272" s="17"/>
      <c r="O272" s="17" t="str">
        <v>物料采购发票</v>
      </c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6">
        <f>ROW(B273)-2</f>
      </c>
      <c r="B273" s="19" t="str">
        <v>渠道推广费</v>
      </c>
      <c r="C273" s="19" t="str">
        <v>直播间活动费</v>
      </c>
      <c r="D273" s="16" t="str">
        <v>营销费用</v>
      </c>
      <c r="E273" s="17" t="str">
        <v>直播间奖品-唯品</v>
      </c>
      <c r="F273" s="18" t="str">
        <v>直播间运营费</v>
      </c>
      <c r="G273" s="18" t="str">
        <v>直播间奖品</v>
      </c>
      <c r="H273" s="16" t="str">
        <v>品牌运营中心</v>
      </c>
      <c r="I273" s="16" t="str">
        <v>直播运营部</v>
      </c>
      <c r="J273" s="16" t="str">
        <v>直播运营部</v>
      </c>
      <c r="K273" s="16"/>
      <c r="L273" s="17">
        <f>"销售费用_"&amp;D273&amp;"_"&amp;C273</f>
      </c>
      <c r="M273" s="17" t="str">
        <v>6601.36.29</v>
      </c>
      <c r="N273" s="17"/>
      <c r="O273" s="17" t="str">
        <v>物料采购发票</v>
      </c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6">
        <f>ROW(B274)-2</f>
      </c>
      <c r="B274" s="19" t="str">
        <v>渠道推广费</v>
      </c>
      <c r="C274" s="19" t="str">
        <v>直播间活动费</v>
      </c>
      <c r="D274" s="16" t="str">
        <v>营销费用</v>
      </c>
      <c r="E274" s="17" t="str">
        <v>直播间其他用品</v>
      </c>
      <c r="F274" s="18" t="str">
        <v>直播间运营费</v>
      </c>
      <c r="G274" s="18" t="str">
        <v>直播间奖品</v>
      </c>
      <c r="H274" s="16" t="str">
        <v>品牌运营中心</v>
      </c>
      <c r="I274" s="16" t="str">
        <v>直播运营部</v>
      </c>
      <c r="J274" s="16" t="str">
        <v>直播运营部</v>
      </c>
      <c r="K274" s="16"/>
      <c r="L274" s="17">
        <f>"销售费用_"&amp;D274&amp;"_"&amp;C274</f>
      </c>
      <c r="M274" s="17" t="str">
        <v>6601.36.29</v>
      </c>
      <c r="N274" s="17"/>
      <c r="O274" s="17" t="str">
        <v>物料采购发票</v>
      </c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28">
        <f>ROW(B275)-2</f>
      </c>
      <c r="B275" s="26" t="str">
        <v>渠道推广费</v>
      </c>
      <c r="C275" s="26" t="str">
        <v>直播间活动费</v>
      </c>
      <c r="D275" s="28" t="str">
        <v>营销费用</v>
      </c>
      <c r="E275" s="26" t="str">
        <v>直播间活动费--抖币</v>
      </c>
      <c r="F275" s="29" t="str">
        <v>直播间运营费</v>
      </c>
      <c r="G275" s="29" t="str">
        <v>直播间物料</v>
      </c>
      <c r="H275" s="28" t="str">
        <v>品牌运营中心</v>
      </c>
      <c r="I275" s="28" t="str">
        <v>直播运营部</v>
      </c>
      <c r="J275" s="28" t="str">
        <v>直播运营部</v>
      </c>
      <c r="K275" s="28"/>
      <c r="L275" s="27">
        <f>"销售费用_"&amp;D275&amp;"_"&amp;C275</f>
      </c>
      <c r="M275" s="27" t="str">
        <v>6601.36.29</v>
      </c>
      <c r="N275" s="27"/>
      <c r="O275" s="27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16">
        <f>ROW(B276)-2</f>
      </c>
      <c r="B276" s="19" t="str">
        <v>其他费用</v>
      </c>
      <c r="C276" s="19" t="str">
        <v>主播团队激励</v>
      </c>
      <c r="D276" s="16" t="str">
        <v>日常费用</v>
      </c>
      <c r="E276" s="19" t="str">
        <v>主播团队激励</v>
      </c>
      <c r="F276" s="18" t="str">
        <v>直播间运营费</v>
      </c>
      <c r="G276" s="18" t="str">
        <v>主播团队激励</v>
      </c>
      <c r="H276" s="16" t="str">
        <v>品牌运营中心</v>
      </c>
      <c r="I276" s="16" t="str">
        <v>直播运营部</v>
      </c>
      <c r="J276" s="16" t="str">
        <v>主播部</v>
      </c>
      <c r="K276" s="16"/>
      <c r="L276" s="17">
        <f>"销售费用_"&amp;D276&amp;"_"&amp;C276</f>
      </c>
      <c r="M276" s="17" t="str">
        <v>6601.37.04</v>
      </c>
      <c r="N276" s="17"/>
      <c r="O276" s="17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6">
        <f>ROW(B277)-2</f>
      </c>
      <c r="B277" s="19" t="str">
        <v>其他费用</v>
      </c>
      <c r="C277" s="21" t="str">
        <v>公关礼品费</v>
      </c>
      <c r="D277" s="22" t="str">
        <v>营销费用</v>
      </c>
      <c r="E277" s="41" t="str">
        <v>李佳琦公关礼</v>
      </c>
      <c r="F277" s="23" t="str">
        <v>品牌营销直播专项</v>
      </c>
      <c r="G277" s="23" t="str">
        <v>BD公关费-李佳琦专项</v>
      </c>
      <c r="H277" s="16" t="str">
        <v>品牌运营中心</v>
      </c>
      <c r="I277" s="16" t="str">
        <v>直播运营部</v>
      </c>
      <c r="J277" s="16" t="str">
        <v>达播BD部</v>
      </c>
      <c r="K277" s="16"/>
      <c r="L277" s="17">
        <f>"销售费用_"&amp;D277&amp;"_"&amp;C277</f>
      </c>
      <c r="M277" s="17" t="str">
        <v>6601.36.09</v>
      </c>
      <c r="N277" s="17"/>
      <c r="O277" s="17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33">
        <f>ROW(B278)-2</f>
      </c>
      <c r="B278" s="34" t="str">
        <v>渠道推广费</v>
      </c>
      <c r="C278" s="34" t="str">
        <v>直播坑位费</v>
      </c>
      <c r="D278" s="33" t="str">
        <v>营销费用</v>
      </c>
      <c r="E278" s="32" t="str">
        <v>抖音直播坑位费-抖音其他</v>
      </c>
      <c r="F278" s="35" t="str">
        <v>达人直播</v>
      </c>
      <c r="G278" s="35" t="str">
        <v>佣金-抖音其他</v>
      </c>
      <c r="H278" s="33" t="str">
        <v>品牌运营中心</v>
      </c>
      <c r="I278" s="33" t="str">
        <v>市场广告推广部</v>
      </c>
      <c r="J278" s="33" t="str">
        <v>达播2部</v>
      </c>
      <c r="K278" s="33"/>
      <c r="L278" s="32">
        <f>"销售费用_"&amp;D278&amp;"_"&amp;C278</f>
      </c>
      <c r="M278" s="32" t="str">
        <v>6601.36.31</v>
      </c>
      <c r="N278" s="32"/>
      <c r="O278" s="32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</row>
    <row r="279">
      <c r="A279" s="33">
        <f>ROW(B279)-2</f>
      </c>
      <c r="B279" s="34" t="str">
        <v>渠道推广费</v>
      </c>
      <c r="C279" s="34" t="str">
        <v>直播服务费</v>
      </c>
      <c r="D279" s="33" t="str">
        <v>营销费用</v>
      </c>
      <c r="E279" s="32" t="str">
        <v>抖音直播服务费-抖音其他</v>
      </c>
      <c r="F279" s="35" t="str">
        <v>达人直播</v>
      </c>
      <c r="G279" s="35" t="str">
        <v>服务费-抖音其他</v>
      </c>
      <c r="H279" s="33" t="str">
        <v>品牌运营中心</v>
      </c>
      <c r="I279" s="33" t="str">
        <v>市场广告推广部</v>
      </c>
      <c r="J279" s="33" t="str">
        <v>达播2部</v>
      </c>
      <c r="K279" s="33"/>
      <c r="L279" s="32">
        <f>"销售费用_"&amp;D279&amp;"_"&amp;C279</f>
      </c>
      <c r="M279" s="32" t="str">
        <v>6601.36.28</v>
      </c>
      <c r="N279" s="32"/>
      <c r="O279" s="32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</row>
    <row r="280">
      <c r="A280" s="33">
        <f>ROW(B280)-2</f>
      </c>
      <c r="B280" s="34" t="str">
        <v>渠道推广费</v>
      </c>
      <c r="C280" s="34" t="str">
        <v>直播坑位费</v>
      </c>
      <c r="D280" s="33" t="str">
        <v>营销费用</v>
      </c>
      <c r="E280" s="32" t="str">
        <v>抖音直播坑位费-团长计划</v>
      </c>
      <c r="F280" s="35" t="str">
        <v>达人直播</v>
      </c>
      <c r="G280" s="35" t="str">
        <v>佣金-团长计划</v>
      </c>
      <c r="H280" s="33" t="str">
        <v>品牌运营中心</v>
      </c>
      <c r="I280" s="33" t="str">
        <v>市场广告推广部</v>
      </c>
      <c r="J280" s="33" t="str">
        <v>达播2部</v>
      </c>
      <c r="K280" s="33"/>
      <c r="L280" s="32">
        <f>"销售费用_"&amp;D280&amp;"_"&amp;C280</f>
      </c>
      <c r="M280" s="32" t="str">
        <v>6601.36.31</v>
      </c>
      <c r="N280" s="32"/>
      <c r="O280" s="32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</row>
    <row r="281">
      <c r="A281" s="33">
        <f>ROW(B281)-2</f>
      </c>
      <c r="B281" s="34" t="str">
        <v>渠道推广费</v>
      </c>
      <c r="C281" s="34" t="str">
        <v>直播服务费</v>
      </c>
      <c r="D281" s="33" t="str">
        <v>营销费用</v>
      </c>
      <c r="E281" s="32" t="str">
        <v>抖音直播服务费-团长计划</v>
      </c>
      <c r="F281" s="35" t="str">
        <v>达人直播</v>
      </c>
      <c r="G281" s="35" t="str">
        <v>服务费-团长计划</v>
      </c>
      <c r="H281" s="33" t="str">
        <v>品牌运营中心</v>
      </c>
      <c r="I281" s="33" t="str">
        <v>市场广告推广部</v>
      </c>
      <c r="J281" s="33" t="str">
        <v>达播2部</v>
      </c>
      <c r="K281" s="33"/>
      <c r="L281" s="32">
        <f>"销售费用_"&amp;D281&amp;"_"&amp;C281</f>
      </c>
      <c r="M281" s="32" t="str">
        <v>6601.36.28</v>
      </c>
      <c r="N281" s="32"/>
      <c r="O281" s="32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</row>
    <row r="282">
      <c r="A282" s="33">
        <f>ROW(B282)-2</f>
      </c>
      <c r="B282" s="34" t="str">
        <v>其他费用</v>
      </c>
      <c r="C282" s="34" t="str">
        <v>公关礼品费</v>
      </c>
      <c r="D282" s="33" t="str">
        <v>营销费用</v>
      </c>
      <c r="E282" s="32" t="str">
        <v>直播公关礼-外采-达播二部</v>
      </c>
      <c r="F282" s="35" t="str">
        <v>品牌营销直播专项</v>
      </c>
      <c r="G282" s="35" t="str">
        <v>BD公关费-达播二部</v>
      </c>
      <c r="H282" s="33" t="str">
        <v>品牌运营中心</v>
      </c>
      <c r="I282" s="33" t="str">
        <v>市场广告推广部</v>
      </c>
      <c r="J282" s="33" t="str">
        <v>达播2部</v>
      </c>
      <c r="K282" s="33"/>
      <c r="L282" s="32">
        <f>"销售费用_"&amp;D282&amp;"_"&amp;C282</f>
      </c>
      <c r="M282" s="32"/>
      <c r="N282" s="32"/>
      <c r="O282" s="32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</row>
    <row r="283">
      <c r="A283" s="33">
        <f>ROW(B283)-2</f>
      </c>
      <c r="B283" s="34" t="str">
        <v>其他费用</v>
      </c>
      <c r="C283" s="34" t="str">
        <v>公关礼品费</v>
      </c>
      <c r="D283" s="33" t="str">
        <v>营销费用</v>
      </c>
      <c r="E283" s="32" t="str">
        <v>直播公关礼-自有-达播二部</v>
      </c>
      <c r="F283" s="35" t="str">
        <v>品牌营销直播专项</v>
      </c>
      <c r="G283" s="35" t="str">
        <v>BD公关费-达播二部</v>
      </c>
      <c r="H283" s="33" t="str">
        <v>品牌运营中心</v>
      </c>
      <c r="I283" s="33" t="str">
        <v>市场广告推广部</v>
      </c>
      <c r="J283" s="33" t="str">
        <v>达播2部</v>
      </c>
      <c r="K283" s="33"/>
      <c r="L283" s="32">
        <f>"销售费用_"&amp;D283&amp;"_"&amp;C283</f>
      </c>
      <c r="M283" s="32"/>
      <c r="N283" s="32"/>
      <c r="O283" s="32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</row>
    <row r="284">
      <c r="A284" s="33">
        <f>ROW(B284)-2</f>
      </c>
      <c r="B284" s="34" t="str">
        <v>其他费用</v>
      </c>
      <c r="C284" s="34" t="str">
        <v>公关礼品费</v>
      </c>
      <c r="D284" s="33" t="str">
        <v>营销费用</v>
      </c>
      <c r="E284" s="32" t="str">
        <v>直播公关礼-外采-淘宝其他</v>
      </c>
      <c r="F284" s="35" t="str">
        <v>品牌营销直播专项</v>
      </c>
      <c r="G284" s="35" t="str">
        <v>BD公关费-淘宝其他</v>
      </c>
      <c r="H284" s="33" t="str">
        <v>品牌运营中心</v>
      </c>
      <c r="I284" s="33" t="str">
        <v>市场广告推广部</v>
      </c>
      <c r="J284" s="33" t="str">
        <v>达播2部</v>
      </c>
      <c r="K284" s="33"/>
      <c r="L284" s="32"/>
      <c r="M284" s="32"/>
      <c r="N284" s="32"/>
      <c r="O284" s="32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</row>
    <row r="285">
      <c r="A285" s="33">
        <f>ROW(B285)-2</f>
      </c>
      <c r="B285" s="34" t="str">
        <v>其他费用</v>
      </c>
      <c r="C285" s="34" t="str">
        <v>公关礼品费</v>
      </c>
      <c r="D285" s="33" t="str">
        <v>营销费用</v>
      </c>
      <c r="E285" s="32" t="str">
        <v>直播公关礼-自有-淘宝其他</v>
      </c>
      <c r="F285" s="35" t="str">
        <v>品牌营销直播专项</v>
      </c>
      <c r="G285" s="35" t="str">
        <v>BD公关费-淘宝其他</v>
      </c>
      <c r="H285" s="33" t="str">
        <v>品牌运营中心</v>
      </c>
      <c r="I285" s="33" t="str">
        <v>市场广告推广部</v>
      </c>
      <c r="J285" s="33" t="str">
        <v>达播2部</v>
      </c>
      <c r="K285" s="33"/>
      <c r="L285" s="32"/>
      <c r="M285" s="32"/>
      <c r="N285" s="32"/>
      <c r="O285" s="32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</row>
    <row r="286">
      <c r="A286" s="33">
        <f>ROW(B286)-2</f>
      </c>
      <c r="B286" s="34" t="str">
        <v>其他费用</v>
      </c>
      <c r="C286" s="34" t="str">
        <v>公关礼品费</v>
      </c>
      <c r="D286" s="33" t="str">
        <v>营销费用</v>
      </c>
      <c r="E286" s="32" t="str">
        <v>直播公关礼-外采-田恬</v>
      </c>
      <c r="F286" s="35" t="str">
        <v>品牌营销直播专项</v>
      </c>
      <c r="G286" s="35" t="str">
        <v>BD公关费-田恬</v>
      </c>
      <c r="H286" s="33" t="str">
        <v>品牌运营中心</v>
      </c>
      <c r="I286" s="33" t="str">
        <v>直播运营部</v>
      </c>
      <c r="J286" s="33" t="str">
        <v>达播BD部</v>
      </c>
      <c r="K286" s="33"/>
      <c r="L286" s="32">
        <f>"销售费用_"&amp;D286&amp;"_"&amp;C286</f>
      </c>
      <c r="M286" s="32" t="str">
        <v>6601.36.09</v>
      </c>
      <c r="N286" s="32"/>
      <c r="O286" s="32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</row>
    <row r="287">
      <c r="A287" s="33">
        <f>ROW(B287)-2</f>
      </c>
      <c r="B287" s="34" t="str">
        <v>其他费用</v>
      </c>
      <c r="C287" s="34" t="str">
        <v>公关礼品费</v>
      </c>
      <c r="D287" s="33" t="str">
        <v>营销费用</v>
      </c>
      <c r="E287" s="32" t="str">
        <v>直播公关礼-自有-田恬</v>
      </c>
      <c r="F287" s="35" t="str">
        <v>品牌营销直播专项</v>
      </c>
      <c r="G287" s="35" t="str">
        <v>BD公关费-田恬</v>
      </c>
      <c r="H287" s="33" t="str">
        <v>品牌运营中心</v>
      </c>
      <c r="I287" s="33" t="str">
        <v>直播运营部</v>
      </c>
      <c r="J287" s="33" t="str">
        <v>达播BD部</v>
      </c>
      <c r="K287" s="33"/>
      <c r="L287" s="32">
        <f>"销售费用_"&amp;D287&amp;"_"&amp;C287</f>
      </c>
      <c r="M287" s="32" t="str">
        <v>6601.36.09</v>
      </c>
      <c r="N287" s="32"/>
      <c r="O287" s="32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</row>
    <row r="288">
      <c r="A288" s="16">
        <f>ROW(B288)-2</f>
      </c>
      <c r="B288" s="19" t="str">
        <v>其他费用</v>
      </c>
      <c r="C288" s="19" t="str">
        <v>培训费</v>
      </c>
      <c r="D288" s="16" t="str">
        <v>日常费用</v>
      </c>
      <c r="E288" s="17"/>
      <c r="F288" s="18"/>
      <c r="G288" s="18"/>
      <c r="H288" s="16"/>
      <c r="I288" s="16"/>
      <c r="J288" s="16"/>
      <c r="K288" s="16"/>
      <c r="L288" s="17"/>
      <c r="M288" s="17"/>
      <c r="N288" s="17"/>
      <c r="O288" s="17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U1"/>
    <mergeCell ref="V1:AA1"/>
  </mergeCells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15"/>
    <col collapsed="false" customWidth="true" hidden="false" max="3" min="3" style="0" width="11"/>
    <col collapsed="false" customWidth="true" hidden="false" max="5" min="5" style="0" width="14"/>
    <col collapsed="false" customWidth="true" hidden="false" max="7" min="7" style="0" width="24"/>
  </cols>
  <sheetData>
    <row r="1">
      <c r="A1" s="7" t="str">
        <v>费用大类</v>
      </c>
      <c r="B1" s="7" t="str">
        <v>费用小类</v>
      </c>
      <c r="C1" s="7" t="str">
        <v>费用类别</v>
      </c>
      <c r="D1" s="9" t="str">
        <v>费用小类编码</v>
      </c>
      <c r="E1" s="9" t="str">
        <v>费用大类编码</v>
      </c>
    </row>
    <row r="2">
      <c r="A2" s="59" t="str">
        <v>内容制作费</v>
      </c>
      <c r="B2" s="59" t="str">
        <v>视频制作费</v>
      </c>
      <c r="C2" s="58" t="str">
        <v>营销费用</v>
      </c>
      <c r="D2">
        <f>VLOOKUP(B2,'收集数据表'!C:D,2,0)</f>
      </c>
      <c r="E2">
        <f>VLOOKUP(A2,'收集数据表'!A:B,2,0)</f>
      </c>
      <c r="F2" s="9"/>
    </row>
    <row r="3">
      <c r="A3" s="59" t="str">
        <v>内容制作费</v>
      </c>
      <c r="B3" s="59" t="str">
        <v>动画制作费</v>
      </c>
      <c r="C3" s="58" t="str">
        <v>营销费用</v>
      </c>
      <c r="D3">
        <f>VLOOKUP(B3,'收集数据表'!C:D,2,0)</f>
      </c>
      <c r="E3">
        <f>VLOOKUP(A3,'收集数据表'!A:B,2,0)</f>
      </c>
      <c r="F3" s="9"/>
    </row>
    <row r="4">
      <c r="A4" s="59" t="str">
        <v>内容制作费</v>
      </c>
      <c r="B4" s="59" t="str">
        <v>图文平面制作费</v>
      </c>
      <c r="C4" s="58" t="str">
        <v>营销费用</v>
      </c>
      <c r="D4">
        <f>VLOOKUP(B4,'收集数据表'!C:D,2,0)</f>
      </c>
      <c r="E4">
        <f>VLOOKUP(A4,'收集数据表'!A:B,2,0)</f>
      </c>
      <c r="F4" s="9"/>
    </row>
    <row r="5">
      <c r="A5" s="59" t="str">
        <v>内容制作费</v>
      </c>
      <c r="B5" s="59" t="str">
        <v>建模服务费</v>
      </c>
      <c r="C5" s="58" t="str">
        <v>营销费用</v>
      </c>
      <c r="D5">
        <f>VLOOKUP(B5,'收集数据表'!C:D,2,0)</f>
      </c>
      <c r="E5">
        <f>VLOOKUP(A5,'收集数据表'!A:B,2,0)</f>
      </c>
      <c r="F5" s="9"/>
    </row>
    <row r="6">
      <c r="A6" s="59" t="str">
        <v>内容制作费</v>
      </c>
      <c r="B6" s="59" t="str">
        <v>渲染服务费</v>
      </c>
      <c r="C6" s="58" t="str">
        <v>营销费用</v>
      </c>
      <c r="D6">
        <f>VLOOKUP(B6,'收集数据表'!C:D,2,0)</f>
      </c>
      <c r="E6">
        <f>VLOOKUP(A6,'收集数据表'!A:B,2,0)</f>
      </c>
      <c r="F6" s="9"/>
    </row>
    <row r="7">
      <c r="A7" s="59" t="str">
        <v>内容制作费</v>
      </c>
      <c r="B7" s="59" t="str">
        <v>模特服务费</v>
      </c>
      <c r="C7" s="58" t="str">
        <v>营销费用</v>
      </c>
      <c r="D7">
        <f>VLOOKUP(B7,'收集数据表'!C:D,2,0)</f>
      </c>
      <c r="E7">
        <f>VLOOKUP(A7,'收集数据表'!A:B,2,0)</f>
      </c>
      <c r="F7" s="9"/>
    </row>
    <row r="8">
      <c r="A8" s="59" t="str">
        <v>内容制作费</v>
      </c>
      <c r="B8" s="59" t="str">
        <v>专业人物合作费</v>
      </c>
      <c r="C8" s="58" t="str">
        <v>营销费用</v>
      </c>
      <c r="D8">
        <f>VLOOKUP(B8,'收集数据表'!C:D,2,0)</f>
      </c>
      <c r="E8">
        <f>VLOOKUP(A8,'收集数据表'!A:B,2,0)</f>
      </c>
      <c r="F8" s="9"/>
    </row>
    <row r="9">
      <c r="A9" s="65" t="str">
        <v>内容制作费</v>
      </c>
      <c r="B9" s="65" t="str">
        <v>服化道费用</v>
      </c>
      <c r="C9" s="67" t="str">
        <v>营销费用</v>
      </c>
      <c r="D9" s="66">
        <f>VLOOKUP(B9,'收集数据表'!C:D,2,0)</f>
      </c>
      <c r="E9">
        <f>VLOOKUP(A9,'收集数据表'!A:B,2,0)</f>
      </c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</row>
    <row r="10">
      <c r="A10" s="59" t="str">
        <v>内容制作费</v>
      </c>
      <c r="B10" s="59" t="str">
        <v>拍摄服务费</v>
      </c>
      <c r="C10" s="58" t="str">
        <v>营销费用</v>
      </c>
      <c r="D10">
        <f>VLOOKUP(B10,'收集数据表'!C:D,2,0)</f>
      </c>
      <c r="E10">
        <f>VLOOKUP(A10,'收集数据表'!A:B,2,0)</f>
      </c>
      <c r="F10" s="9"/>
    </row>
    <row r="11">
      <c r="A11" s="59" t="str">
        <v>内容制作费</v>
      </c>
      <c r="B11" s="59" t="str">
        <v>拍摄物料费</v>
      </c>
      <c r="C11" s="58" t="str">
        <v>营销费用</v>
      </c>
      <c r="D11">
        <f>VLOOKUP(B11,'收集数据表'!C:D,2,0)</f>
      </c>
      <c r="E11">
        <f>VLOOKUP(A11,'收集数据表'!A:B,2,0)</f>
      </c>
      <c r="F11" s="9"/>
    </row>
    <row r="12">
      <c r="A12" s="59" t="str">
        <v>内容制作费</v>
      </c>
      <c r="B12" s="59" t="str">
        <v>内容制作费</v>
      </c>
      <c r="C12" s="58" t="str">
        <v>营销费用</v>
      </c>
      <c r="D12">
        <f>VLOOKUP(B12,'收集数据表'!C:D,2,0)</f>
      </c>
      <c r="E12">
        <f>VLOOKUP(A12,'收集数据表'!A:B,2,0)</f>
      </c>
      <c r="F12" s="9"/>
    </row>
    <row r="13">
      <c r="A13" s="59" t="str">
        <v>其他费用</v>
      </c>
      <c r="B13" s="59" t="str">
        <v>场地租赁费</v>
      </c>
      <c r="C13" s="58" t="str">
        <v>营销费用</v>
      </c>
      <c r="D13">
        <f>VLOOKUP(B13,'收集数据表'!C:D,2,0)</f>
      </c>
      <c r="E13">
        <f>VLOOKUP(A13,'收集数据表'!A:B,2,0)</f>
      </c>
      <c r="F13" s="9"/>
    </row>
    <row r="14">
      <c r="A14" s="72" t="str">
        <v>其他费用</v>
      </c>
      <c r="B14" s="65" t="str">
        <v>舞台场地搭建费</v>
      </c>
      <c r="C14" s="67" t="str">
        <v>营销费用</v>
      </c>
      <c r="D14" s="66">
        <f>VLOOKUP(B14,'收集数据表'!C:D,2,0)</f>
      </c>
      <c r="E14">
        <f>VLOOKUP(A14,'收集数据表'!A:B,2,0)</f>
      </c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>
      <c r="A15" s="59" t="str">
        <v>其他费用</v>
      </c>
      <c r="B15" s="59" t="str">
        <v>设备租赁费</v>
      </c>
      <c r="C15" s="58" t="str">
        <v>营销费用</v>
      </c>
      <c r="D15">
        <f>VLOOKUP(B15,'收集数据表'!C:D,2,0)</f>
      </c>
      <c r="E15">
        <f>VLOOKUP(A15,'收集数据表'!A:B,2,0)</f>
      </c>
      <c r="F15" s="9"/>
    </row>
    <row r="16">
      <c r="A16" s="59" t="str">
        <v>品牌宣传费</v>
      </c>
      <c r="B16" s="59" t="str">
        <v>创意策划服务费</v>
      </c>
      <c r="C16" s="58" t="str">
        <v>营销费用</v>
      </c>
      <c r="D16">
        <f>VLOOKUP(B16,'收集数据表'!C:D,2,0)</f>
      </c>
      <c r="E16">
        <f>VLOOKUP(A16,'收集数据表'!A:B,2,0)</f>
      </c>
      <c r="F16" s="9"/>
    </row>
    <row r="17">
      <c r="A17" s="63" t="str">
        <v>品牌宣传费</v>
      </c>
      <c r="B17" s="63" t="str">
        <v>明星合作费</v>
      </c>
      <c r="C17" s="62" t="str">
        <v>营销费用</v>
      </c>
      <c r="D17">
        <f>VLOOKUP(B17,'收集数据表'!C:D,2,0)</f>
      </c>
      <c r="E17">
        <f>VLOOKUP(A17,'收集数据表'!A:B,2,0)</f>
      </c>
      <c r="F17" s="9"/>
    </row>
    <row r="18">
      <c r="A18" s="59" t="str">
        <v>品牌宣传费</v>
      </c>
      <c r="B18" s="59" t="str">
        <v>活动策划服务费</v>
      </c>
      <c r="C18" s="58" t="str">
        <v>营销费用</v>
      </c>
      <c r="D18">
        <f>VLOOKUP(B18,'收集数据表'!C:D,2,0)</f>
      </c>
      <c r="E18">
        <f>VLOOKUP(A18,'收集数据表'!A:B,2,0)</f>
      </c>
      <c r="F18" s="9"/>
    </row>
    <row r="19">
      <c r="A19" s="59" t="str">
        <v>媒介宣传费</v>
      </c>
      <c r="B19" s="59" t="str">
        <v>媒体宣发费</v>
      </c>
      <c r="C19" s="58" t="str">
        <v>营销费用</v>
      </c>
      <c r="D19">
        <f>VLOOKUP(B19,'收集数据表'!C:D,2,0)</f>
      </c>
      <c r="E19">
        <f>VLOOKUP(A19,'收集数据表'!A:B,2,0)</f>
      </c>
      <c r="F19" s="9"/>
    </row>
    <row r="20">
      <c r="A20" s="73" t="str">
        <v>内容制作费</v>
      </c>
      <c r="B20" s="71" t="str">
        <v>舞台场地搭建费</v>
      </c>
      <c r="C20" s="69" t="str">
        <v>营销费用</v>
      </c>
      <c r="D20" s="68">
        <f>VLOOKUP(B20,'收集数据表'!C:D,2,0)</f>
      </c>
      <c r="E20" s="70">
        <f>VLOOKUP(A20,'收集数据表'!A:B,2,0)</f>
      </c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</row>
    <row r="21">
      <c r="A21" s="71" t="str">
        <v>其他费用</v>
      </c>
      <c r="B21" s="71" t="str">
        <v>服化道费用</v>
      </c>
      <c r="C21" s="69" t="str">
        <v>营销费用</v>
      </c>
      <c r="D21" s="68">
        <f>VLOOKUP(B21,'收集数据表'!C:D,2,0)</f>
      </c>
      <c r="E21" s="70">
        <f>VLOOKUP(A21,'收集数据表'!A:B,2,0)</f>
      </c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</row>
    <row r="22">
      <c r="A22" s="64" t="str">
        <v>其他费用</v>
      </c>
      <c r="B22" s="59" t="str">
        <v>明星差旅费</v>
      </c>
      <c r="C22" s="58" t="str">
        <v>营销费用</v>
      </c>
      <c r="D22">
        <f>VLOOKUP(B22,'收集数据表'!C:D,2,0)</f>
      </c>
      <c r="E22">
        <f>VLOOKUP(A22,'收集数据表'!A:B,2,0)</f>
      </c>
      <c r="F22" s="9"/>
    </row>
    <row r="23">
      <c r="A23" s="59" t="str">
        <v>其他费用</v>
      </c>
      <c r="B23" s="59" t="str">
        <v>公关礼品费</v>
      </c>
      <c r="C23" s="58" t="str">
        <v>营销费用</v>
      </c>
      <c r="D23">
        <f>VLOOKUP(B23,'收集数据表'!C:D,2,0)</f>
      </c>
      <c r="E23">
        <f>VLOOKUP(A23,'收集数据表'!A:B,2,0)</f>
      </c>
      <c r="F23" s="9"/>
    </row>
    <row r="24">
      <c r="A24" s="60" t="str">
        <v>渠道推广费</v>
      </c>
      <c r="B24" s="60" t="str">
        <v>直播间物料费</v>
      </c>
      <c r="C24" s="61" t="str">
        <v>营销费用</v>
      </c>
      <c r="D24">
        <f>VLOOKUP(B24,'收集数据表'!C:D,2,0)</f>
      </c>
      <c r="E24">
        <f>VLOOKUP(A24,'收集数据表'!A:B,2,0)</f>
      </c>
      <c r="F24" s="9"/>
    </row>
    <row r="25">
      <c r="A25" s="59" t="str">
        <v>渠道推广费</v>
      </c>
      <c r="B25" s="59" t="str">
        <v>直播间活动费</v>
      </c>
      <c r="C25" s="58" t="str">
        <v>营销费用</v>
      </c>
      <c r="D25">
        <f>VLOOKUP(B25,'收集数据表'!C:D,2,0)</f>
      </c>
      <c r="E25">
        <f>VLOOKUP(A25,'收集数据表'!A:B,2,0)</f>
      </c>
      <c r="F25" s="9"/>
    </row>
    <row r="26">
      <c r="A26" s="59" t="str">
        <v>其他费用</v>
      </c>
      <c r="B26" s="59" t="str">
        <v>主播团队激励</v>
      </c>
      <c r="C26" s="58" t="str">
        <v>营销费用</v>
      </c>
      <c r="D26">
        <f>VLOOKUP(B26,'收集数据表'!C:D,2,0)</f>
      </c>
      <c r="E26">
        <f>VLOOKUP(A26,'收集数据表'!A:B,2,0)</f>
      </c>
      <c r="F26" s="9"/>
    </row>
    <row r="27">
      <c r="A27" s="64"/>
      <c r="B27" s="64"/>
      <c r="C27" s="64"/>
    </row>
  </sheetData>
  <picture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53"/>
    <col collapsed="false" customWidth="true" hidden="false" max="2" min="2" style="0" width="49"/>
  </cols>
  <sheetData>
    <row r="1">
      <c r="A1" s="1" t="str">
        <v>FY010101</v>
      </c>
      <c r="B1" s="1" t="str">
        <v>销售费用_营销费用_内容制作费(6601.36.14)</v>
      </c>
    </row>
    <row r="2">
      <c r="A2" s="1" t="str">
        <v>FY010102</v>
      </c>
      <c r="B2" s="1" t="str">
        <v>销售费用_营销费用_达人发布费(6601.36.04)</v>
      </c>
    </row>
    <row r="3">
      <c r="A3" s="1" t="str">
        <v>FY010103</v>
      </c>
      <c r="B3" s="1" t="str">
        <v>销售费用_营销费用_推广服务费(6601.36.23)</v>
      </c>
    </row>
    <row r="4">
      <c r="A4" s="1" t="str">
        <v>FY010301</v>
      </c>
      <c r="B4" s="1" t="str">
        <v>销售费用_营销费用_线上推广费(6601.36.24)</v>
      </c>
    </row>
    <row r="5">
      <c r="A5" s="1" t="str">
        <v>FY010302</v>
      </c>
      <c r="B5" s="1" t="str">
        <v>销售费用_营销费用_线下推广费(6601.36.25)</v>
      </c>
    </row>
    <row r="6">
      <c r="A6" s="1" t="str">
        <v>FY010303</v>
      </c>
      <c r="B6" s="1" t="str">
        <v>销售费用_营销费用_线上推广费(6601.36.24)</v>
      </c>
    </row>
    <row r="7">
      <c r="A7" s="1" t="str">
        <v>FY010401</v>
      </c>
      <c r="B7" s="1" t="str">
        <v>销售费用_营销费用_视频制作费(6601.36.21)</v>
      </c>
    </row>
    <row r="8">
      <c r="A8" s="1" t="str">
        <v>FY010402</v>
      </c>
      <c r="B8" s="1" t="str">
        <v>销售费用_营销费用_动画制作费(6601.36.07)</v>
      </c>
    </row>
    <row r="9">
      <c r="A9" s="1" t="str">
        <v>FY010403</v>
      </c>
      <c r="B9" s="1" t="str">
        <v>销售费用_营销费用_图文平面制作费(6601.36.22)</v>
      </c>
    </row>
    <row r="10">
      <c r="A10" s="1" t="str">
        <v>FY010404</v>
      </c>
      <c r="B10" s="1" t="str">
        <v>销售费用_营销费用_建模服务费(6601.36.10)</v>
      </c>
    </row>
    <row r="11">
      <c r="A11" s="1" t="str">
        <v>FY010405</v>
      </c>
      <c r="B11" s="1" t="str">
        <v>销售费用_营销费用_渲染服务费(6601.36.26)</v>
      </c>
    </row>
    <row r="12">
      <c r="A12" s="1" t="str">
        <v>FY010406</v>
      </c>
      <c r="B12" s="1" t="str">
        <v>销售费用_营销费用_模特服务费(6601.36.13)</v>
      </c>
    </row>
    <row r="13">
      <c r="A13" s="1" t="str">
        <v>FY010407</v>
      </c>
      <c r="B13" s="1" t="str">
        <v>销售费用_营销费用_专业人物合作费(6601.36.32)</v>
      </c>
    </row>
    <row r="14">
      <c r="A14" s="1" t="str">
        <v>FY010408</v>
      </c>
      <c r="B14" s="1" t="str">
        <v>销售费用_营销费用_服化道费用(6601.36.08)</v>
      </c>
    </row>
    <row r="15">
      <c r="A15" s="1" t="str">
        <v>FY010409</v>
      </c>
      <c r="B15" s="1" t="str">
        <v>销售费用_营销费用_拍摄服务费(6601.36.15)</v>
      </c>
    </row>
    <row r="16">
      <c r="A16" s="1" t="str">
        <v>FY010410</v>
      </c>
      <c r="B16" s="1" t="str">
        <v>销售费用_营销费用_拍摄物料费(6601.36.16)</v>
      </c>
    </row>
    <row r="17">
      <c r="A17" s="1" t="str">
        <v>FY010411</v>
      </c>
      <c r="B17" s="1" t="str">
        <v>销售费用_营销费用_内容制作费(6601.36.14)</v>
      </c>
    </row>
    <row r="18">
      <c r="A18" s="1" t="str">
        <v>FY010501</v>
      </c>
      <c r="B18" s="1" t="str">
        <v>销售费用_营销费用_市场调研费(6601.36.20)</v>
      </c>
    </row>
    <row r="19">
      <c r="A19" s="1" t="str">
        <v>FY010502</v>
      </c>
      <c r="B19" s="1" t="str">
        <v>销售费用_营销费用_明星合作费(6601.36.12)</v>
      </c>
    </row>
    <row r="20">
      <c r="A20" s="1" t="str">
        <v>FY010503</v>
      </c>
      <c r="B20" s="1" t="str">
        <v>销售费用_营销费用_策划服务费(6601.36.01)</v>
      </c>
    </row>
    <row r="21">
      <c r="A21" s="1" t="str">
        <v>FY010504</v>
      </c>
      <c r="B21" s="1" t="str">
        <v>销售费用_营销费用_策划服务费(6601.36.01)</v>
      </c>
    </row>
    <row r="22">
      <c r="A22" s="1" t="str">
        <v>FY010505</v>
      </c>
      <c r="B22" s="1" t="str">
        <v>销售费用_营销费用_营销宣传费(6601.36.27)</v>
      </c>
    </row>
    <row r="23">
      <c r="A23" s="1" t="str">
        <v>FY010506</v>
      </c>
      <c r="B23" s="1" t="str">
        <v>销售费用_营销费用_品牌植入费(6601.36.17)</v>
      </c>
    </row>
    <row r="24">
      <c r="A24" s="1" t="str">
        <v>FY010507</v>
      </c>
      <c r="B24" s="1" t="str">
        <v>销售费用_营销费用_公关服务费(6601.36.36)</v>
      </c>
    </row>
    <row r="25">
      <c r="A25" s="1" t="str">
        <v>FY010601</v>
      </c>
      <c r="B25" s="1" t="str">
        <v>销售费用_营销费用_场地租赁费(6601.36.02)</v>
      </c>
    </row>
    <row r="26">
      <c r="A26" s="1" t="str">
        <v>FY010602</v>
      </c>
      <c r="B26" s="1" t="str">
        <v>销售费用_营销费用_设备租赁费(6601.36.19)</v>
      </c>
    </row>
    <row r="27">
      <c r="A27" s="1" t="str">
        <v>FY010603</v>
      </c>
      <c r="B27" s="1" t="str">
        <v>销售费用_营销费用_搭建服务费(6601.36.03)</v>
      </c>
    </row>
    <row r="28">
      <c r="A28" s="1" t="str">
        <v>FY010606</v>
      </c>
      <c r="B28" s="1" t="str">
        <v>销售费用_营销费用_公关礼品费(6601.36.09)</v>
      </c>
    </row>
    <row r="29">
      <c r="A29" s="1" t="str">
        <v>FY010607</v>
      </c>
      <c r="B29" s="1" t="str">
        <v>销售费用_日常费用_主播团队激励(6601.37.04)</v>
      </c>
    </row>
    <row r="30">
      <c r="A30" s="1" t="str">
        <v>FY010701</v>
      </c>
      <c r="B30" s="1" t="str">
        <v>销售费用_营销费用_线上推广费(6601.36.24)</v>
      </c>
    </row>
    <row r="31">
      <c r="A31" s="1" t="str">
        <v>FY010702</v>
      </c>
      <c r="B31" s="1" t="str">
        <v>销售费用_营销费用_线上推广费(6601.36.24)</v>
      </c>
    </row>
    <row r="32">
      <c r="A32" s="1" t="str">
        <v>FY010703</v>
      </c>
      <c r="B32" s="1" t="str">
        <v>销售费用_营销费用_代运营服务费(6601.36.05)</v>
      </c>
    </row>
    <row r="33">
      <c r="A33" s="1" t="str">
        <v>FY010704</v>
      </c>
      <c r="B33" s="1" t="str">
        <v>销售费用_营销费用_直播服务费(6601.36.28)</v>
      </c>
    </row>
    <row r="34">
      <c r="A34" s="1" t="str">
        <v>FY010705</v>
      </c>
      <c r="B34" s="1" t="str">
        <v>销售费用_营销费用_直播坑位费(6601.36.31)</v>
      </c>
    </row>
    <row r="35">
      <c r="A35" s="1" t="str">
        <v>FY010706</v>
      </c>
      <c r="B35" s="1" t="str">
        <v>销售费用_营销费用_线下推广费(6601.36.25)</v>
      </c>
    </row>
    <row r="36">
      <c r="A36" s="1" t="str">
        <v>FY010707</v>
      </c>
      <c r="B36" s="1" t="str">
        <v>销售费用_营销费用_代运营佣金(6601.36.06)</v>
      </c>
    </row>
    <row r="37">
      <c r="A37" s="1" t="str">
        <v>FY010708</v>
      </c>
      <c r="B37" s="1" t="str">
        <v>销售费用_营销费用_直播间物料费(6601.36.30)</v>
      </c>
    </row>
    <row r="38">
      <c r="A38" s="1" t="str">
        <v>FY010709</v>
      </c>
      <c r="B38" s="1" t="str">
        <v>销售费用_营销费用_直播间活动费(6601.36.29)</v>
      </c>
    </row>
    <row r="39">
      <c r="A39" s="1" t="str">
        <v>FY010610</v>
      </c>
      <c r="B39" s="1" t="str">
        <v>销售费用_营销费用_授权使用费(6601.36.40)</v>
      </c>
    </row>
    <row r="40">
      <c r="A40" s="1" t="str">
        <v>FY010611</v>
      </c>
      <c r="B40" s="1" t="str">
        <v>销售费用_营销费用_咨询服务费(6601.36.41)</v>
      </c>
    </row>
  </sheetData>
  <picture r:id="rId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1"/>
    <col collapsed="false" customWidth="true" hidden="false" max="2" min="2" style="0" width="21"/>
    <col collapsed="false" customWidth="true" hidden="false" max="3" min="3" style="0" width="21"/>
    <col collapsed="false" customWidth="true" hidden="false" max="4" min="4" style="0" width="21"/>
    <col collapsed="false" customWidth="true" hidden="false" max="5" min="5" style="0" width="23"/>
    <col collapsed="false" customWidth="true" hidden="false" max="6" min="6" style="0" width="25"/>
    <col collapsed="false" customWidth="true" hidden="false" max="7" min="7" style="0" width="40"/>
  </cols>
  <sheetData>
    <row r="1">
      <c r="A1" s="92" t="str">
        <v>费用大类</v>
      </c>
      <c r="B1" s="93" t="str">
        <v>费用大类编码</v>
      </c>
      <c r="C1" s="92" t="str">
        <v>费用小类</v>
      </c>
      <c r="D1" s="93" t="str">
        <v>费用小类编码</v>
      </c>
      <c r="E1" s="92" t="str">
        <v>费用类别</v>
      </c>
      <c r="F1" s="93" t="str">
        <v>费用类别编码</v>
      </c>
      <c r="G1" s="78" t="str">
        <v>核算科目</v>
      </c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</row>
    <row r="2">
      <c r="A2" s="76" t="str">
        <v>达人推广费</v>
      </c>
      <c r="B2" s="77" t="str">
        <v>FY0101</v>
      </c>
      <c r="C2" s="76" t="str">
        <v>内容推广费</v>
      </c>
      <c r="D2" s="74" t="str">
        <v>FY010101</v>
      </c>
      <c r="E2" s="76">
        <f>VLOOKUP(A2,'费用大小类列表'!B3:D288,3,FALSE)</f>
      </c>
      <c r="F2" s="77" t="str">
        <v>FY01</v>
      </c>
      <c r="G2" s="75">
        <f>VLOOKUP(D2,'映射'!$F$2:$G$39,2,FALSE)</f>
      </c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r="3">
      <c r="A3" s="79" t="str">
        <v>达人推广费</v>
      </c>
      <c r="B3" s="77" t="str">
        <v>FY0101</v>
      </c>
      <c r="C3" s="79" t="str">
        <v>达人合作费</v>
      </c>
      <c r="D3" s="74" t="str">
        <v>FY010102</v>
      </c>
      <c r="E3" s="76">
        <f>VLOOKUP(A3,'费用大小类列表'!B4:D289,3,FALSE)</f>
      </c>
      <c r="F3" s="77" t="str">
        <v>FY01</v>
      </c>
      <c r="G3" s="75">
        <f>VLOOKUP(D3,'映射'!$F$2:$G$39,2,FALSE)</f>
      </c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</row>
    <row r="4">
      <c r="A4" s="79" t="str">
        <v>达人推广费</v>
      </c>
      <c r="B4" s="77" t="str">
        <v>FY0101</v>
      </c>
      <c r="C4" s="79" t="str">
        <v>达人推广佣金</v>
      </c>
      <c r="D4" s="74" t="str">
        <v>FY010103</v>
      </c>
      <c r="E4" s="76">
        <f>VLOOKUP(A4,'费用大小类列表'!B5:D290,3,FALSE)</f>
      </c>
      <c r="F4" s="77" t="str">
        <v>FY01</v>
      </c>
      <c r="G4" s="75">
        <f>VLOOKUP(D4,'映射'!$F$2:$G$39,2,FALSE)</f>
      </c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</row>
    <row r="5">
      <c r="A5" s="79" t="str">
        <v>店铺运营费</v>
      </c>
      <c r="B5" s="77" t="str">
        <v>FY0102</v>
      </c>
      <c r="C5" s="79" t="str">
        <v>店铺服务费</v>
      </c>
      <c r="D5" s="77" t="str">
        <v>FY010201</v>
      </c>
      <c r="E5" s="76">
        <f>VLOOKUP(A5,'费用大小类列表'!B6:D291,3,FALSE)</f>
      </c>
      <c r="F5" s="77" t="str">
        <v>FY01</v>
      </c>
      <c r="G5" s="75">
        <f>VLOOKUP(D5,'映射'!$F$2:$G$39,2,FALSE)</f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</row>
    <row r="6">
      <c r="A6" s="79" t="str">
        <v>店铺运营费</v>
      </c>
      <c r="B6" s="77" t="str">
        <v>FY0102</v>
      </c>
      <c r="C6" s="79" t="str">
        <v>快递拦截费</v>
      </c>
      <c r="D6" s="77" t="str">
        <v>FY010202</v>
      </c>
      <c r="E6" s="76">
        <f>VLOOKUP(A6,'费用大小类列表'!B7:D292,3,FALSE)</f>
      </c>
      <c r="F6" s="77" t="str">
        <v>FY01</v>
      </c>
      <c r="G6" s="75">
        <f>VLOOKUP(D6,'映射'!$F$2:$G$39,2,FALSE)</f>
      </c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</row>
    <row r="7">
      <c r="A7" s="79" t="str">
        <v>店铺运营费</v>
      </c>
      <c r="B7" s="77" t="str">
        <v>FY0102</v>
      </c>
      <c r="C7" s="79" t="str">
        <v>代收保险费</v>
      </c>
      <c r="D7" s="77" t="str">
        <v>FY010203</v>
      </c>
      <c r="E7" s="76">
        <f>VLOOKUP(A7,'费用大小类列表'!B8:D293,3,FALSE)</f>
      </c>
      <c r="F7" s="77" t="str">
        <v>FY01</v>
      </c>
      <c r="G7" s="75">
        <f>VLOOKUP(D7,'映射'!$F$2:$G$39,2,FALSE)</f>
      </c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</row>
    <row r="8">
      <c r="A8" s="79" t="str">
        <v>店铺运营费</v>
      </c>
      <c r="B8" s="77" t="str">
        <v>FY0102</v>
      </c>
      <c r="C8" s="79" t="str">
        <v>支付服务费</v>
      </c>
      <c r="D8" s="77" t="str">
        <v>FY010204</v>
      </c>
      <c r="E8" s="76">
        <f>VLOOKUP(A8,'费用大小类列表'!B9:D294,3,FALSE)</f>
      </c>
      <c r="F8" s="77" t="str">
        <v>FY01</v>
      </c>
      <c r="G8" s="75">
        <f>VLOOKUP(D8,'映射'!$F$2:$G$39,2,FALSE)</f>
      </c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</row>
    <row r="9">
      <c r="A9" s="79" t="str">
        <v>店铺运营费</v>
      </c>
      <c r="B9" s="77" t="str">
        <v>FY0102</v>
      </c>
      <c r="C9" s="79" t="str">
        <v>平台技术服务费</v>
      </c>
      <c r="D9" s="77" t="str">
        <v>FY010205</v>
      </c>
      <c r="E9" s="76">
        <f>VLOOKUP(A9,'费用大小类列表'!B10:D295,3,FALSE)</f>
      </c>
      <c r="F9" s="77" t="str">
        <v>FY01</v>
      </c>
      <c r="G9" s="75">
        <f>VLOOKUP(D9,'映射'!$F$2:$G$39,2,FALSE)</f>
      </c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</row>
    <row r="10">
      <c r="A10" s="79" t="str">
        <v>店铺运营费</v>
      </c>
      <c r="B10" s="77" t="str">
        <v>FY0102</v>
      </c>
      <c r="C10" s="79" t="str">
        <v>支付手续费</v>
      </c>
      <c r="D10" s="77" t="str">
        <v>FY010206</v>
      </c>
      <c r="E10" s="76">
        <f>VLOOKUP(A10,'费用大小类列表'!B11:D296,3,FALSE)</f>
      </c>
      <c r="F10" s="77" t="str">
        <v>FY01</v>
      </c>
      <c r="G10" s="75">
        <f>VLOOKUP(D10,'映射'!$F$2:$G$39,2,FALSE)</f>
      </c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</row>
    <row r="11">
      <c r="A11" s="79" t="str">
        <v>店铺运营费</v>
      </c>
      <c r="B11" s="77" t="str">
        <v>FY0102</v>
      </c>
      <c r="C11" s="79" t="str">
        <v>平台软件费</v>
      </c>
      <c r="D11" s="77" t="str">
        <v>FY010207</v>
      </c>
      <c r="E11" s="76">
        <f>VLOOKUP(A11,'费用大小类列表'!B12:D297,3,FALSE)</f>
      </c>
      <c r="F11" s="77" t="str">
        <v>FY01</v>
      </c>
      <c r="G11" s="75">
        <f>VLOOKUP(D11,'映射'!$F$2:$G$39,2,FALSE)</f>
      </c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</row>
    <row r="12">
      <c r="A12" s="79" t="str">
        <v>媒介宣传费</v>
      </c>
      <c r="B12" s="77" t="str">
        <v>FY0103</v>
      </c>
      <c r="C12" s="79" t="str">
        <v>线上媒介费</v>
      </c>
      <c r="D12" s="77" t="str">
        <v>FY010301</v>
      </c>
      <c r="E12" s="76">
        <f>VLOOKUP(A12,'费用大小类列表'!B13:D298,3,FALSE)</f>
      </c>
      <c r="F12" s="77" t="str">
        <v>FY01</v>
      </c>
      <c r="G12" s="75">
        <f>VLOOKUP(D12,'映射'!$F$2:$G$39,2,FALSE)</f>
      </c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</row>
    <row r="13">
      <c r="A13" s="79" t="str">
        <v>媒介宣传费</v>
      </c>
      <c r="B13" s="77" t="str">
        <v>FY0103</v>
      </c>
      <c r="C13" s="79" t="str">
        <v>线下媒介费</v>
      </c>
      <c r="D13" s="77" t="str">
        <v>FY010302</v>
      </c>
      <c r="E13" s="76">
        <f>VLOOKUP(A13,'费用大小类列表'!B14:D299,3,FALSE)</f>
      </c>
      <c r="F13" s="77" t="str">
        <v>FY01</v>
      </c>
      <c r="G13" s="75">
        <f>VLOOKUP(D13,'映射'!$F$2:$G$39,2,FALSE)</f>
      </c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</row>
    <row r="14">
      <c r="A14" s="79" t="str">
        <v>媒介宣传费</v>
      </c>
      <c r="B14" s="77" t="str">
        <v>FY0103</v>
      </c>
      <c r="C14" s="79" t="str">
        <v>媒体宣发费</v>
      </c>
      <c r="D14" s="77" t="str">
        <v>FY010303</v>
      </c>
      <c r="E14" s="76">
        <f>VLOOKUP(A14,'费用大小类列表'!B15:D300,3,FALSE)</f>
      </c>
      <c r="F14" s="77" t="str">
        <v>FY01</v>
      </c>
      <c r="G14" s="75">
        <f>VLOOKUP(D14,'映射'!$F$2:$G$39,2,FALSE)</f>
      </c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</row>
    <row r="15">
      <c r="A15" s="79" t="str">
        <v>内容制作费</v>
      </c>
      <c r="B15" s="77" t="str">
        <v>FY0104</v>
      </c>
      <c r="C15" s="79" t="str">
        <v>视频制作费</v>
      </c>
      <c r="D15" s="77" t="str">
        <v>FY010401</v>
      </c>
      <c r="E15" s="76">
        <f>VLOOKUP(A15,'费用大小类列表'!B16:D301,3,FALSE)</f>
      </c>
      <c r="F15" s="77" t="str">
        <v>FY01</v>
      </c>
      <c r="G15" s="75">
        <f>VLOOKUP(D15,'映射'!$F$2:$G$39,2,FALSE)</f>
      </c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</row>
    <row r="16">
      <c r="A16" s="79" t="str">
        <v>内容制作费</v>
      </c>
      <c r="B16" s="77" t="str">
        <v>FY0104</v>
      </c>
      <c r="C16" s="79" t="str">
        <v>动画制作费</v>
      </c>
      <c r="D16" s="77" t="str">
        <v>FY010402</v>
      </c>
      <c r="E16" s="76">
        <f>VLOOKUP(A16,'费用大小类列表'!B17:D302,3,FALSE)</f>
      </c>
      <c r="F16" s="77" t="str">
        <v>FY01</v>
      </c>
      <c r="G16" s="75">
        <f>VLOOKUP(D16,'映射'!$F$2:$G$39,2,FALSE)</f>
      </c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</row>
    <row r="17">
      <c r="A17" s="79" t="str">
        <v>内容制作费</v>
      </c>
      <c r="B17" s="77" t="str">
        <v>FY0104</v>
      </c>
      <c r="C17" s="79" t="str">
        <v>图文平面制作费</v>
      </c>
      <c r="D17" s="77" t="str">
        <v>FY010403</v>
      </c>
      <c r="E17" s="76">
        <f>VLOOKUP(A17,'费用大小类列表'!B18:D303,3,FALSE)</f>
      </c>
      <c r="F17" s="77" t="str">
        <v>FY01</v>
      </c>
      <c r="G17" s="75">
        <f>VLOOKUP(D17,'映射'!$F$2:$G$39,2,FALSE)</f>
      </c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</row>
    <row r="18">
      <c r="A18" s="79" t="str">
        <v>内容制作费</v>
      </c>
      <c r="B18" s="77" t="str">
        <v>FY0104</v>
      </c>
      <c r="C18" s="79" t="str">
        <v>建模服务费</v>
      </c>
      <c r="D18" s="77" t="str">
        <v>FY010404</v>
      </c>
      <c r="E18" s="76">
        <f>VLOOKUP(A18,'费用大小类列表'!B19:D304,3,FALSE)</f>
      </c>
      <c r="F18" s="77" t="str">
        <v>FY01</v>
      </c>
      <c r="G18" s="75">
        <f>VLOOKUP(D18,'映射'!$F$2:$G$39,2,FALSE)</f>
      </c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</row>
    <row r="19">
      <c r="A19" s="79" t="str">
        <v>内容制作费</v>
      </c>
      <c r="B19" s="77" t="str">
        <v>FY0104</v>
      </c>
      <c r="C19" s="79" t="str">
        <v>渲染服务费</v>
      </c>
      <c r="D19" s="77" t="str">
        <v>FY010405</v>
      </c>
      <c r="E19" s="76">
        <f>VLOOKUP(A19,'费用大小类列表'!B20:D305,3,FALSE)</f>
      </c>
      <c r="F19" s="77" t="str">
        <v>FY01</v>
      </c>
      <c r="G19" s="75">
        <f>VLOOKUP(D19,'映射'!$F$2:$G$39,2,FALSE)</f>
      </c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</row>
    <row r="20">
      <c r="A20" s="79" t="str">
        <v>内容制作费</v>
      </c>
      <c r="B20" s="77" t="str">
        <v>FY0104</v>
      </c>
      <c r="C20" s="79" t="str">
        <v>模特服务费</v>
      </c>
      <c r="D20" s="77" t="str">
        <v>FY010406</v>
      </c>
      <c r="E20" s="76">
        <f>VLOOKUP(A20,'费用大小类列表'!B21:D306,3,FALSE)</f>
      </c>
      <c r="F20" s="77" t="str">
        <v>FY01</v>
      </c>
      <c r="G20" s="75">
        <f>VLOOKUP(D20,'映射'!$F$2:$G$39,2,FALSE)</f>
      </c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</row>
    <row r="21">
      <c r="A21" s="79" t="str">
        <v>内容制作费</v>
      </c>
      <c r="B21" s="77" t="str">
        <v>FY0104</v>
      </c>
      <c r="C21" s="79" t="str">
        <v>专业人物合作费</v>
      </c>
      <c r="D21" s="77" t="str">
        <v>FY010407</v>
      </c>
      <c r="E21" s="76">
        <f>VLOOKUP(A21,'费用大小类列表'!B22:D307,3,FALSE)</f>
      </c>
      <c r="F21" s="77" t="str">
        <v>FY01</v>
      </c>
      <c r="G21" s="75">
        <f>VLOOKUP(D21,'映射'!$F$2:$G$39,2,FALSE)</f>
      </c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</row>
    <row r="22">
      <c r="A22" s="79" t="str">
        <v>内容制作费</v>
      </c>
      <c r="B22" s="77" t="str">
        <v>FY0104</v>
      </c>
      <c r="C22" s="79" t="str">
        <v>服化道费用</v>
      </c>
      <c r="D22" s="77" t="str">
        <v>FY010408</v>
      </c>
      <c r="E22" s="76">
        <f>VLOOKUP(A22,'费用大小类列表'!B23:D308,3,FALSE)</f>
      </c>
      <c r="F22" s="77" t="str">
        <v>FY01</v>
      </c>
      <c r="G22" s="75">
        <f>VLOOKUP(D22,'映射'!$F$2:$G$39,2,FALSE)</f>
      </c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</row>
    <row r="23">
      <c r="A23" s="79" t="str">
        <v>内容制作费</v>
      </c>
      <c r="B23" s="77" t="str">
        <v>FY0104</v>
      </c>
      <c r="C23" s="79" t="str">
        <v>拍摄服务费</v>
      </c>
      <c r="D23" s="77" t="str">
        <v>FY010409</v>
      </c>
      <c r="E23" s="76">
        <f>VLOOKUP(A23,'费用大小类列表'!B24:D309,3,FALSE)</f>
      </c>
      <c r="F23" s="77" t="str">
        <v>FY01</v>
      </c>
      <c r="G23" s="75">
        <f>VLOOKUP(D23,'映射'!$F$2:$G$39,2,FALSE)</f>
      </c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</row>
    <row r="24">
      <c r="A24" s="79" t="str">
        <v>内容制作费</v>
      </c>
      <c r="B24" s="77" t="str">
        <v>FY0104</v>
      </c>
      <c r="C24" s="79" t="str">
        <v>拍摄物料费</v>
      </c>
      <c r="D24" s="77" t="str">
        <v>FY010410</v>
      </c>
      <c r="E24" s="76">
        <f>VLOOKUP(A24,'费用大小类列表'!B25:D310,3,FALSE)</f>
      </c>
      <c r="F24" s="77" t="str">
        <v>FY01</v>
      </c>
      <c r="G24" s="75">
        <f>VLOOKUP(D24,'映射'!$F$2:$G$39,2,FALSE)</f>
      </c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</row>
    <row r="25">
      <c r="A25" s="79" t="str">
        <v>内容制作费</v>
      </c>
      <c r="B25" s="77" t="str">
        <v>FY0104</v>
      </c>
      <c r="C25" s="79" t="str">
        <v>内容制作费</v>
      </c>
      <c r="D25" s="77" t="str">
        <v>FY010411</v>
      </c>
      <c r="E25" s="76">
        <f>VLOOKUP(A25,'费用大小类列表'!B26:D311,3,FALSE)</f>
      </c>
      <c r="F25" s="77" t="str">
        <v>FY01</v>
      </c>
      <c r="G25" s="75">
        <f>VLOOKUP(D25,'映射'!$F$2:$G$39,2,FALSE)</f>
      </c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</row>
    <row r="26">
      <c r="A26" s="79" t="str">
        <v>内容制作费</v>
      </c>
      <c r="B26" s="77" t="str">
        <v>FY0104</v>
      </c>
      <c r="C26" s="79" t="str">
        <v>视觉设计费</v>
      </c>
      <c r="D26" s="77" t="str">
        <v>FY010412</v>
      </c>
      <c r="E26" s="76">
        <f>VLOOKUP(A26,'费用大小类列表'!B27:D312,3,FALSE)</f>
      </c>
      <c r="F26" s="77" t="str">
        <v>FY01</v>
      </c>
      <c r="G26" s="75">
        <f>VLOOKUP(D26,'映射'!$F$2:$G$39,2,FALSE)</f>
      </c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</row>
    <row r="27">
      <c r="A27" s="79" t="str">
        <v>品牌宣传费</v>
      </c>
      <c r="B27" s="77" t="str">
        <v>FY0105</v>
      </c>
      <c r="C27" s="79" t="str">
        <v>市场调研费</v>
      </c>
      <c r="D27" s="77" t="str">
        <v>FY010501</v>
      </c>
      <c r="E27" s="76">
        <f>VLOOKUP(A27,'费用大小类列表'!B28:D313,3,FALSE)</f>
      </c>
      <c r="F27" s="77" t="str">
        <v>FY01</v>
      </c>
      <c r="G27" s="75">
        <f>VLOOKUP(D27,'映射'!$F$2:$G$39,2,FALSE)</f>
      </c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</row>
    <row r="28">
      <c r="A28" s="79" t="str">
        <v>品牌宣传费</v>
      </c>
      <c r="B28" s="77" t="str">
        <v>FY0105</v>
      </c>
      <c r="C28" s="79" t="str">
        <v>明星合作费</v>
      </c>
      <c r="D28" s="77" t="str">
        <v>FY010502</v>
      </c>
      <c r="E28" s="76">
        <f>VLOOKUP(A28,'费用大小类列表'!B29:D314,3,FALSE)</f>
      </c>
      <c r="F28" s="77" t="str">
        <v>FY01</v>
      </c>
      <c r="G28" s="75">
        <f>VLOOKUP(D28,'映射'!$F$2:$G$39,2,FALSE)</f>
      </c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</row>
    <row r="29">
      <c r="A29" s="79" t="str">
        <v>品牌宣传费</v>
      </c>
      <c r="B29" s="77" t="str">
        <v>FY0105</v>
      </c>
      <c r="C29" s="79" t="str">
        <v>创意策划服务费</v>
      </c>
      <c r="D29" s="77" t="str">
        <v>FY010503</v>
      </c>
      <c r="E29" s="76">
        <f>VLOOKUP(A29,'费用大小类列表'!B30:D315,3,FALSE)</f>
      </c>
      <c r="F29" s="77" t="str">
        <v>FY01</v>
      </c>
      <c r="G29" s="75">
        <f>VLOOKUP(D29,'映射'!$F$2:$G$39,2,FALSE)</f>
      </c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</row>
    <row r="30">
      <c r="A30" s="79" t="str">
        <v>品牌宣传费</v>
      </c>
      <c r="B30" s="77" t="str">
        <v>FY0105</v>
      </c>
      <c r="C30" s="79" t="str">
        <v>市场调研费</v>
      </c>
      <c r="D30" s="77" t="str">
        <v>FY010501</v>
      </c>
      <c r="E30" s="76">
        <f>VLOOKUP(A30,'费用大小类列表'!B31:D316,3,FALSE)</f>
      </c>
      <c r="F30" s="77" t="str">
        <v>FY01</v>
      </c>
      <c r="G30" s="75">
        <f>VLOOKUP(D30,'映射'!$F$2:$G$39,2,FALSE)</f>
      </c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</row>
    <row r="31">
      <c r="A31" s="79" t="str">
        <v>品牌宣传费</v>
      </c>
      <c r="B31" s="77" t="str">
        <v>FY0105</v>
      </c>
      <c r="C31" s="79" t="str">
        <v>活动策划服务费</v>
      </c>
      <c r="D31" s="77" t="str">
        <v>FY010504</v>
      </c>
      <c r="E31" s="76">
        <f>VLOOKUP(A31,'费用大小类列表'!B32:D317,3,FALSE)</f>
      </c>
      <c r="F31" s="77" t="str">
        <v>FY01</v>
      </c>
      <c r="G31" s="75">
        <f>VLOOKUP(D31,'映射'!$F$2:$G$39,2,FALSE)</f>
      </c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</row>
    <row r="32">
      <c r="A32" s="79" t="str">
        <v>品牌宣传费</v>
      </c>
      <c r="B32" s="77" t="str">
        <v>FY0105</v>
      </c>
      <c r="C32" s="79" t="str">
        <v>营销宣传费</v>
      </c>
      <c r="D32" s="77" t="str">
        <v>FY010505</v>
      </c>
      <c r="E32" s="76">
        <f>VLOOKUP(A32,'费用大小类列表'!B33:D318,3,FALSE)</f>
      </c>
      <c r="F32" s="77" t="str">
        <v>FY01</v>
      </c>
      <c r="G32" s="75">
        <f>VLOOKUP(D32,'映射'!$F$2:$G$39,2,FALSE)</f>
      </c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</row>
    <row r="33">
      <c r="A33" s="79" t="str">
        <v>品牌宣传费</v>
      </c>
      <c r="B33" s="77" t="str">
        <v>FY0105</v>
      </c>
      <c r="C33" s="79" t="str">
        <v>品牌植入费</v>
      </c>
      <c r="D33" s="77" t="str">
        <v>FY010506</v>
      </c>
      <c r="E33" s="76">
        <f>VLOOKUP(A33,'费用大小类列表'!B34:D319,3,FALSE)</f>
      </c>
      <c r="F33" s="77" t="str">
        <v>FY01</v>
      </c>
      <c r="G33" s="75">
        <f>VLOOKUP(D33,'映射'!$F$2:$G$39,2,FALSE)</f>
      </c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</row>
    <row r="34">
      <c r="A34" s="79" t="str">
        <v>品牌宣传费</v>
      </c>
      <c r="B34" s="77" t="str">
        <v>FY0105</v>
      </c>
      <c r="C34" s="79" t="str">
        <v>明星合作费</v>
      </c>
      <c r="D34" s="77" t="str">
        <v>FY010502</v>
      </c>
      <c r="E34" s="76">
        <f>VLOOKUP(A34,'费用大小类列表'!B35:D320,3,FALSE)</f>
      </c>
      <c r="F34" s="77" t="str">
        <v>FY01</v>
      </c>
      <c r="G34" s="75">
        <f>VLOOKUP(D34,'映射'!$F$2:$G$39,2,FALSE)</f>
      </c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</row>
    <row r="35">
      <c r="A35" s="79" t="str">
        <v>品牌宣传费</v>
      </c>
      <c r="B35" s="77" t="str">
        <v>FY0105</v>
      </c>
      <c r="C35" s="79" t="str">
        <v>公关服务费</v>
      </c>
      <c r="D35" s="77" t="str">
        <v>FY010507</v>
      </c>
      <c r="E35" s="76">
        <f>VLOOKUP(A35,'费用大小类列表'!B36:D321,3,FALSE)</f>
      </c>
      <c r="F35" s="77" t="str">
        <v>FY01</v>
      </c>
      <c r="G35" s="75">
        <f>VLOOKUP(D35,'映射'!$F$2:$G$39,2,FALSE)</f>
      </c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</row>
    <row r="36">
      <c r="A36" s="79" t="str">
        <v>其他费用</v>
      </c>
      <c r="B36" s="77" t="str">
        <v>FY0106</v>
      </c>
      <c r="C36" s="79" t="str">
        <v>场地租赁费</v>
      </c>
      <c r="D36" s="77" t="str">
        <v>FY010601</v>
      </c>
      <c r="E36" s="76">
        <f>VLOOKUP(A36,'费用大小类列表'!B37:D322,3,FALSE)</f>
      </c>
      <c r="F36" s="77" t="str">
        <v>FY01</v>
      </c>
      <c r="G36" s="75">
        <f>VLOOKUP(D36,'映射'!$F$2:$G$39,2,FALSE)</f>
      </c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</row>
    <row r="37">
      <c r="A37" s="79" t="str">
        <v>其他费用</v>
      </c>
      <c r="B37" s="77" t="str">
        <v>FY0106</v>
      </c>
      <c r="C37" s="79" t="str">
        <v>设备租赁费</v>
      </c>
      <c r="D37" s="77" t="str">
        <v>FY010602</v>
      </c>
      <c r="E37" s="76">
        <f>VLOOKUP(A37,'费用大小类列表'!B38:D323,3,FALSE)</f>
      </c>
      <c r="F37" s="77" t="str">
        <v>FY01</v>
      </c>
      <c r="G37" s="75">
        <f>VLOOKUP(D37,'映射'!$F$2:$G$39,2,FALSE)</f>
      </c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</row>
    <row r="38">
      <c r="A38" s="79" t="str">
        <v>其他费用</v>
      </c>
      <c r="B38" s="77" t="str">
        <v>FY0106</v>
      </c>
      <c r="C38" s="79" t="str">
        <v>舞台场地搭建费</v>
      </c>
      <c r="D38" s="77" t="str">
        <v>FY010603</v>
      </c>
      <c r="E38" s="76">
        <f>VLOOKUP(A38,'费用大小类列表'!B39:D324,3,FALSE)</f>
      </c>
      <c r="F38" s="77" t="str">
        <v>FY01</v>
      </c>
      <c r="G38" s="75">
        <f>VLOOKUP(D38,'映射'!$F$2:$G$39,2,FALSE)</f>
      </c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</row>
    <row r="39">
      <c r="A39" s="79" t="str">
        <v>其他费用</v>
      </c>
      <c r="B39" s="77" t="str">
        <v>FY0106</v>
      </c>
      <c r="C39" s="79" t="str">
        <v>日常营运费用</v>
      </c>
      <c r="D39" s="77" t="str">
        <v>FY010604</v>
      </c>
      <c r="E39" s="76">
        <f>VLOOKUP(A39,'费用大小类列表'!B40:D325,3,FALSE)</f>
      </c>
      <c r="F39" s="77" t="str">
        <v>FY01</v>
      </c>
      <c r="G39" s="75">
        <f>VLOOKUP(D39,'映射'!$F$2:$G$39,2,FALSE)</f>
      </c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</row>
    <row r="40">
      <c r="A40" s="89" t="str">
        <v>其他费用</v>
      </c>
      <c r="B40" s="77" t="str">
        <v>FY0106</v>
      </c>
      <c r="C40" s="79" t="str">
        <v>明星差旅费</v>
      </c>
      <c r="D40" s="77" t="str">
        <v>FY010605</v>
      </c>
      <c r="E40" s="76">
        <f>VLOOKUP(A40,'费用大小类列表'!B41:D326,3,FALSE)</f>
      </c>
      <c r="F40" s="77" t="str">
        <v>FY01</v>
      </c>
      <c r="G40" s="75">
        <f>VLOOKUP(D40,'映射'!$F$2:$G$39,2,FALSE)</f>
      </c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</row>
    <row r="41">
      <c r="A41" s="79" t="str">
        <v>其他费用</v>
      </c>
      <c r="B41" s="77" t="str">
        <v>FY0106</v>
      </c>
      <c r="C41" s="79" t="str">
        <v>公关礼品费</v>
      </c>
      <c r="D41" s="77" t="str">
        <v>FY010606</v>
      </c>
      <c r="E41" s="76">
        <f>VLOOKUP(A41,'费用大小类列表'!B42:D327,3,FALSE)</f>
      </c>
      <c r="F41" s="77" t="str">
        <v>FY01</v>
      </c>
      <c r="G41" s="75">
        <f>VLOOKUP(D41,'映射'!$F$2:$G$39,2,FALSE)</f>
      </c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</row>
    <row r="42">
      <c r="A42" s="79" t="str">
        <v>其他费用</v>
      </c>
      <c r="B42" s="77" t="str">
        <v>FY0106</v>
      </c>
      <c r="C42" s="79" t="str">
        <v>主播团队激励</v>
      </c>
      <c r="D42" s="77" t="str">
        <v>FY010607</v>
      </c>
      <c r="E42" s="76">
        <f>VLOOKUP(A42,'费用大小类列表'!B43:D328,3,FALSE)</f>
      </c>
      <c r="F42" s="77" t="str">
        <v>FY01</v>
      </c>
      <c r="G42" s="75">
        <f>VLOOKUP(D42,'映射'!$F$2:$G$39,2,FALSE)</f>
      </c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</row>
    <row r="43">
      <c r="A43" s="79" t="str">
        <v>其他费用</v>
      </c>
      <c r="B43" s="77" t="str">
        <v>FY0106</v>
      </c>
      <c r="C43" s="79" t="str">
        <v>培训费</v>
      </c>
      <c r="D43" s="77" t="str">
        <v>FY010608</v>
      </c>
      <c r="E43" s="76">
        <f>VLOOKUP(A43,'费用大小类列表'!B44:D329,3,FALSE)</f>
      </c>
      <c r="F43" s="77" t="str">
        <v>FY01</v>
      </c>
      <c r="G43" s="75">
        <f>VLOOKUP(D43,'映射'!$F$2:$G$39,2,FALSE)</f>
      </c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</row>
    <row customHeight="true" ht="19" r="44">
      <c r="A44" s="79" t="str">
        <v>其他费用</v>
      </c>
      <c r="B44" s="77" t="str">
        <v>FY0106</v>
      </c>
      <c r="C44" s="83" t="str" xml:space="preserve">
        <v>
竞品采买
 </v>
      </c>
      <c r="D44" s="77" t="str">
        <v>FY010609</v>
      </c>
      <c r="E44" s="76">
        <f>VLOOKUP(A44,'费用大小类列表'!B45:D330,3,FALSE)</f>
      </c>
      <c r="F44" s="77" t="str">
        <v>FY01</v>
      </c>
      <c r="G44" s="75">
        <f>VLOOKUP(D44,'映射'!$F$2:$G$39,2,FALSE)</f>
      </c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</row>
    <row customHeight="true" ht="19" r="45">
      <c r="A45" s="86" t="str">
        <v>其他费用</v>
      </c>
      <c r="B45" s="88" t="str">
        <v>FY0106</v>
      </c>
      <c r="C45" s="87" t="str">
        <v>授权使用费</v>
      </c>
      <c r="D45" s="88" t="str">
        <v>FY010610</v>
      </c>
      <c r="E45" s="88"/>
      <c r="F45" s="88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</row>
    <row customHeight="true" ht="19" r="46">
      <c r="A46" s="86" t="str">
        <v>其他费用</v>
      </c>
      <c r="B46" s="88" t="str">
        <v>FY0106</v>
      </c>
      <c r="C46" s="87" t="str">
        <v>咨询服务费</v>
      </c>
      <c r="D46" s="88" t="str">
        <v>FY010611</v>
      </c>
      <c r="E46" s="88"/>
      <c r="F46" s="88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</row>
    <row r="47">
      <c r="A47" s="79" t="str">
        <v>渠道推广费</v>
      </c>
      <c r="B47" s="77" t="str">
        <v>FY0107</v>
      </c>
      <c r="C47" s="83" t="str">
        <v>站内推广费</v>
      </c>
      <c r="D47" s="77" t="str">
        <v>FY010701</v>
      </c>
      <c r="E47" s="76">
        <f>VLOOKUP(A47,'费用大小类列表'!B45:D330,3,FALSE)</f>
      </c>
      <c r="F47" s="77" t="str">
        <v>FY01</v>
      </c>
      <c r="G47" s="75">
        <f>VLOOKUP(D47,'映射'!$F$2:$G$39,2,FALSE)</f>
      </c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</row>
    <row r="48">
      <c r="A48" s="79" t="str">
        <v>渠道推广费</v>
      </c>
      <c r="B48" s="77" t="str">
        <v>FY0107</v>
      </c>
      <c r="C48" s="83" t="str">
        <v>站外推广费</v>
      </c>
      <c r="D48" s="77" t="str">
        <v>FY010702</v>
      </c>
      <c r="E48" s="76">
        <f>VLOOKUP(A48,'费用大小类列表'!B46:D331,3,FALSE)</f>
      </c>
      <c r="F48" s="77" t="str">
        <v>FY01</v>
      </c>
      <c r="G48" s="75">
        <f>VLOOKUP(D48,'映射'!$F$2:$G$39,2,FALSE)</f>
      </c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</row>
    <row r="49">
      <c r="A49" s="79" t="str">
        <v>渠道推广费</v>
      </c>
      <c r="B49" s="77" t="str">
        <v>FY0107</v>
      </c>
      <c r="C49" s="79" t="str">
        <v>代运营服务费</v>
      </c>
      <c r="D49" s="77" t="str">
        <v>FY010703</v>
      </c>
      <c r="E49" s="76">
        <f>VLOOKUP(A49,'费用大小类列表'!B47:D332,3,FALSE)</f>
      </c>
      <c r="F49" s="77" t="str">
        <v>FY01</v>
      </c>
      <c r="G49" s="75">
        <f>VLOOKUP(D49,'映射'!$F$2:$G$39,2,FALSE)</f>
      </c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</row>
    <row r="50">
      <c r="A50" s="79" t="str">
        <v>渠道推广费</v>
      </c>
      <c r="B50" s="77" t="str">
        <v>FY0107</v>
      </c>
      <c r="C50" s="83" t="str">
        <v>直播服务费</v>
      </c>
      <c r="D50" s="77" t="str">
        <v>FY010704</v>
      </c>
      <c r="E50" s="76">
        <f>VLOOKUP(A50,'费用大小类列表'!B48:D333,3,FALSE)</f>
      </c>
      <c r="F50" s="77" t="str">
        <v>FY01</v>
      </c>
      <c r="G50" s="75">
        <f>VLOOKUP(D50,'映射'!$F$2:$G$39,2,FALSE)</f>
      </c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</row>
    <row r="51">
      <c r="A51" s="79" t="str">
        <v>渠道推广费</v>
      </c>
      <c r="B51" s="77" t="str">
        <v>FY0107</v>
      </c>
      <c r="C51" s="83" t="str">
        <v>直播坑位费</v>
      </c>
      <c r="D51" s="77" t="str">
        <v>FY010705</v>
      </c>
      <c r="E51" s="76">
        <f>VLOOKUP(A51,'费用大小类列表'!B49:D334,3,FALSE)</f>
      </c>
      <c r="F51" s="77" t="str">
        <v>FY01</v>
      </c>
      <c r="G51" s="75">
        <f>VLOOKUP(D51,'映射'!$F$2:$G$39,2,FALSE)</f>
      </c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</row>
    <row r="52">
      <c r="A52" s="79" t="str">
        <v>渠道推广费</v>
      </c>
      <c r="B52" s="77" t="str">
        <v>FY0107</v>
      </c>
      <c r="C52" s="83" t="str">
        <v>线下推广费</v>
      </c>
      <c r="D52" s="77" t="str">
        <v>FY010706</v>
      </c>
      <c r="E52" s="76">
        <f>VLOOKUP(A52,'费用大小类列表'!B50:D335,3,FALSE)</f>
      </c>
      <c r="F52" s="77" t="str">
        <v>FY01</v>
      </c>
      <c r="G52" s="75">
        <f>VLOOKUP(D52,'映射'!$F$2:$G$39,2,FALSE)</f>
      </c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</row>
    <row r="53">
      <c r="A53" s="79" t="str">
        <v>渠道推广费</v>
      </c>
      <c r="B53" s="77" t="str">
        <v>FY0107</v>
      </c>
      <c r="C53" s="79" t="str">
        <v>代运营佣金</v>
      </c>
      <c r="D53" s="77" t="str">
        <v>FY010707</v>
      </c>
      <c r="E53" s="76">
        <f>VLOOKUP(A53,'费用大小类列表'!B51:D336,3,FALSE)</f>
      </c>
      <c r="F53" s="77" t="str">
        <v>FY01</v>
      </c>
      <c r="G53" s="75">
        <f>VLOOKUP(D53,'映射'!$F$2:$G$39,2,FALSE)</f>
      </c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</row>
    <row r="54">
      <c r="A54" s="79" t="str">
        <v>渠道推广费</v>
      </c>
      <c r="B54" s="77" t="str">
        <v>FY0107</v>
      </c>
      <c r="C54" s="79" t="str">
        <v>直播间物料费</v>
      </c>
      <c r="D54" s="77" t="str">
        <v>FY010708</v>
      </c>
      <c r="E54" s="76">
        <f>VLOOKUP(A54,'费用大小类列表'!B52:D337,3,FALSE)</f>
      </c>
      <c r="F54" s="77" t="str">
        <v>FY01</v>
      </c>
      <c r="G54" s="75">
        <f>VLOOKUP(D54,'映射'!$F$2:$G$39,2,FALSE)</f>
      </c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</row>
    <row r="55">
      <c r="A55" s="79" t="str">
        <v>渠道推广费</v>
      </c>
      <c r="B55" s="77" t="str">
        <v>FY0107</v>
      </c>
      <c r="C55" s="79" t="str">
        <v>直播间活动费</v>
      </c>
      <c r="D55" s="77" t="str">
        <v>FY010709</v>
      </c>
      <c r="E55" s="76">
        <f>VLOOKUP(A55,'费用大小类列表'!B53:D338,3,FALSE)</f>
      </c>
      <c r="F55" s="77" t="str">
        <v>FY01</v>
      </c>
      <c r="G55" s="75">
        <f>VLOOKUP(D55,'映射'!$F$2:$G$39,2,FALSE)</f>
      </c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</row>
    <row r="56">
      <c r="A56" s="76"/>
      <c r="B56" s="81"/>
      <c r="C56" s="78"/>
      <c r="D56" s="77"/>
      <c r="E56" s="76"/>
      <c r="F56" s="94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</row>
    <row r="57">
      <c r="A57" s="76"/>
      <c r="B57" s="81"/>
      <c r="C57" s="78"/>
      <c r="D57" s="74"/>
      <c r="E57" s="76"/>
      <c r="F57" s="77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</row>
    <row r="58">
      <c r="A58" s="76"/>
      <c r="B58" s="77"/>
      <c r="C58" s="78"/>
      <c r="D58" s="74"/>
      <c r="E58" s="76"/>
      <c r="F58" s="77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</row>
    <row r="59">
      <c r="A59" s="76"/>
      <c r="B59" s="81"/>
      <c r="C59" s="78"/>
      <c r="D59" s="74"/>
      <c r="E59" s="76"/>
      <c r="F59" s="77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</row>
    <row r="60">
      <c r="A60" s="76"/>
      <c r="B60" s="81"/>
      <c r="C60" s="78"/>
      <c r="D60" s="74"/>
      <c r="E60" s="76"/>
      <c r="F60" s="77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</row>
    <row r="61">
      <c r="A61" s="76"/>
      <c r="B61" s="81"/>
      <c r="C61" s="78"/>
      <c r="D61" s="74"/>
      <c r="E61" s="76"/>
      <c r="F61" s="77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</row>
    <row r="62">
      <c r="A62" s="76"/>
      <c r="B62" s="81"/>
      <c r="C62" s="78"/>
      <c r="D62" s="74"/>
      <c r="E62" s="76"/>
      <c r="F62" s="77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</row>
    <row r="63">
      <c r="A63" s="76"/>
      <c r="B63" s="81"/>
      <c r="C63" s="78"/>
      <c r="D63" s="74"/>
      <c r="E63" s="76"/>
      <c r="F63" s="77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</row>
    <row r="64">
      <c r="A64" s="76"/>
      <c r="B64" s="81"/>
      <c r="C64" s="78"/>
      <c r="D64" s="74"/>
      <c r="E64" s="76"/>
      <c r="F64" s="77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</row>
    <row r="65">
      <c r="A65" s="76"/>
      <c r="B65" s="81"/>
      <c r="C65" s="78"/>
      <c r="D65" s="74"/>
      <c r="E65" s="76"/>
      <c r="F65" s="77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</row>
    <row r="66">
      <c r="A66" s="76"/>
      <c r="B66" s="81"/>
      <c r="C66" s="78"/>
      <c r="D66" s="74"/>
      <c r="E66" s="76"/>
      <c r="F66" s="77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</row>
    <row r="67">
      <c r="A67" s="76"/>
      <c r="B67" s="81"/>
      <c r="C67" s="78"/>
      <c r="D67" s="74"/>
      <c r="E67" s="76"/>
      <c r="F67" s="77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</row>
    <row r="68">
      <c r="A68" s="76"/>
      <c r="B68" s="81"/>
      <c r="C68" s="78"/>
      <c r="D68" s="74"/>
      <c r="E68" s="76"/>
      <c r="F68" s="77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</row>
    <row r="69">
      <c r="A69" s="76"/>
      <c r="B69" s="81"/>
      <c r="C69" s="78"/>
      <c r="D69" s="74"/>
      <c r="E69" s="76"/>
      <c r="F69" s="77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</row>
    <row r="70">
      <c r="A70" s="76"/>
      <c r="B70" s="77"/>
      <c r="C70" s="78"/>
      <c r="D70" s="74"/>
      <c r="E70" s="76"/>
      <c r="F70" s="77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</row>
    <row r="71">
      <c r="A71" s="80"/>
      <c r="B71" s="77"/>
      <c r="C71" s="78"/>
      <c r="D71" s="74"/>
      <c r="E71" s="80"/>
      <c r="F71" s="77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</row>
    <row r="72">
      <c r="A72" s="76"/>
      <c r="B72" s="77"/>
      <c r="C72" s="78"/>
      <c r="D72" s="74"/>
      <c r="E72" s="76"/>
      <c r="F72" s="77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</row>
    <row r="73">
      <c r="A73" s="76"/>
      <c r="B73" s="77"/>
      <c r="C73" s="78"/>
      <c r="D73" s="74"/>
      <c r="E73" s="76"/>
      <c r="F73" s="77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</row>
    <row r="74">
      <c r="A74" s="76"/>
      <c r="B74" s="77"/>
      <c r="C74" s="78"/>
      <c r="D74" s="74"/>
      <c r="E74" s="76"/>
      <c r="F74" s="77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</row>
    <row r="75">
      <c r="A75" s="76"/>
      <c r="B75" s="77"/>
      <c r="C75" s="78"/>
      <c r="D75" s="74"/>
      <c r="E75" s="76"/>
      <c r="F75" s="77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</row>
    <row r="76">
      <c r="A76" s="76"/>
      <c r="B76" s="77"/>
      <c r="C76" s="78"/>
      <c r="D76" s="74"/>
      <c r="E76" s="76"/>
      <c r="F76" s="77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</row>
    <row r="77">
      <c r="A77" s="76"/>
      <c r="B77" s="77"/>
      <c r="C77" s="78"/>
      <c r="D77" s="74"/>
      <c r="E77" s="76"/>
      <c r="F77" s="77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</row>
    <row r="78">
      <c r="A78" s="76"/>
      <c r="B78" s="77"/>
      <c r="C78" s="78"/>
      <c r="D78" s="74"/>
      <c r="E78" s="76"/>
      <c r="F78" s="77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</row>
    <row r="79">
      <c r="A79" s="76"/>
      <c r="B79" s="77"/>
      <c r="C79" s="78"/>
      <c r="D79" s="74"/>
      <c r="E79" s="76"/>
      <c r="F79" s="77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</row>
    <row r="80">
      <c r="A80" s="76"/>
      <c r="B80" s="77"/>
      <c r="C80" s="78"/>
      <c r="D80" s="74"/>
      <c r="E80" s="76"/>
      <c r="F80" s="77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</row>
    <row r="81">
      <c r="A81" s="76"/>
      <c r="B81" s="77"/>
      <c r="C81" s="78"/>
      <c r="D81" s="74"/>
      <c r="E81" s="76"/>
      <c r="F81" s="77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</row>
    <row r="82">
      <c r="A82" s="76"/>
      <c r="B82" s="77"/>
      <c r="C82" s="78"/>
      <c r="D82" s="74"/>
      <c r="E82" s="76"/>
      <c r="F82" s="77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</row>
    <row r="83">
      <c r="A83" s="76"/>
      <c r="B83" s="77"/>
      <c r="C83" s="78"/>
      <c r="D83" s="74"/>
      <c r="E83" s="76"/>
      <c r="F83" s="77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</row>
    <row r="84">
      <c r="A84" s="76"/>
      <c r="B84" s="77"/>
      <c r="C84" s="78"/>
      <c r="D84" s="74"/>
      <c r="E84" s="76"/>
      <c r="F84" s="77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</row>
    <row r="85">
      <c r="A85" s="76"/>
      <c r="B85" s="77"/>
      <c r="C85" s="78"/>
      <c r="D85" s="74"/>
      <c r="E85" s="76"/>
      <c r="F85" s="77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</row>
    <row r="86">
      <c r="A86" s="76"/>
      <c r="B86" s="77"/>
      <c r="C86" s="78"/>
      <c r="D86" s="74"/>
      <c r="E86" s="76"/>
      <c r="F86" s="77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</row>
    <row r="87">
      <c r="A87" s="76"/>
      <c r="B87" s="77"/>
      <c r="C87" s="78"/>
      <c r="D87" s="74"/>
      <c r="E87" s="76"/>
      <c r="F87" s="77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</row>
    <row r="88">
      <c r="A88" s="76"/>
      <c r="B88" s="77"/>
      <c r="C88" s="78"/>
      <c r="D88" s="74"/>
      <c r="E88" s="76"/>
      <c r="F88" s="77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</row>
    <row r="89">
      <c r="A89" s="76"/>
      <c r="B89" s="77"/>
      <c r="C89" s="78"/>
      <c r="D89" s="74"/>
      <c r="E89" s="76"/>
      <c r="F89" s="77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</row>
    <row r="90">
      <c r="A90" s="76"/>
      <c r="B90" s="77"/>
      <c r="C90" s="78"/>
      <c r="D90" s="74"/>
      <c r="E90" s="76"/>
      <c r="F90" s="77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</row>
    <row r="91">
      <c r="A91" s="76"/>
      <c r="B91" s="77"/>
      <c r="C91" s="78"/>
      <c r="D91" s="74"/>
      <c r="E91" s="76"/>
      <c r="F91" s="77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</row>
    <row r="92">
      <c r="A92" s="76"/>
      <c r="B92" s="77"/>
      <c r="C92" s="78"/>
      <c r="D92" s="74"/>
      <c r="E92" s="76"/>
      <c r="F92" s="77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</row>
    <row r="93">
      <c r="A93" s="76"/>
      <c r="B93" s="77"/>
      <c r="C93" s="78"/>
      <c r="D93" s="74"/>
      <c r="E93" s="76"/>
      <c r="F93" s="77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</row>
    <row r="94">
      <c r="A94" s="76"/>
      <c r="B94" s="77"/>
      <c r="C94" s="78"/>
      <c r="D94" s="74"/>
      <c r="E94" s="76"/>
      <c r="F94" s="77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</row>
    <row r="95">
      <c r="A95" s="76"/>
      <c r="B95" s="77"/>
      <c r="C95" s="78"/>
      <c r="D95" s="74"/>
      <c r="E95" s="76"/>
      <c r="F95" s="77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</row>
    <row r="96">
      <c r="A96" s="76"/>
      <c r="B96" s="77"/>
      <c r="C96" s="78"/>
      <c r="D96" s="74"/>
      <c r="E96" s="76"/>
      <c r="F96" s="77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</row>
    <row r="97">
      <c r="A97" s="76"/>
      <c r="B97" s="77"/>
      <c r="C97" s="78"/>
      <c r="D97" s="74"/>
      <c r="E97" s="76"/>
      <c r="F97" s="77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</row>
    <row r="98">
      <c r="A98" s="76"/>
      <c r="B98" s="77"/>
      <c r="C98" s="78"/>
      <c r="D98" s="74"/>
      <c r="E98" s="76"/>
      <c r="F98" s="77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</row>
    <row r="99">
      <c r="A99" s="76"/>
      <c r="B99" s="77"/>
      <c r="C99" s="78"/>
      <c r="D99" s="74"/>
      <c r="E99" s="76"/>
      <c r="F99" s="77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</row>
    <row r="100">
      <c r="A100" s="76"/>
      <c r="B100" s="77"/>
      <c r="C100" s="78"/>
      <c r="D100" s="74"/>
      <c r="E100" s="76"/>
      <c r="F100" s="77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</row>
    <row r="101">
      <c r="A101" s="76"/>
      <c r="B101" s="77"/>
      <c r="C101" s="78"/>
      <c r="D101" s="74"/>
      <c r="E101" s="76"/>
      <c r="F101" s="77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</row>
    <row r="102">
      <c r="A102" s="76"/>
      <c r="B102" s="77"/>
      <c r="C102" s="78"/>
      <c r="D102" s="74"/>
      <c r="E102" s="76"/>
      <c r="F102" s="77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</row>
    <row r="103">
      <c r="A103" s="76"/>
      <c r="B103" s="77"/>
      <c r="C103" s="78"/>
      <c r="D103" s="74"/>
      <c r="E103" s="76"/>
      <c r="F103" s="77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</row>
    <row r="104">
      <c r="A104" s="76"/>
      <c r="B104" s="77"/>
      <c r="C104" s="78"/>
      <c r="D104" s="74"/>
      <c r="E104" s="76"/>
      <c r="F104" s="77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</row>
    <row r="105">
      <c r="A105" s="76"/>
      <c r="B105" s="77"/>
      <c r="C105" s="78"/>
      <c r="D105" s="74"/>
      <c r="E105" s="76"/>
      <c r="F105" s="77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</row>
    <row r="106">
      <c r="A106" s="76"/>
      <c r="B106" s="77"/>
      <c r="C106" s="78"/>
      <c r="D106" s="74"/>
      <c r="E106" s="76"/>
      <c r="F106" s="77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</row>
    <row r="107">
      <c r="A107" s="76"/>
      <c r="B107" s="77"/>
      <c r="C107" s="78"/>
      <c r="D107" s="74"/>
      <c r="E107" s="76"/>
      <c r="F107" s="77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</row>
    <row r="108">
      <c r="A108" s="76"/>
      <c r="B108" s="77"/>
      <c r="C108" s="78"/>
      <c r="D108" s="74"/>
      <c r="E108" s="76"/>
      <c r="F108" s="77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</row>
    <row r="109">
      <c r="A109" s="76"/>
      <c r="B109" s="77"/>
      <c r="C109" s="78"/>
      <c r="D109" s="74"/>
      <c r="E109" s="76"/>
      <c r="F109" s="77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</row>
    <row r="110">
      <c r="A110" s="76"/>
      <c r="B110" s="77"/>
      <c r="C110" s="78"/>
      <c r="D110" s="74"/>
      <c r="E110" s="76"/>
      <c r="F110" s="77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</row>
    <row r="111">
      <c r="A111" s="76"/>
      <c r="B111" s="77"/>
      <c r="C111" s="78"/>
      <c r="D111" s="74"/>
      <c r="E111" s="76"/>
      <c r="F111" s="77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</row>
    <row r="112">
      <c r="A112" s="76"/>
      <c r="B112" s="77"/>
      <c r="C112" s="78"/>
      <c r="D112" s="74"/>
      <c r="E112" s="76"/>
      <c r="F112" s="77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</row>
    <row r="113">
      <c r="A113" s="76"/>
      <c r="B113" s="77"/>
      <c r="C113" s="78"/>
      <c r="D113" s="74"/>
      <c r="E113" s="76"/>
      <c r="F113" s="77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</row>
    <row r="114">
      <c r="A114" s="76"/>
      <c r="B114" s="77"/>
      <c r="C114" s="78"/>
      <c r="D114" s="74"/>
      <c r="E114" s="76"/>
      <c r="F114" s="77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</row>
    <row r="115">
      <c r="A115" s="76"/>
      <c r="B115" s="77"/>
      <c r="C115" s="78"/>
      <c r="D115" s="74"/>
      <c r="E115" s="76"/>
      <c r="F115" s="77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</row>
    <row r="116">
      <c r="A116" s="76"/>
      <c r="B116" s="77"/>
      <c r="C116" s="78"/>
      <c r="D116" s="74"/>
      <c r="E116" s="76"/>
      <c r="F116" s="77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</row>
    <row r="117">
      <c r="A117" s="76"/>
      <c r="B117" s="77"/>
      <c r="C117" s="78"/>
      <c r="D117" s="74"/>
      <c r="E117" s="76"/>
      <c r="F117" s="77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</row>
    <row r="118">
      <c r="A118" s="76"/>
      <c r="B118" s="77"/>
      <c r="C118" s="78"/>
      <c r="D118" s="74"/>
      <c r="E118" s="76"/>
      <c r="F118" s="77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</row>
    <row r="119">
      <c r="A119" s="76"/>
      <c r="B119" s="77"/>
      <c r="C119" s="78"/>
      <c r="D119" s="74"/>
      <c r="E119" s="76"/>
      <c r="F119" s="77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</row>
    <row r="120">
      <c r="A120" s="76"/>
      <c r="B120" s="77"/>
      <c r="C120" s="78"/>
      <c r="D120" s="74"/>
      <c r="E120" s="76"/>
      <c r="F120" s="77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</row>
    <row r="121">
      <c r="A121" s="76"/>
      <c r="B121" s="77"/>
      <c r="C121" s="78"/>
      <c r="D121" s="74"/>
      <c r="E121" s="76"/>
      <c r="F121" s="77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</row>
    <row r="122">
      <c r="A122" s="76"/>
      <c r="B122" s="77"/>
      <c r="C122" s="78"/>
      <c r="D122" s="74"/>
      <c r="E122" s="76"/>
      <c r="F122" s="77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</row>
    <row r="123">
      <c r="A123" s="76"/>
      <c r="B123" s="77"/>
      <c r="C123" s="78"/>
      <c r="D123" s="74"/>
      <c r="E123" s="76"/>
      <c r="F123" s="77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</row>
    <row r="124">
      <c r="A124" s="76"/>
      <c r="B124" s="77"/>
      <c r="C124" s="78"/>
      <c r="D124" s="74"/>
      <c r="E124" s="76"/>
      <c r="F124" s="77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</row>
    <row r="125">
      <c r="A125" s="76"/>
      <c r="B125" s="77"/>
      <c r="C125" s="78"/>
      <c r="D125" s="74"/>
      <c r="E125" s="76"/>
      <c r="F125" s="77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</row>
    <row r="126">
      <c r="A126" s="76"/>
      <c r="B126" s="77"/>
      <c r="C126" s="78"/>
      <c r="D126" s="74"/>
      <c r="E126" s="76"/>
      <c r="F126" s="77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</row>
    <row r="127">
      <c r="A127" s="76"/>
      <c r="B127" s="77"/>
      <c r="C127" s="78"/>
      <c r="D127" s="74"/>
      <c r="E127" s="76"/>
      <c r="F127" s="77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</row>
    <row r="128">
      <c r="A128" s="76"/>
      <c r="B128" s="77"/>
      <c r="C128" s="78"/>
      <c r="D128" s="74"/>
      <c r="E128" s="76"/>
      <c r="F128" s="77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</row>
    <row r="129">
      <c r="A129" s="76"/>
      <c r="B129" s="77"/>
      <c r="C129" s="78"/>
      <c r="D129" s="74"/>
      <c r="E129" s="76"/>
      <c r="F129" s="77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</row>
    <row r="130">
      <c r="A130" s="76"/>
      <c r="B130" s="77"/>
      <c r="C130" s="78"/>
      <c r="D130" s="74"/>
      <c r="E130" s="76"/>
      <c r="F130" s="77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</row>
    <row r="131">
      <c r="A131" s="76"/>
      <c r="B131" s="77"/>
      <c r="C131" s="78"/>
      <c r="D131" s="74"/>
      <c r="E131" s="76"/>
      <c r="F131" s="77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</row>
    <row r="132">
      <c r="A132" s="76"/>
      <c r="B132" s="77"/>
      <c r="C132" s="78"/>
      <c r="D132" s="74"/>
      <c r="E132" s="76"/>
      <c r="F132" s="77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</row>
    <row r="133">
      <c r="A133" s="76"/>
      <c r="B133" s="77"/>
      <c r="C133" s="78"/>
      <c r="D133" s="74"/>
      <c r="E133" s="76"/>
      <c r="F133" s="77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</row>
    <row r="134">
      <c r="A134" s="76"/>
      <c r="B134" s="77"/>
      <c r="C134" s="78"/>
      <c r="D134" s="74"/>
      <c r="E134" s="76"/>
      <c r="F134" s="77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</row>
    <row r="135">
      <c r="A135" s="76"/>
      <c r="B135" s="77"/>
      <c r="C135" s="78"/>
      <c r="D135" s="74"/>
      <c r="E135" s="76"/>
      <c r="F135" s="77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</row>
    <row r="136">
      <c r="A136" s="76"/>
      <c r="B136" s="77"/>
      <c r="C136" s="78"/>
      <c r="D136" s="74"/>
      <c r="E136" s="76"/>
      <c r="F136" s="77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</row>
    <row r="137">
      <c r="A137" s="80"/>
      <c r="B137" s="77"/>
      <c r="C137" s="78"/>
      <c r="D137" s="74"/>
      <c r="E137" s="80"/>
      <c r="F137" s="77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</row>
    <row r="138">
      <c r="A138" s="80"/>
      <c r="B138" s="77"/>
      <c r="C138" s="78"/>
      <c r="D138" s="74"/>
      <c r="E138" s="80"/>
      <c r="F138" s="77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</row>
    <row r="139">
      <c r="A139" s="80"/>
      <c r="B139" s="77"/>
      <c r="C139" s="78"/>
      <c r="D139" s="74"/>
      <c r="E139" s="80"/>
      <c r="F139" s="77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</row>
    <row r="140">
      <c r="A140" s="80"/>
      <c r="B140" s="77"/>
      <c r="C140" s="78"/>
      <c r="D140" s="74"/>
      <c r="E140" s="80"/>
      <c r="F140" s="77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</row>
    <row r="141">
      <c r="A141" s="76"/>
      <c r="B141" s="77"/>
      <c r="C141" s="78"/>
      <c r="D141" s="74"/>
      <c r="E141" s="76"/>
      <c r="F141" s="77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</row>
    <row r="142">
      <c r="A142" s="76"/>
      <c r="B142" s="77"/>
      <c r="C142" s="78"/>
      <c r="D142" s="74"/>
      <c r="E142" s="76"/>
      <c r="F142" s="77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</row>
    <row r="143">
      <c r="A143" s="76"/>
      <c r="B143" s="77"/>
      <c r="C143" s="78"/>
      <c r="D143" s="74"/>
      <c r="E143" s="76"/>
      <c r="F143" s="77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</row>
    <row r="144">
      <c r="A144" s="76"/>
      <c r="B144" s="77"/>
      <c r="C144" s="78"/>
      <c r="D144" s="74"/>
      <c r="E144" s="76"/>
      <c r="F144" s="77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</row>
    <row r="145">
      <c r="A145" s="76"/>
      <c r="B145" s="77"/>
      <c r="C145" s="78"/>
      <c r="D145" s="74"/>
      <c r="E145" s="76"/>
      <c r="F145" s="77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</row>
    <row r="146">
      <c r="A146" s="76"/>
      <c r="B146" s="77"/>
      <c r="C146" s="78"/>
      <c r="D146" s="74"/>
      <c r="E146" s="76"/>
      <c r="F146" s="77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</row>
    <row r="147">
      <c r="A147" s="76"/>
      <c r="B147" s="77"/>
      <c r="C147" s="78"/>
      <c r="D147" s="74"/>
      <c r="E147" s="76"/>
      <c r="F147" s="77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</row>
    <row r="148">
      <c r="A148" s="76"/>
      <c r="B148" s="77"/>
      <c r="C148" s="78"/>
      <c r="D148" s="74"/>
      <c r="E148" s="76"/>
      <c r="F148" s="77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</row>
    <row r="149">
      <c r="A149" s="76"/>
      <c r="B149" s="81"/>
      <c r="C149" s="78"/>
      <c r="D149" s="74"/>
      <c r="E149" s="76"/>
      <c r="F149" s="77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</row>
    <row r="150">
      <c r="A150" s="76"/>
      <c r="B150" s="81"/>
      <c r="C150" s="78"/>
      <c r="D150" s="74"/>
      <c r="E150" s="76"/>
      <c r="F150" s="77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</row>
    <row r="151">
      <c r="A151" s="76"/>
      <c r="B151" s="81"/>
      <c r="C151" s="78"/>
      <c r="D151" s="74"/>
      <c r="E151" s="76"/>
      <c r="F151" s="77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</row>
    <row r="152">
      <c r="A152" s="76"/>
      <c r="B152" s="81"/>
      <c r="C152" s="78"/>
      <c r="D152" s="74"/>
      <c r="E152" s="76"/>
      <c r="F152" s="77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</row>
    <row r="153">
      <c r="A153" s="76"/>
      <c r="B153" s="81"/>
      <c r="C153" s="78"/>
      <c r="D153" s="74"/>
      <c r="E153" s="76"/>
      <c r="F153" s="77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</row>
    <row r="154">
      <c r="A154" s="76"/>
      <c r="B154" s="77"/>
      <c r="C154" s="78"/>
      <c r="D154" s="74"/>
      <c r="E154" s="76"/>
      <c r="F154" s="77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</row>
    <row r="155">
      <c r="A155" s="76"/>
      <c r="B155" s="77"/>
      <c r="C155" s="78"/>
      <c r="D155" s="74"/>
      <c r="E155" s="76"/>
      <c r="F155" s="77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</row>
    <row r="156">
      <c r="A156" s="76"/>
      <c r="B156" s="77"/>
      <c r="C156" s="78"/>
      <c r="D156" s="74"/>
      <c r="E156" s="76"/>
      <c r="F156" s="77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</row>
    <row r="157">
      <c r="A157" s="76"/>
      <c r="B157" s="81"/>
      <c r="C157" s="78"/>
      <c r="D157" s="74"/>
      <c r="E157" s="76"/>
      <c r="F157" s="81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</row>
    <row r="158">
      <c r="A158" s="76"/>
      <c r="B158" s="77"/>
      <c r="C158" s="78"/>
      <c r="D158" s="74"/>
      <c r="E158" s="76"/>
      <c r="F158" s="77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</row>
    <row r="159">
      <c r="A159" s="76"/>
      <c r="B159" s="81"/>
      <c r="C159" s="78"/>
      <c r="D159" s="74"/>
      <c r="E159" s="76"/>
      <c r="F159" s="81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</row>
    <row r="160">
      <c r="A160" s="76"/>
      <c r="B160" s="77"/>
      <c r="C160" s="78"/>
      <c r="D160" s="74"/>
      <c r="E160" s="76"/>
      <c r="F160" s="77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</row>
    <row r="161">
      <c r="A161" s="76"/>
      <c r="B161" s="77"/>
      <c r="C161" s="78"/>
      <c r="D161" s="74"/>
      <c r="E161" s="76"/>
      <c r="F161" s="77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</row>
    <row r="162">
      <c r="A162" s="76"/>
      <c r="B162" s="77"/>
      <c r="C162" s="78"/>
      <c r="D162" s="74"/>
      <c r="E162" s="76"/>
      <c r="F162" s="77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</row>
    <row r="163">
      <c r="A163" s="76"/>
      <c r="B163" s="77"/>
      <c r="C163" s="78"/>
      <c r="D163" s="74"/>
      <c r="E163" s="76"/>
      <c r="F163" s="77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</row>
    <row r="164">
      <c r="A164" s="76"/>
      <c r="B164" s="77"/>
      <c r="C164" s="78"/>
      <c r="D164" s="74"/>
      <c r="E164" s="76"/>
      <c r="F164" s="77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</row>
    <row r="165">
      <c r="A165" s="76"/>
      <c r="B165" s="77"/>
      <c r="C165" s="78"/>
      <c r="D165" s="74"/>
      <c r="E165" s="76"/>
      <c r="F165" s="77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</row>
    <row r="166">
      <c r="A166" s="76"/>
      <c r="B166" s="77"/>
      <c r="C166" s="78"/>
      <c r="D166" s="74"/>
      <c r="E166" s="76"/>
      <c r="F166" s="77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</row>
    <row r="167">
      <c r="A167" s="76"/>
      <c r="B167" s="77"/>
      <c r="C167" s="78"/>
      <c r="D167" s="74"/>
      <c r="E167" s="76"/>
      <c r="F167" s="77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</row>
    <row r="168">
      <c r="A168" s="76"/>
      <c r="B168" s="77"/>
      <c r="C168" s="78"/>
      <c r="D168" s="74"/>
      <c r="E168" s="76"/>
      <c r="F168" s="77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</row>
    <row r="169">
      <c r="A169" s="76"/>
      <c r="B169" s="77"/>
      <c r="C169" s="78"/>
      <c r="D169" s="74"/>
      <c r="E169" s="76"/>
      <c r="F169" s="77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</row>
    <row r="170">
      <c r="A170" s="76"/>
      <c r="B170" s="77"/>
      <c r="C170" s="78"/>
      <c r="D170" s="74"/>
      <c r="E170" s="76"/>
      <c r="F170" s="77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</row>
    <row r="171">
      <c r="A171" s="76"/>
      <c r="B171" s="77"/>
      <c r="C171" s="78"/>
      <c r="D171" s="74"/>
      <c r="E171" s="76"/>
      <c r="F171" s="77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</row>
    <row r="172">
      <c r="A172" s="76"/>
      <c r="B172" s="77"/>
      <c r="C172" s="78"/>
      <c r="D172" s="74"/>
      <c r="E172" s="76"/>
      <c r="F172" s="77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</row>
    <row r="173">
      <c r="A173" s="76"/>
      <c r="B173" s="77"/>
      <c r="C173" s="78"/>
      <c r="D173" s="74"/>
      <c r="E173" s="76"/>
      <c r="F173" s="77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</row>
    <row r="174">
      <c r="A174" s="76"/>
      <c r="B174" s="77"/>
      <c r="C174" s="78"/>
      <c r="D174" s="74"/>
      <c r="E174" s="76"/>
      <c r="F174" s="77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</row>
    <row r="175">
      <c r="A175" s="76"/>
      <c r="B175" s="77"/>
      <c r="C175" s="78"/>
      <c r="D175" s="74"/>
      <c r="E175" s="76"/>
      <c r="F175" s="77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</row>
    <row r="176">
      <c r="A176" s="76"/>
      <c r="B176" s="77"/>
      <c r="C176" s="78"/>
      <c r="D176" s="74"/>
      <c r="E176" s="76"/>
      <c r="F176" s="77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</row>
    <row r="177">
      <c r="A177" s="76"/>
      <c r="B177" s="77"/>
      <c r="C177" s="78"/>
      <c r="D177" s="74"/>
      <c r="E177" s="76"/>
      <c r="F177" s="77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</row>
    <row r="178">
      <c r="A178" s="76"/>
      <c r="B178" s="77"/>
      <c r="C178" s="78"/>
      <c r="D178" s="74"/>
      <c r="E178" s="76"/>
      <c r="F178" s="77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</row>
    <row r="179">
      <c r="A179" s="76"/>
      <c r="B179" s="77"/>
      <c r="C179" s="78"/>
      <c r="D179" s="74"/>
      <c r="E179" s="76"/>
      <c r="F179" s="77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</row>
    <row r="180">
      <c r="A180" s="76"/>
      <c r="B180" s="77"/>
      <c r="C180" s="78"/>
      <c r="D180" s="74"/>
      <c r="E180" s="76"/>
      <c r="F180" s="77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</row>
    <row r="181">
      <c r="A181" s="76"/>
      <c r="B181" s="77"/>
      <c r="C181" s="78"/>
      <c r="D181" s="74"/>
      <c r="E181" s="76"/>
      <c r="F181" s="77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</row>
    <row r="182">
      <c r="A182" s="76"/>
      <c r="B182" s="81"/>
      <c r="C182" s="78"/>
      <c r="D182" s="74"/>
      <c r="E182" s="76"/>
      <c r="F182" s="77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</row>
    <row r="183">
      <c r="A183" s="76"/>
      <c r="B183" s="81"/>
      <c r="C183" s="78"/>
      <c r="D183" s="74"/>
      <c r="E183" s="76"/>
      <c r="F183" s="77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</row>
    <row r="184">
      <c r="A184" s="76"/>
      <c r="B184" s="77"/>
      <c r="C184" s="78"/>
      <c r="D184" s="74"/>
      <c r="E184" s="76"/>
      <c r="F184" s="77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</row>
    <row r="185">
      <c r="A185" s="76"/>
      <c r="B185" s="77"/>
      <c r="C185" s="78"/>
      <c r="D185" s="74"/>
      <c r="E185" s="76"/>
      <c r="F185" s="77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</row>
    <row r="186">
      <c r="A186" s="76"/>
      <c r="B186" s="77"/>
      <c r="C186" s="78"/>
      <c r="D186" s="74"/>
      <c r="E186" s="76"/>
      <c r="F186" s="77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</row>
    <row r="187">
      <c r="A187" s="76"/>
      <c r="B187" s="77"/>
      <c r="C187" s="78"/>
      <c r="D187" s="74"/>
      <c r="E187" s="76"/>
      <c r="F187" s="77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</row>
    <row r="188">
      <c r="A188" s="76"/>
      <c r="B188" s="77"/>
      <c r="C188" s="78"/>
      <c r="D188" s="74"/>
      <c r="E188" s="76"/>
      <c r="F188" s="77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</row>
    <row r="189">
      <c r="A189" s="76"/>
      <c r="B189" s="77"/>
      <c r="C189" s="78"/>
      <c r="D189" s="74"/>
      <c r="E189" s="76"/>
      <c r="F189" s="77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</row>
    <row r="190">
      <c r="A190" s="76"/>
      <c r="B190" s="77"/>
      <c r="C190" s="78"/>
      <c r="D190" s="74"/>
      <c r="E190" s="76"/>
      <c r="F190" s="77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</row>
    <row r="191">
      <c r="A191" s="76"/>
      <c r="B191" s="77"/>
      <c r="C191" s="78"/>
      <c r="D191" s="74"/>
      <c r="E191" s="76"/>
      <c r="F191" s="77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</row>
    <row r="192">
      <c r="A192" s="76"/>
      <c r="B192" s="77"/>
      <c r="C192" s="78"/>
      <c r="D192" s="74"/>
      <c r="E192" s="76"/>
      <c r="F192" s="77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</row>
    <row r="193">
      <c r="A193" s="76"/>
      <c r="B193" s="77"/>
      <c r="C193" s="78"/>
      <c r="D193" s="74"/>
      <c r="E193" s="76"/>
      <c r="F193" s="77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</row>
    <row r="194">
      <c r="A194" s="76"/>
      <c r="B194" s="77"/>
      <c r="C194" s="78"/>
      <c r="D194" s="74"/>
      <c r="E194" s="76"/>
      <c r="F194" s="77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</row>
    <row r="195">
      <c r="A195" s="76"/>
      <c r="B195" s="77"/>
      <c r="C195" s="78"/>
      <c r="D195" s="74"/>
      <c r="E195" s="76"/>
      <c r="F195" s="77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</row>
    <row r="196">
      <c r="A196" s="76"/>
      <c r="B196" s="77"/>
      <c r="C196" s="78"/>
      <c r="D196" s="74"/>
      <c r="E196" s="76"/>
      <c r="F196" s="77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</row>
    <row r="197">
      <c r="A197" s="76"/>
      <c r="B197" s="77"/>
      <c r="C197" s="78"/>
      <c r="D197" s="74"/>
      <c r="E197" s="76"/>
      <c r="F197" s="77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</row>
    <row r="198">
      <c r="A198" s="76"/>
      <c r="B198" s="77"/>
      <c r="C198" s="78"/>
      <c r="D198" s="74"/>
      <c r="E198" s="76"/>
      <c r="F198" s="77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</row>
    <row r="199">
      <c r="A199" s="76"/>
      <c r="B199" s="77"/>
      <c r="C199" s="78"/>
      <c r="D199" s="74"/>
      <c r="E199" s="76"/>
      <c r="F199" s="77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</row>
    <row r="200">
      <c r="A200" s="76"/>
      <c r="B200" s="77"/>
      <c r="C200" s="78"/>
      <c r="D200" s="74"/>
      <c r="E200" s="76"/>
      <c r="F200" s="77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</row>
    <row r="201">
      <c r="A201" s="80"/>
      <c r="B201" s="77"/>
      <c r="C201" s="78"/>
      <c r="D201" s="74"/>
      <c r="E201" s="80"/>
      <c r="F201" s="77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</row>
    <row r="202">
      <c r="A202" s="80"/>
      <c r="B202" s="77"/>
      <c r="C202" s="78"/>
      <c r="D202" s="74"/>
      <c r="E202" s="80"/>
      <c r="F202" s="77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</row>
    <row r="203">
      <c r="A203" s="76"/>
      <c r="B203" s="77"/>
      <c r="C203" s="78"/>
      <c r="D203" s="74"/>
      <c r="E203" s="76"/>
      <c r="F203" s="77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</row>
    <row r="204">
      <c r="A204" s="76"/>
      <c r="B204" s="77"/>
      <c r="C204" s="78"/>
      <c r="D204" s="74"/>
      <c r="E204" s="76"/>
      <c r="F204" s="77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</row>
    <row r="205">
      <c r="A205" s="76"/>
      <c r="B205" s="77"/>
      <c r="C205" s="78"/>
      <c r="D205" s="74"/>
      <c r="E205" s="76"/>
      <c r="F205" s="77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</row>
    <row r="206">
      <c r="A206" s="76"/>
      <c r="B206" s="77"/>
      <c r="C206" s="78"/>
      <c r="D206" s="74"/>
      <c r="E206" s="76"/>
      <c r="F206" s="77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</row>
    <row r="207">
      <c r="A207" s="76"/>
      <c r="B207" s="77"/>
      <c r="C207" s="78"/>
      <c r="D207" s="74"/>
      <c r="E207" s="76"/>
      <c r="F207" s="77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</row>
    <row r="208">
      <c r="A208" s="76"/>
      <c r="B208" s="77"/>
      <c r="C208" s="78"/>
      <c r="D208" s="74"/>
      <c r="E208" s="76"/>
      <c r="F208" s="77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</row>
    <row r="209">
      <c r="A209" s="76"/>
      <c r="B209" s="91"/>
      <c r="C209" s="78"/>
      <c r="D209" s="74"/>
      <c r="E209" s="76"/>
      <c r="F209" s="77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</row>
    <row r="210">
      <c r="A210" s="76"/>
      <c r="B210" s="77"/>
      <c r="C210" s="78"/>
      <c r="D210" s="74"/>
      <c r="E210" s="76"/>
      <c r="F210" s="77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</row>
    <row r="211">
      <c r="A211" s="76"/>
      <c r="B211" s="77"/>
      <c r="C211" s="78"/>
      <c r="D211" s="74"/>
      <c r="E211" s="76"/>
      <c r="F211" s="77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</row>
    <row r="212">
      <c r="A212" s="76"/>
      <c r="B212" s="77"/>
      <c r="C212" s="78"/>
      <c r="D212" s="74"/>
      <c r="E212" s="76"/>
      <c r="F212" s="77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</row>
    <row r="213">
      <c r="A213" s="76"/>
      <c r="B213" s="77"/>
      <c r="C213" s="78"/>
      <c r="D213" s="74"/>
      <c r="E213" s="76"/>
      <c r="F213" s="77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</row>
    <row r="214">
      <c r="A214" s="80"/>
      <c r="B214" s="77"/>
      <c r="C214" s="78"/>
      <c r="D214" s="74"/>
      <c r="E214" s="80"/>
      <c r="F214" s="77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</row>
    <row r="215">
      <c r="A215" s="76"/>
      <c r="B215" s="77"/>
      <c r="C215" s="78"/>
      <c r="D215" s="74"/>
      <c r="E215" s="76"/>
      <c r="F215" s="77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</row>
    <row r="216">
      <c r="A216" s="80"/>
      <c r="B216" s="77"/>
      <c r="C216" s="78"/>
      <c r="D216" s="74"/>
      <c r="E216" s="80"/>
      <c r="F216" s="77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</row>
    <row r="217">
      <c r="A217" s="80"/>
      <c r="B217" s="84"/>
      <c r="C217" s="78"/>
      <c r="D217" s="74"/>
      <c r="E217" s="80"/>
      <c r="F217" s="84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</row>
    <row r="218">
      <c r="A218" s="76"/>
      <c r="B218" s="77"/>
      <c r="C218" s="78"/>
      <c r="D218" s="74"/>
      <c r="E218" s="76"/>
      <c r="F218" s="77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</row>
    <row r="219">
      <c r="A219" s="80"/>
      <c r="B219" s="77"/>
      <c r="C219" s="78"/>
      <c r="D219" s="74"/>
      <c r="E219" s="80"/>
      <c r="F219" s="77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</row>
    <row r="220">
      <c r="A220" s="80"/>
      <c r="B220" s="77"/>
      <c r="C220" s="78"/>
      <c r="D220" s="74"/>
      <c r="E220" s="80"/>
      <c r="F220" s="77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</row>
    <row r="221">
      <c r="A221" s="80"/>
      <c r="B221" s="77"/>
      <c r="C221" s="78"/>
      <c r="D221" s="74"/>
      <c r="E221" s="80"/>
      <c r="F221" s="77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</row>
    <row r="222">
      <c r="A222" s="76"/>
      <c r="B222" s="77"/>
      <c r="C222" s="78"/>
      <c r="D222" s="74"/>
      <c r="E222" s="76"/>
      <c r="F222" s="77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</row>
    <row r="223">
      <c r="A223" s="80"/>
      <c r="B223" s="77"/>
      <c r="C223" s="78"/>
      <c r="D223" s="74"/>
      <c r="E223" s="80"/>
      <c r="F223" s="77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</row>
    <row r="224">
      <c r="A224" s="76"/>
      <c r="B224" s="77"/>
      <c r="C224" s="78"/>
      <c r="D224" s="74"/>
      <c r="E224" s="76"/>
      <c r="F224" s="77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</row>
    <row r="225">
      <c r="A225" s="76"/>
      <c r="B225" s="77"/>
      <c r="C225" s="78"/>
      <c r="D225" s="74"/>
      <c r="E225" s="76"/>
      <c r="F225" s="77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</row>
    <row r="226">
      <c r="A226" s="76"/>
      <c r="B226" s="82"/>
      <c r="C226" s="78"/>
      <c r="D226" s="74"/>
      <c r="E226" s="76"/>
      <c r="F226" s="77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</row>
    <row r="227">
      <c r="A227" s="76"/>
      <c r="B227" s="82"/>
      <c r="C227" s="78"/>
      <c r="D227" s="74"/>
      <c r="E227" s="76"/>
      <c r="F227" s="77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</row>
    <row r="228">
      <c r="A228" s="76"/>
      <c r="B228" s="82"/>
      <c r="C228" s="78"/>
      <c r="D228" s="74"/>
      <c r="E228" s="76"/>
      <c r="F228" s="77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</row>
    <row r="229">
      <c r="A229" s="76"/>
      <c r="B229" s="91"/>
      <c r="C229" s="78"/>
      <c r="D229" s="74"/>
      <c r="E229" s="76"/>
      <c r="F229" s="77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</row>
    <row r="230">
      <c r="A230" s="76"/>
      <c r="B230" s="77"/>
      <c r="C230" s="78"/>
      <c r="D230" s="74"/>
      <c r="E230" s="76"/>
      <c r="F230" s="77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</row>
    <row r="231">
      <c r="A231" s="76"/>
      <c r="B231" s="77"/>
      <c r="C231" s="78"/>
      <c r="D231" s="74"/>
      <c r="E231" s="76"/>
      <c r="F231" s="77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</row>
    <row r="232">
      <c r="A232" s="76"/>
      <c r="B232" s="77"/>
      <c r="C232" s="78"/>
      <c r="D232" s="74"/>
      <c r="E232" s="76"/>
      <c r="F232" s="77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</row>
    <row r="233">
      <c r="A233" s="76"/>
      <c r="B233" s="77"/>
      <c r="C233" s="78"/>
      <c r="D233" s="74"/>
      <c r="E233" s="76"/>
      <c r="F233" s="77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</row>
    <row r="234">
      <c r="A234" s="80"/>
      <c r="B234" s="77"/>
      <c r="C234" s="78"/>
      <c r="D234" s="74"/>
      <c r="E234" s="80"/>
      <c r="F234" s="77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</row>
    <row r="235">
      <c r="A235" s="76"/>
      <c r="B235" s="77"/>
      <c r="C235" s="78"/>
      <c r="D235" s="74"/>
      <c r="E235" s="76"/>
      <c r="F235" s="77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</row>
    <row r="236">
      <c r="A236" s="76"/>
      <c r="B236" s="77"/>
      <c r="C236" s="78"/>
      <c r="D236" s="74"/>
      <c r="E236" s="76"/>
      <c r="F236" s="77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</row>
    <row r="237">
      <c r="A237" s="76"/>
      <c r="B237" s="77"/>
      <c r="C237" s="78"/>
      <c r="D237" s="74"/>
      <c r="E237" s="76"/>
      <c r="F237" s="77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</row>
    <row r="238">
      <c r="A238" s="76"/>
      <c r="B238" s="77"/>
      <c r="C238" s="78"/>
      <c r="D238" s="74"/>
      <c r="E238" s="76"/>
      <c r="F238" s="77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</row>
    <row r="239">
      <c r="A239" s="76"/>
      <c r="B239" s="77"/>
      <c r="C239" s="78"/>
      <c r="D239" s="74"/>
      <c r="E239" s="76"/>
      <c r="F239" s="77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</row>
    <row r="240">
      <c r="A240" s="76"/>
      <c r="B240" s="77"/>
      <c r="C240" s="78"/>
      <c r="D240" s="74"/>
      <c r="E240" s="76"/>
      <c r="F240" s="77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</row>
    <row r="241">
      <c r="A241" s="76"/>
      <c r="B241" s="77"/>
      <c r="C241" s="78"/>
      <c r="D241" s="74"/>
      <c r="E241" s="76"/>
      <c r="F241" s="77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</row>
    <row r="242">
      <c r="A242" s="76"/>
      <c r="B242" s="77"/>
      <c r="C242" s="78"/>
      <c r="D242" s="74"/>
      <c r="E242" s="76"/>
      <c r="F242" s="77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</row>
    <row r="243">
      <c r="A243" s="76"/>
      <c r="B243" s="77"/>
      <c r="C243" s="78"/>
      <c r="D243" s="74"/>
      <c r="E243" s="76"/>
      <c r="F243" s="77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</row>
    <row r="244">
      <c r="A244" s="76"/>
      <c r="B244" s="77"/>
      <c r="C244" s="78"/>
      <c r="D244" s="74"/>
      <c r="E244" s="76"/>
      <c r="F244" s="77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</row>
    <row r="245">
      <c r="A245" s="76"/>
      <c r="B245" s="77"/>
      <c r="C245" s="78"/>
      <c r="D245" s="74"/>
      <c r="E245" s="76"/>
      <c r="F245" s="77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</row>
    <row r="246">
      <c r="A246" s="90"/>
      <c r="B246" s="81"/>
      <c r="C246" s="78"/>
      <c r="D246" s="74"/>
      <c r="E246" s="90"/>
      <c r="F246" s="77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</row>
    <row r="247">
      <c r="A247" s="90"/>
      <c r="B247" s="77"/>
      <c r="C247" s="78"/>
      <c r="D247" s="74"/>
      <c r="E247" s="90"/>
      <c r="F247" s="77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</row>
    <row r="248">
      <c r="A248" s="76"/>
      <c r="B248" s="77"/>
      <c r="C248" s="78"/>
      <c r="D248" s="74"/>
      <c r="E248" s="76"/>
      <c r="F248" s="77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</row>
    <row r="249">
      <c r="A249" s="76"/>
      <c r="B249" s="77"/>
      <c r="C249" s="78"/>
      <c r="D249" s="74"/>
      <c r="E249" s="76"/>
      <c r="F249" s="77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</row>
    <row r="250">
      <c r="A250" s="76"/>
      <c r="B250" s="77"/>
      <c r="C250" s="78"/>
      <c r="D250" s="74"/>
      <c r="E250" s="76"/>
      <c r="F250" s="77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</row>
    <row r="251">
      <c r="A251" s="76"/>
      <c r="B251" s="77"/>
      <c r="C251" s="78"/>
      <c r="D251" s="74"/>
      <c r="E251" s="76"/>
      <c r="F251" s="77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</row>
    <row r="252">
      <c r="A252" s="76"/>
      <c r="B252" s="77"/>
      <c r="C252" s="78"/>
      <c r="D252" s="74"/>
      <c r="E252" s="76"/>
      <c r="F252" s="77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</row>
    <row r="253">
      <c r="A253" s="76"/>
      <c r="B253" s="77"/>
      <c r="C253" s="78"/>
      <c r="D253" s="74"/>
      <c r="E253" s="76"/>
      <c r="F253" s="77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</row>
    <row r="254">
      <c r="A254" s="76"/>
      <c r="B254" s="77"/>
      <c r="C254" s="78"/>
      <c r="D254" s="74"/>
      <c r="E254" s="76"/>
      <c r="F254" s="77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</row>
    <row r="255">
      <c r="A255" s="76"/>
      <c r="B255" s="77"/>
      <c r="C255" s="78"/>
      <c r="D255" s="74"/>
      <c r="E255" s="76"/>
      <c r="F255" s="77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</row>
    <row r="256">
      <c r="A256" s="76"/>
      <c r="B256" s="77"/>
      <c r="C256" s="78"/>
      <c r="D256" s="74"/>
      <c r="E256" s="76"/>
      <c r="F256" s="77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</row>
    <row r="257">
      <c r="A257" s="76"/>
      <c r="B257" s="77"/>
      <c r="C257" s="78"/>
      <c r="D257" s="74"/>
      <c r="E257" s="76"/>
      <c r="F257" s="77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</row>
    <row r="258">
      <c r="A258" s="76"/>
      <c r="B258" s="77"/>
      <c r="C258" s="78"/>
      <c r="D258" s="74"/>
      <c r="E258" s="76"/>
      <c r="F258" s="77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</row>
    <row r="259">
      <c r="A259" s="76"/>
      <c r="B259" s="77"/>
      <c r="C259" s="78"/>
      <c r="D259" s="74"/>
      <c r="E259" s="76"/>
      <c r="F259" s="77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</row>
    <row r="260">
      <c r="A260" s="76"/>
      <c r="B260" s="77"/>
      <c r="C260" s="78"/>
      <c r="D260" s="74"/>
      <c r="E260" s="76"/>
      <c r="F260" s="77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</row>
    <row r="261">
      <c r="A261" s="76"/>
      <c r="B261" s="77"/>
      <c r="C261" s="78"/>
      <c r="D261" s="74"/>
      <c r="E261" s="76"/>
      <c r="F261" s="77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</row>
    <row r="262">
      <c r="A262" s="76"/>
      <c r="B262" s="77"/>
      <c r="C262" s="78"/>
      <c r="D262" s="74"/>
      <c r="E262" s="76"/>
      <c r="F262" s="77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</row>
    <row r="263">
      <c r="A263" s="76"/>
      <c r="B263" s="77"/>
      <c r="C263" s="78"/>
      <c r="D263" s="74"/>
      <c r="E263" s="76"/>
      <c r="F263" s="77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</row>
    <row r="264">
      <c r="A264" s="76"/>
      <c r="B264" s="77"/>
      <c r="C264" s="78"/>
      <c r="D264" s="74"/>
      <c r="E264" s="76"/>
      <c r="F264" s="77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</row>
    <row r="265">
      <c r="A265" s="76"/>
      <c r="B265" s="77"/>
      <c r="C265" s="78"/>
      <c r="D265" s="74"/>
      <c r="E265" s="76"/>
      <c r="F265" s="77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</row>
    <row r="266">
      <c r="A266" s="76"/>
      <c r="B266" s="77"/>
      <c r="C266" s="78"/>
      <c r="D266" s="74"/>
      <c r="E266" s="76"/>
      <c r="F266" s="77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</row>
    <row r="267">
      <c r="A267" s="76"/>
      <c r="B267" s="77"/>
      <c r="C267" s="78"/>
      <c r="D267" s="74"/>
      <c r="E267" s="76"/>
      <c r="F267" s="77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</row>
    <row r="268">
      <c r="A268" s="76"/>
      <c r="B268" s="77"/>
      <c r="C268" s="78"/>
      <c r="D268" s="74"/>
      <c r="E268" s="76"/>
      <c r="F268" s="77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</row>
    <row r="269">
      <c r="A269" s="76"/>
      <c r="B269" s="77"/>
      <c r="C269" s="78"/>
      <c r="D269" s="74"/>
      <c r="E269" s="76"/>
      <c r="F269" s="77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</row>
    <row r="270">
      <c r="A270" s="76"/>
      <c r="B270" s="77"/>
      <c r="C270" s="78"/>
      <c r="D270" s="74"/>
      <c r="E270" s="76"/>
      <c r="F270" s="77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</row>
    <row r="271">
      <c r="A271" s="76"/>
      <c r="B271" s="77"/>
      <c r="C271" s="78"/>
      <c r="D271" s="74"/>
      <c r="E271" s="76"/>
      <c r="F271" s="77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</row>
    <row r="272">
      <c r="A272" s="76"/>
      <c r="B272" s="77"/>
      <c r="C272" s="78"/>
      <c r="D272" s="74"/>
      <c r="E272" s="76"/>
      <c r="F272" s="77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</row>
    <row r="273">
      <c r="A273" s="76"/>
      <c r="B273" s="77"/>
      <c r="C273" s="78"/>
      <c r="D273" s="74"/>
      <c r="E273" s="76"/>
      <c r="F273" s="77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</row>
    <row r="274">
      <c r="A274" s="76"/>
      <c r="B274" s="77"/>
      <c r="C274" s="78"/>
      <c r="D274" s="74"/>
      <c r="E274" s="76"/>
      <c r="F274" s="77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</row>
    <row r="275">
      <c r="A275" s="76"/>
      <c r="B275" s="77"/>
      <c r="C275" s="78"/>
      <c r="D275" s="74"/>
      <c r="E275" s="76"/>
      <c r="F275" s="77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</row>
    <row r="276">
      <c r="A276" s="76"/>
      <c r="B276" s="81"/>
      <c r="C276" s="78"/>
      <c r="D276" s="74"/>
      <c r="E276" s="76"/>
      <c r="F276" s="77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</row>
    <row r="277">
      <c r="A277" s="76"/>
      <c r="B277" s="77"/>
      <c r="C277" s="78"/>
      <c r="D277" s="74"/>
      <c r="E277" s="76"/>
      <c r="F277" s="77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</row>
    <row r="278">
      <c r="A278" s="76"/>
      <c r="B278" s="77"/>
      <c r="C278" s="78"/>
      <c r="D278" s="74"/>
      <c r="E278" s="76"/>
      <c r="F278" s="77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</row>
    <row r="279">
      <c r="A279" s="76"/>
      <c r="B279" s="77"/>
      <c r="C279" s="78"/>
      <c r="D279" s="74"/>
      <c r="E279" s="76"/>
      <c r="F279" s="77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</row>
    <row r="280">
      <c r="A280" s="76"/>
      <c r="B280" s="77"/>
      <c r="C280" s="78"/>
      <c r="D280" s="74"/>
      <c r="E280" s="76"/>
      <c r="F280" s="77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</row>
    <row r="281">
      <c r="A281" s="76"/>
      <c r="B281" s="77"/>
      <c r="C281" s="78"/>
      <c r="D281" s="74"/>
      <c r="E281" s="76"/>
      <c r="F281" s="77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</row>
    <row r="282">
      <c r="A282" s="76"/>
      <c r="B282" s="77"/>
      <c r="C282" s="78"/>
      <c r="D282" s="74"/>
      <c r="E282" s="76"/>
      <c r="F282" s="77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</row>
    <row r="283">
      <c r="A283" s="76"/>
      <c r="B283" s="77"/>
      <c r="C283" s="78"/>
      <c r="D283" s="74"/>
      <c r="E283" s="76"/>
      <c r="F283" s="77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</row>
    <row r="284">
      <c r="A284" s="76"/>
      <c r="B284" s="77"/>
      <c r="C284" s="78"/>
      <c r="D284" s="74"/>
      <c r="E284" s="76"/>
      <c r="F284" s="77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</row>
    <row r="285">
      <c r="A285" s="76"/>
      <c r="B285" s="77"/>
      <c r="C285" s="78"/>
      <c r="D285" s="74"/>
      <c r="E285" s="76"/>
      <c r="F285" s="77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</row>
    <row r="286">
      <c r="A286" s="76"/>
      <c r="B286" s="77"/>
      <c r="C286" s="78"/>
      <c r="D286" s="74"/>
      <c r="E286" s="76"/>
      <c r="F286" s="77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</row>
    <row r="287">
      <c r="A287" s="76"/>
      <c r="B287" s="77"/>
      <c r="C287" s="78"/>
      <c r="D287" s="74"/>
      <c r="E287" s="76"/>
      <c r="F287" s="74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
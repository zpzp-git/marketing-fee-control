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营销活动7.7" sheetId="2" r:id="rId5"/>
    <sheet name="营销活动计划分类" sheetId="3" r:id="rId6"/>
    <sheet name="待确认" sheetId="4" r:id="rId7"/>
    <sheet name="基础信息" sheetId="5" r:id="rId8"/>
    <sheet name="营销活动与费用类型关联关系" sheetId="6" r:id="rId9"/>
    <sheet name="营销计划（活动-更新）" sheetId="7" r:id="rId10"/>
    <sheet name="收集数据表" sheetId="8" r:id="rId11"/>
    <sheet name="预算部门-&gt;营销活动计划分类" sheetId="9" r:id="rId12"/>
    <sheet name="Sheet9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<sst xmlns="http://schemas.openxmlformats.org/spreadsheetml/2006/main" count="3" uniqueCount="3">
  <si>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</si>
  <si>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rgb="FF000000"/>
        <rFont val="Calibri"/>
        <family val="2"/>
      </rPr>
      <t>天猫-万</t>
    </r>
    <r>
      <rPr>
        <sz val="9.75"/>
        <color rgb="FFF54A45"/>
        <rFont val="Calibri"/>
        <family val="2"/>
      </rPr>
      <t>相</t>
    </r>
    <r>
      <rPr>
        <sz val="9.75"/>
        <color rgb="FF000000"/>
        <rFont val="Calibri"/>
        <family val="2"/>
      </rPr>
      <t>台-超级短视频</t>
    </r>
  </si>
  <si>
    <t/>
    <r>
      <rPr>
        <sz val="9.75"/>
        <color rgb="FF000000"/>
        <rFont val="Calibri"/>
        <family val="2"/>
      </rPr>
      <t>天猫-万</t>
    </r>
    <r>
      <rPr>
        <sz val="9.75"/>
        <color rgb="FFF54A45"/>
        <rFont val="Calibri"/>
        <family val="2"/>
      </rPr>
      <t>相</t>
    </r>
    <r>
      <rPr>
        <sz val="9.75"/>
        <color rgb="FF000000"/>
        <rFont val="Calibri"/>
        <family val="2"/>
      </rPr>
      <t>台-超级直播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</si>
</sst>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@"/>
    <numFmt numFmtId="165" formatCode="@"/>
    <numFmt numFmtId="166" formatCode="@"/>
    <numFmt numFmtId="167" formatCode="@"/>
    <numFmt numFmtId="168" formatCode="@"/>
    <numFmt numFmtId="169" formatCode="@"/>
    <numFmt numFmtId="170" formatCode="@"/>
    <numFmt numFmtId="171" formatCode="@"/>
  </numFmts>
  <fonts count="23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F54A45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10.5"/>
      <color rgb="FF1F2329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FFFFFF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70C0"/>
      <name val="Calibri"/>
      <family val="2"/>
      <scheme val="minor"/>
    </font>
    <font>
      <b val="true"/>
      <sz val="9.75"/>
      <color rgb="FFFF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70C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13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F3FD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133C9A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F54A45"/>
        <bgColor/>
      </patternFill>
    </fill>
    <fill>
      <patternFill patternType="solid">
        <fgColor rgb="FF8EA9DB"/>
        <bgColor/>
      </patternFill>
    </fill>
    <fill>
      <patternFill patternType="solid">
        <fgColor rgb="FF8EA9DB"/>
        <bgColor/>
      </patternFill>
    </fill>
    <fill>
      <patternFill patternType="solid">
        <fgColor rgb="FFFFFF00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F3BF5"/>
        <bgColor/>
      </patternFill>
    </fill>
    <fill>
      <patternFill patternType="solid">
        <fgColor rgb="FF3370FF"/>
        <bgColor/>
      </patternFill>
    </fill>
    <fill>
      <patternFill patternType="solid">
        <fgColor rgb="FF34C724"/>
        <bgColor/>
      </patternFill>
    </fill>
    <fill>
      <patternFill patternType="solid">
        <fgColor rgb="FF3370FF"/>
        <bgColor/>
      </patternFill>
    </fill>
    <fill>
      <patternFill patternType="solid">
        <fgColor rgb="FF3370FF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FBBFBC"/>
        <bgColor/>
      </patternFill>
    </fill>
    <fill>
      <patternFill patternType="solid">
        <fgColor rgb="FFFBBFBC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BBFBC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3370FF"/>
        <bgColor/>
      </patternFill>
    </fill>
    <fill>
      <patternFill patternType="solid">
        <fgColor rgb="FFD5F6F2"/>
        <bgColor/>
      </patternFill>
    </fill>
    <fill>
      <patternFill patternType="solid">
        <fgColor rgb="FFF8CBAD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D5F6F2"/>
        <bgColor/>
      </patternFill>
    </fill>
    <fill>
      <patternFill patternType="solid">
        <fgColor rgb="FFBDD7EE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AEAAAA"/>
        <bgColor/>
      </patternFill>
    </fill>
    <fill>
      <patternFill patternType="solid">
        <fgColor rgb="FFAEAAAA"/>
        <bgColor/>
      </patternFill>
    </fill>
    <fill>
      <patternFill patternType="solid">
        <fgColor rgb="FFAEAAAA"/>
        <bgColor/>
      </patternFill>
    </fill>
    <fill>
      <patternFill patternType="solid">
        <fgColor rgb="FFFFF2CC"/>
        <bgColor/>
      </patternFill>
    </fill>
    <fill>
      <patternFill patternType="solid">
        <fgColor rgb="FFAEAAAA"/>
        <bgColor/>
      </patternFill>
    </fill>
    <fill>
      <patternFill patternType="solid">
        <fgColor rgb="FFAEAAAA"/>
        <bgColor/>
      </patternFill>
    </fill>
    <fill>
      <patternFill patternType="solid">
        <fgColor rgb="FF808080"/>
        <bgColor/>
      </patternFill>
    </fill>
    <fill>
      <patternFill patternType="solid">
        <fgColor rgb="FF808080"/>
        <bgColor/>
      </patternFill>
    </fill>
    <fill>
      <patternFill patternType="solid">
        <fgColor rgb="FF808080"/>
        <bgColor/>
      </patternFill>
    </fill>
    <fill>
      <patternFill patternType="solid">
        <fgColor rgb="FF808080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AF1D1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EDAFB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D5F6F2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230"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/>
      <right style="thin">
        <color rgb="FFE1EAFF"/>
      </right>
      <top style="thin">
        <color rgb="FFE1EAFF"/>
      </top>
      <bottom/>
      <diagonal/>
    </border>
    <border>
      <left/>
      <right style="thin">
        <color rgb="FFE1EAFF"/>
      </right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/>
      <diagonal/>
    </border>
    <border>
      <left/>
      <right style="thin">
        <color rgb="FFE1EAFF"/>
      </right>
      <top/>
      <bottom/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/>
      <right style="thin">
        <color rgb="FFE1EAFF"/>
      </right>
      <top style="thin">
        <color rgb="FFE1EAFF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/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/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 style="thin">
        <color rgb="FFE1EAFF"/>
      </right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/>
      <top/>
      <bottom/>
      <diagonal/>
    </border>
    <border>
      <left/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1EAFF"/>
      </right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  <border>
      <left/>
      <right style="thin">
        <color rgb="FFE1EAFF"/>
      </right>
      <top/>
      <bottom style="thin">
        <color rgb="FFE1EAF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5" numFmtId="0" xfId="0">
      <alignment horizontal="left" vertical="center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left" vertical="bottom"/>
    </xf>
    <xf applyAlignment="true" applyBorder="false" applyFill="false" applyFont="true" applyNumberFormat="false" applyProtection="false" borderId="8" fillId="0" fontId="8" numFmtId="0" xfId="0">
      <alignment horizontal="left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2" fontId="10" numFmtId="0" xfId="0">
      <alignment horizontal="left" vertical="center"/>
    </xf>
    <xf applyAlignment="true" applyBorder="false" applyFill="false" applyFont="true" applyNumberFormat="false" applyProtection="false" borderId="11" fillId="0" fontId="11" numFmtId="0" xfId="0">
      <alignment horizontal="left" vertical="center"/>
    </xf>
    <xf applyAlignment="true" applyBorder="false" applyFill="false" applyFont="true" applyNumberFormat="false" applyProtection="false" borderId="12" fillId="3" fontId="12" numFmtId="0" xfId="0">
      <alignment horizontal="left" vertical="center"/>
    </xf>
    <xf applyAlignment="true" applyBorder="false" applyFill="false" applyFont="true" applyNumberFormat="false" applyProtection="false" borderId="13" fillId="4" fontId="13" numFmtId="0" xfId="0">
      <alignment horizontal="left" vertical="center"/>
    </xf>
    <xf applyAlignment="true" applyBorder="false" applyFill="false" applyFont="true" applyNumberFormat="false" applyProtection="false" borderId="14" fillId="5" fontId="14" numFmtId="0" xfId="0">
      <alignment horizontal="center" vertical="center"/>
    </xf>
    <xf applyAlignment="true" applyBorder="false" applyFill="false" applyFont="true" applyNumberFormat="false" applyProtection="false" borderId="15" fillId="6" fontId="15" numFmtId="0" xfId="0">
      <alignment horizontal="left" vertical="center"/>
    </xf>
    <xf applyAlignment="true" applyBorder="false" applyFill="false" applyFont="true" applyNumberFormat="false" applyProtection="false" borderId="16" fillId="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 wrapText="true"/>
    </xf>
    <xf applyAlignment="true" applyBorder="false" applyFill="false" applyFont="true" applyNumberFormat="false" applyProtection="false" borderId="18" fillId="0" fontId="18" numFmtId="0" xfId="0">
      <alignment horizontal="left" vertical="center"/>
    </xf>
    <xf applyAlignment="true" applyBorder="false" applyFill="false" applyFont="true" applyNumberFormat="false" applyProtection="false" borderId="19" fillId="7" fontId="19" numFmtId="0" xfId="0">
      <alignment horizontal="left" vertical="center"/>
    </xf>
    <xf applyAlignment="true" applyBorder="false" applyFill="false" applyFont="true" applyNumberFormat="false" applyProtection="false" borderId="20" fillId="8" fontId="20" numFmtId="0" xfId="0">
      <alignment horizontal="left" vertical="center"/>
    </xf>
    <xf applyAlignment="true" applyBorder="false" applyFill="false" applyFont="true" applyNumberFormat="false" applyProtection="false" borderId="21" fillId="9" fontId="21" numFmtId="0" xfId="0">
      <alignment horizontal="center" vertical="center"/>
    </xf>
    <xf applyAlignment="true" applyBorder="false" applyFill="false" applyFont="true" applyNumberFormat="false" applyProtection="false" borderId="22" fillId="10" fontId="22" numFmtId="0" xfId="0">
      <alignment horizontal="left" vertical="center"/>
    </xf>
    <xf applyAlignment="true" applyBorder="false" applyFill="false" applyFont="true" applyNumberFormat="false" applyProtection="false" borderId="23" fillId="11" fontId="23" numFmtId="0" xfId="0">
      <alignment horizontal="left" vertical="center"/>
    </xf>
    <xf applyAlignment="true" applyBorder="false" applyFill="false" applyFont="true" applyNumberFormat="false" applyProtection="false" borderId="24" fillId="0" fontId="24" numFmtId="0" xfId="0">
      <alignment horizontal="left" vertical="center"/>
    </xf>
    <xf applyAlignment="true" applyBorder="false" applyFill="false" applyFont="true" applyNumberFormat="false" applyProtection="false" borderId="25" fillId="0" fontId="25" numFmtId="0" xfId="0">
      <alignment horizontal="left" vertical="bottom"/>
    </xf>
    <xf applyAlignment="true" applyBorder="false" applyFill="false" applyFont="true" applyNumberFormat="false" applyProtection="false" borderId="26" fillId="0" fontId="26" numFmtId="0" xfId="0">
      <alignment horizontal="left" vertical="center"/>
    </xf>
    <xf applyAlignment="true" applyBorder="false" applyFill="false" applyFont="true" applyNumberFormat="false" applyProtection="false" borderId="27" fillId="0" fontId="27" numFmtId="0" xfId="0">
      <alignment horizontal="left" vertical="center"/>
    </xf>
    <xf applyAlignment="true" applyBorder="false" applyFill="false" applyFont="true" applyNumberFormat="false" applyProtection="false" borderId="28" fillId="12" fontId="28" numFmtId="0" xfId="0">
      <alignment horizontal="left" vertical="center"/>
    </xf>
    <xf applyAlignment="true" applyBorder="false" applyFill="false" applyFont="true" applyNumberFormat="false" applyProtection="false" borderId="29" fillId="0" fontId="29" numFmtId="0" xfId="0">
      <alignment horizontal="left" vertical="center"/>
    </xf>
    <xf applyAlignment="true" applyBorder="false" applyFill="false" applyFont="true" applyNumberFormat="false" applyProtection="false" borderId="30" fillId="0" fontId="30" numFmtId="0" xfId="0">
      <alignment horizontal="left" vertical="center"/>
    </xf>
    <xf applyAlignment="true" applyBorder="false" applyFill="false" applyFont="true" applyNumberFormat="false" applyProtection="false" borderId="31" fillId="0" fontId="31" numFmtId="0" xfId="0">
      <alignment horizontal="left" vertical="center"/>
    </xf>
    <xf applyAlignment="true" applyBorder="false" applyFill="false" applyFont="true" applyNumberFormat="false" applyProtection="false" borderId="32" fillId="0" fontId="32" numFmtId="0" xfId="0">
      <alignment horizontal="center" vertical="center"/>
    </xf>
    <xf applyAlignment="true" applyBorder="false" applyFill="false" applyFont="true" applyNumberFormat="false" applyProtection="false" borderId="33" fillId="0" fontId="33" numFmtId="0" xfId="0">
      <alignment horizontal="left" vertical="bottom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horizontal="left" vertical="center"/>
    </xf>
    <xf applyAlignment="true" applyBorder="false" applyFill="false" applyFont="true" applyNumberFormat="false" applyProtection="false" borderId="36" fillId="0" fontId="36" numFmtId="0" xfId="0">
      <alignment horizontal="left" vertical="bottom"/>
    </xf>
    <xf applyAlignment="true" applyBorder="false" applyFill="false" applyFont="true" applyNumberFormat="false" applyProtection="false" borderId="37" fillId="0" fontId="37" numFmtId="0" xfId="0">
      <alignment horizontal="left" vertical="center"/>
    </xf>
    <xf applyAlignment="true" applyBorder="false" applyFill="false" applyFont="true" applyNumberFormat="false" applyProtection="false" borderId="38" fillId="0" fontId="38" numFmtId="0" xfId="0">
      <alignment horizontal="left" vertical="center"/>
    </xf>
    <xf applyAlignment="true" applyBorder="false" applyFill="false" applyFont="true" applyNumberFormat="false" applyProtection="false" borderId="39" fillId="0" fontId="39" numFmtId="0" xfId="0">
      <alignment horizontal="left" vertical="center"/>
    </xf>
    <xf applyAlignment="true" applyBorder="false" applyFill="false" applyFont="true" applyNumberFormat="false" applyProtection="false" borderId="40" fillId="0" fontId="40" numFmtId="0" xfId="0">
      <alignment horizontal="center" vertical="center"/>
    </xf>
    <xf applyAlignment="true" applyBorder="false" applyFill="false" applyFont="true" applyNumberFormat="false" applyProtection="false" borderId="41" fillId="13" fontId="41" numFmtId="0" xfId="0">
      <alignment horizontal="left" vertical="center"/>
    </xf>
    <xf applyAlignment="true" applyBorder="false" applyFill="false" applyFont="true" applyNumberFormat="false" applyProtection="false" borderId="42" fillId="14" fontId="42" numFmtId="0" xfId="0">
      <alignment horizontal="left" vertical="center"/>
    </xf>
    <xf applyAlignment="true" applyBorder="false" applyFill="false" applyFont="true" applyNumberFormat="false" applyProtection="false" borderId="43" fillId="15" fontId="43" numFmtId="0" xfId="0">
      <alignment horizontal="left" vertical="center"/>
    </xf>
    <xf applyAlignment="true" applyBorder="false" applyFill="false" applyFont="true" applyNumberFormat="false" applyProtection="false" borderId="44" fillId="16" fontId="44" numFmtId="0" xfId="0">
      <alignment horizontal="left" vertical="center"/>
    </xf>
    <xf applyAlignment="true" applyBorder="false" applyFill="false" applyFont="true" applyNumberFormat="false" applyProtection="false" borderId="45" fillId="17" fontId="45" numFmtId="0" xfId="0">
      <alignment horizontal="left" vertical="center"/>
    </xf>
    <xf applyAlignment="true" applyBorder="false" applyFill="false" applyFont="true" applyNumberFormat="false" applyProtection="false" borderId="46" fillId="18" fontId="46" numFmtId="0" xfId="0">
      <alignment horizontal="left" vertical="center"/>
    </xf>
    <xf applyAlignment="true" applyBorder="false" applyFill="false" applyFont="true" applyNumberFormat="false" applyProtection="false" borderId="47" fillId="19" fontId="47" numFmtId="0" xfId="0">
      <alignment horizontal="left" vertical="center"/>
    </xf>
    <xf applyAlignment="true" applyBorder="false" applyFill="false" applyFont="true" applyNumberFormat="false" applyProtection="false" borderId="48" fillId="20" fontId="48" numFmtId="0" xfId="0">
      <alignment vertical="center"/>
    </xf>
    <xf applyAlignment="true" applyBorder="false" applyFill="false" applyFont="true" applyNumberFormat="false" applyProtection="false" borderId="49" fillId="21" fontId="49" numFmtId="0" xfId="0">
      <alignment horizontal="center" vertical="center"/>
    </xf>
    <xf applyAlignment="true" applyBorder="false" applyFill="false" applyFont="true" applyNumberFormat="false" applyProtection="false" borderId="50" fillId="22" fontId="50" numFmtId="0" xfId="0">
      <alignment horizontal="left" vertical="center"/>
    </xf>
    <xf applyAlignment="true" applyBorder="false" applyFill="false" applyFont="true" applyNumberFormat="false" applyProtection="false" borderId="51" fillId="0" fontId="51" numFmtId="0" xfId="0">
      <alignment horizontal="left" vertical="center"/>
    </xf>
    <xf applyAlignment="true" applyBorder="false" applyFill="false" applyFont="true" applyNumberFormat="false" applyProtection="false" borderId="52" fillId="0" fontId="52" numFmtId="0" xfId="0">
      <alignment horizontal="center" vertical="center" wrapText="true"/>
    </xf>
    <xf applyAlignment="true" applyBorder="false" applyFill="false" applyFont="true" applyNumberFormat="false" applyProtection="false" borderId="53" fillId="23" fontId="53" numFmtId="0" xfId="0">
      <alignment horizontal="left" vertical="center"/>
    </xf>
    <xf applyAlignment="true" applyBorder="false" applyFill="false" applyFont="true" applyNumberFormat="false" applyProtection="false" borderId="54" fillId="24" fontId="54" numFmtId="0" xfId="0">
      <alignment horizontal="left" vertical="center"/>
    </xf>
    <xf applyAlignment="true" applyBorder="false" applyFill="false" applyFont="true" applyNumberFormat="false" applyProtection="false" borderId="55" fillId="25" fontId="55" numFmtId="0" xfId="0">
      <alignment horizontal="left" vertical="center"/>
    </xf>
    <xf applyAlignment="true" applyBorder="false" applyFill="false" applyFont="true" applyNumberFormat="false" applyProtection="false" borderId="56" fillId="26" fontId="56" numFmtId="0" xfId="0">
      <alignment horizontal="left" vertical="center"/>
    </xf>
    <xf applyAlignment="true" applyBorder="false" applyFill="false" applyFont="true" applyNumberFormat="false" applyProtection="false" borderId="57" fillId="27" fontId="57" numFmtId="0" xfId="0">
      <alignment horizontal="center" vertical="center"/>
    </xf>
    <xf applyAlignment="true" applyBorder="false" applyFill="false" applyFont="true" applyNumberFormat="false" applyProtection="false" borderId="58" fillId="28" fontId="58" numFmtId="0" xfId="0">
      <alignment horizontal="left" vertical="bottom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horizontal="center"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horizontal="left" vertical="center"/>
    </xf>
    <xf applyAlignment="true" applyBorder="false" applyFill="false" applyFont="true" applyNumberFormat="false" applyProtection="false" borderId="63" fillId="0" fontId="63" numFmtId="0" xfId="0">
      <alignment horizontal="left" vertical="center"/>
    </xf>
    <xf applyAlignment="true" applyBorder="false" applyFill="false" applyFont="true" applyNumberFormat="false" applyProtection="false" borderId="64" fillId="0" fontId="64" numFmtId="0" xfId="0">
      <alignment horizontal="left" vertical="center" wrapText="true"/>
    </xf>
    <xf applyAlignment="true" applyBorder="false" applyFill="false" applyFont="true" applyNumberFormat="false" applyProtection="false" borderId="65" fillId="0" fontId="65" numFmtId="0" xfId="0">
      <alignment vertical="center" wrapText="true"/>
    </xf>
    <xf applyAlignment="true" applyBorder="false" applyFill="false" applyFont="true" applyNumberFormat="false" applyProtection="false" borderId="66" fillId="29" fontId="66" numFmtId="0" xfId="0">
      <alignment vertical="center"/>
    </xf>
    <xf applyAlignment="true" applyBorder="false" applyFill="false" applyFont="true" applyNumberFormat="false" applyProtection="false" borderId="67" fillId="30" fontId="67" numFmtId="0" xfId="0">
      <alignment horizontal="left" vertical="center"/>
    </xf>
    <xf applyAlignment="true" applyBorder="false" applyFill="false" applyFont="true" applyNumberFormat="false" applyProtection="false" borderId="68" fillId="31" fontId="68" numFmtId="0" xfId="0">
      <alignment horizontal="left" vertical="bottom"/>
    </xf>
    <xf applyAlignment="true" applyBorder="false" applyFill="false" applyFont="true" applyNumberFormat="false" applyProtection="false" borderId="69" fillId="32" fontId="69" numFmtId="0" xfId="0">
      <alignment horizontal="left" vertical="center"/>
    </xf>
    <xf applyAlignment="true" applyBorder="false" applyFill="false" applyFont="true" applyNumberFormat="false" applyProtection="false" borderId="70" fillId="33" fontId="70" numFmtId="0" xfId="0">
      <alignment horizontal="left" vertical="center"/>
    </xf>
    <xf applyAlignment="true" applyBorder="false" applyFill="false" applyFont="true" applyNumberFormat="false" applyProtection="false" borderId="71" fillId="34" fontId="71" numFmtId="0" xfId="0">
      <alignment horizontal="left" vertical="bottom"/>
    </xf>
    <xf applyAlignment="true" applyBorder="false" applyFill="false" applyFont="true" applyNumberFormat="false" applyProtection="false" borderId="72" fillId="35" fontId="72" numFmtId="0" xfId="0">
      <alignment horizontal="left" vertical="center"/>
    </xf>
    <xf applyAlignment="true" applyBorder="false" applyFill="false" applyFont="true" applyNumberFormat="false" applyProtection="false" borderId="73" fillId="36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horizontal="left"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horizontal="left" vertical="center"/>
    </xf>
    <xf applyAlignment="true" applyBorder="false" applyFill="false" applyFont="true" applyNumberFormat="false" applyProtection="false" borderId="77" fillId="37" fontId="77" numFmtId="0" xfId="0">
      <alignment horizontal="left" vertical="center"/>
    </xf>
    <xf applyAlignment="true" applyBorder="false" applyFill="false" applyFont="true" applyNumberFormat="false" applyProtection="false" borderId="78" fillId="38" fontId="78" numFmtId="0" xfId="0">
      <alignment vertical="center"/>
    </xf>
    <xf applyAlignment="true" applyBorder="false" applyFill="false" applyFont="true" applyNumberFormat="false" applyProtection="false" borderId="79" fillId="39" fontId="79" numFmtId="0" xfId="0">
      <alignment horizontal="left" vertical="center"/>
    </xf>
    <xf applyAlignment="true" applyBorder="false" applyFill="false" applyFont="true" applyNumberFormat="false" applyProtection="false" borderId="80" fillId="40" fontId="80" numFmtId="0" xfId="0">
      <alignment horizontal="left" vertical="center"/>
    </xf>
    <xf applyAlignment="true" applyBorder="false" applyFill="false" applyFont="true" applyNumberFormat="false" applyProtection="false" borderId="81" fillId="41" fontId="81" numFmtId="0" xfId="0">
      <alignment horizontal="center" vertical="center"/>
    </xf>
    <xf applyAlignment="true" applyBorder="false" applyFill="false" applyFont="true" applyNumberFormat="false" applyProtection="false" borderId="82" fillId="42" fontId="82" numFmtId="0" xfId="0">
      <alignment horizontal="left" vertical="center"/>
    </xf>
    <xf applyAlignment="true" applyBorder="false" applyFill="false" applyFont="true" applyNumberFormat="false" applyProtection="false" borderId="83" fillId="43" fontId="83" numFmtId="0" xfId="0">
      <alignment horizontal="left" vertical="center"/>
    </xf>
    <xf applyAlignment="true" applyBorder="false" applyFill="false" applyFont="true" applyNumberFormat="false" applyProtection="false" borderId="84" fillId="44" fontId="84" numFmtId="0" xfId="0">
      <alignment horizontal="left" vertical="bottom"/>
    </xf>
    <xf applyAlignment="true" applyBorder="false" applyFill="false" applyFont="true" applyNumberFormat="false" applyProtection="false" borderId="85" fillId="0" fontId="85" numFmtId="0" xfId="0">
      <alignment horizontal="left" vertical="bottom"/>
    </xf>
    <xf applyAlignment="true" applyBorder="false" applyFill="false" applyFont="true" applyNumberFormat="false" applyProtection="false" borderId="86" fillId="0" fontId="86" numFmtId="0" xfId="0">
      <alignment horizontal="left" vertical="bottom"/>
    </xf>
    <xf applyAlignment="true" applyBorder="false" applyFill="false" applyFont="true" applyNumberFormat="false" applyProtection="false" borderId="87" fillId="0" fontId="87" numFmtId="0" xfId="0">
      <alignment horizontal="left" vertical="center"/>
    </xf>
    <xf applyAlignment="true" applyBorder="false" applyFill="false" applyFont="true" applyNumberFormat="false" applyProtection="false" borderId="88" fillId="45" fontId="88" numFmtId="0" xfId="0">
      <alignment horizontal="center" vertical="center"/>
    </xf>
    <xf applyAlignment="true" applyBorder="false" applyFill="false" applyFont="true" applyNumberFormat="false" applyProtection="false" borderId="89" fillId="46" fontId="89" numFmtId="0" xfId="0">
      <alignment horizontal="center" vertical="center"/>
    </xf>
    <xf applyAlignment="true" applyBorder="false" applyFill="false" applyFont="true" applyNumberFormat="false" applyProtection="false" borderId="90" fillId="47" fontId="90" numFmtId="0" xfId="0">
      <alignment vertical="bottom"/>
    </xf>
    <xf applyAlignment="true" applyBorder="false" applyFill="false" applyFont="true" applyNumberFormat="false" applyProtection="false" borderId="91" fillId="48" fontId="91" numFmtId="0" xfId="0">
      <alignment horizontal="left" vertical="center"/>
    </xf>
    <xf applyAlignment="true" applyBorder="false" applyFill="false" applyFont="true" applyNumberFormat="false" applyProtection="false" borderId="92" fillId="0" fontId="92" numFmtId="0" xfId="0">
      <alignment vertical="bottom"/>
    </xf>
    <xf applyAlignment="true" applyBorder="false" applyFill="false" applyFont="true" applyNumberFormat="false" applyProtection="false" borderId="93" fillId="49" fontId="93" numFmtId="0" xfId="0">
      <alignment horizontal="center" vertical="center" wrapText="true"/>
    </xf>
    <xf applyAlignment="true" applyBorder="false" applyFill="false" applyFont="true" applyNumberFormat="false" applyProtection="false" borderId="94" fillId="50" fontId="94" numFmtId="0" xfId="0">
      <alignment horizontal="center" vertical="center" wrapText="true"/>
    </xf>
    <xf applyAlignment="true" applyBorder="false" applyFill="false" applyFont="true" applyNumberFormat="false" applyProtection="false" borderId="95" fillId="0" fontId="95" numFmtId="0" xfId="0">
      <alignment horizontal="center" vertical="center" wrapText="true"/>
    </xf>
    <xf applyAlignment="true" applyBorder="false" applyFill="false" applyFont="true" applyNumberFormat="false" applyProtection="false" borderId="96" fillId="0" fontId="96" numFmtId="0" xfId="0">
      <alignment vertical="center" wrapText="true"/>
    </xf>
    <xf applyAlignment="true" applyBorder="false" applyFill="false" applyFont="true" applyNumberFormat="false" applyProtection="false" borderId="97" fillId="0" fontId="97" numFmtId="0" xfId="0">
      <alignment horizontal="left" vertical="bottom"/>
    </xf>
    <xf applyAlignment="true" applyBorder="false" applyFill="false" applyFont="true" applyNumberFormat="false" applyProtection="false" borderId="98" fillId="0" fontId="98" numFmtId="0" xfId="0">
      <alignment horizontal="left" vertical="center" wrapText="true"/>
    </xf>
    <xf applyAlignment="true" applyBorder="false" applyFill="false" applyFont="true" applyNumberFormat="false" applyProtection="false" borderId="99" fillId="51" fontId="99" numFmtId="0" xfId="0">
      <alignment horizontal="left" vertical="center" wrapText="true"/>
    </xf>
    <xf applyAlignment="true" applyBorder="false" applyFill="false" applyFont="true" applyNumberFormat="false" applyProtection="false" borderId="100" fillId="0" fontId="100" numFmtId="0" xfId="0">
      <alignment horizontal="left" vertical="center"/>
    </xf>
    <xf applyAlignment="true" applyBorder="false" applyFill="false" applyFont="true" applyNumberFormat="false" applyProtection="false" borderId="101" fillId="0" fontId="101" numFmtId="0" xfId="0">
      <alignment vertical="center" wrapText="true"/>
    </xf>
    <xf applyAlignment="true" applyBorder="false" applyFill="false" applyFont="true" applyNumberFormat="false" applyProtection="false" borderId="102" fillId="52" fontId="102" numFmtId="0" xfId="0">
      <alignment vertical="center" wrapText="true"/>
    </xf>
    <xf applyAlignment="true" applyBorder="false" applyFill="false" applyFont="true" applyNumberFormat="false" applyProtection="false" borderId="103" fillId="53" fontId="103" numFmtId="0" xfId="0">
      <alignment horizontal="center" vertical="center" wrapText="true"/>
    </xf>
    <xf applyAlignment="true" applyBorder="false" applyFill="false" applyFont="true" applyNumberFormat="false" applyProtection="false" borderId="104" fillId="54" fontId="104" numFmtId="0" xfId="0">
      <alignment horizontal="left" vertical="center" wrapText="true"/>
    </xf>
    <xf applyAlignment="true" applyBorder="false" applyFill="false" applyFont="true" applyNumberFormat="false" applyProtection="false" borderId="105" fillId="0" fontId="105" numFmtId="0" xfId="0">
      <alignment horizontal="left" vertical="center" wrapText="true"/>
    </xf>
    <xf applyAlignment="true" applyBorder="false" applyFill="false" applyFont="true" applyNumberFormat="false" applyProtection="false" borderId="106" fillId="0" fontId="106" numFmtId="0" xfId="0">
      <alignment horizontal="left" vertical="bottom" wrapText="true"/>
    </xf>
    <xf applyAlignment="true" applyBorder="false" applyFill="false" applyFont="true" applyNumberFormat="false" applyProtection="false" borderId="107" fillId="55" fontId="107" numFmtId="0" xfId="0">
      <alignment horizontal="left" vertical="center"/>
    </xf>
    <xf applyAlignment="true" applyBorder="false" applyFill="false" applyFont="true" applyNumberFormat="false" applyProtection="false" borderId="108" fillId="56" fontId="108" numFmtId="0" xfId="0">
      <alignment horizontal="left" vertical="bottom"/>
    </xf>
    <xf applyAlignment="true" applyBorder="false" applyFill="false" applyFont="true" applyNumberFormat="false" applyProtection="false" borderId="109" fillId="0" fontId="109" numFmtId="0" xfId="0">
      <alignment vertical="bottom"/>
    </xf>
    <xf applyAlignment="true" applyBorder="false" applyFill="false" applyFont="true" applyNumberFormat="false" applyProtection="false" borderId="110" fillId="57" fontId="110" numFmtId="0" xfId="0">
      <alignment horizontal="center" vertical="center" wrapText="true"/>
    </xf>
    <xf applyAlignment="true" applyBorder="false" applyFill="false" applyFont="true" applyNumberFormat="false" applyProtection="false" borderId="111" fillId="58" fontId="111" numFmtId="0" xfId="0">
      <alignment horizontal="center" vertical="center" wrapText="true"/>
    </xf>
    <xf applyAlignment="true" applyBorder="false" applyFill="false" applyFont="true" applyNumberFormat="false" applyProtection="false" borderId="112" fillId="59" fontId="112" numFmtId="0" xfId="0">
      <alignment horizontal="center" vertical="center" wrapText="true"/>
    </xf>
    <xf applyAlignment="true" applyBorder="false" applyFill="false" applyFont="true" applyNumberFormat="false" applyProtection="false" borderId="113" fillId="60" fontId="113" numFmtId="0" xfId="0">
      <alignment horizontal="center" vertical="center"/>
    </xf>
    <xf applyAlignment="true" applyBorder="false" applyFill="false" applyFont="true" applyNumberFormat="false" applyProtection="false" borderId="114" fillId="61" fontId="114" numFmtId="0" xfId="0">
      <alignment horizontal="center" vertical="bottom"/>
    </xf>
    <xf applyAlignment="true" applyBorder="false" applyFill="false" applyFont="true" applyNumberFormat="false" applyProtection="false" borderId="115" fillId="0" fontId="115" numFmtId="0" xfId="0">
      <alignment horizontal="left" vertical="bottom"/>
    </xf>
    <xf applyAlignment="true" applyBorder="false" applyFill="false" applyFont="true" applyNumberFormat="false" applyProtection="false" borderId="116" fillId="0" fontId="116" numFmtId="0" xfId="0">
      <alignment horizontal="center" vertical="center" wrapText="true"/>
    </xf>
    <xf applyAlignment="true" applyBorder="false" applyFill="false" applyFont="true" applyNumberFormat="true" applyProtection="false" borderId="117" fillId="0" fontId="117" numFmtId="164" xfId="0">
      <alignment vertical="center" wrapText="true"/>
    </xf>
    <xf applyAlignment="true" applyBorder="false" applyFill="false" applyFont="true" applyNumberFormat="false" applyProtection="false" borderId="118" fillId="62" fontId="118" numFmtId="0" xfId="0">
      <alignment horizontal="center" vertical="center" wrapText="true"/>
    </xf>
    <xf applyAlignment="true" applyBorder="false" applyFill="false" applyFont="true" applyNumberFormat="false" applyProtection="false" borderId="119" fillId="63" fontId="119" numFmtId="0" xfId="0">
      <alignment horizontal="left" vertical="bottom"/>
    </xf>
    <xf applyAlignment="true" applyBorder="false" applyFill="false" applyFont="true" applyNumberFormat="false" applyProtection="false" borderId="120" fillId="64" fontId="120" numFmtId="0" xfId="0">
      <alignment horizontal="left" vertical="center" wrapText="true"/>
    </xf>
    <xf applyAlignment="true" applyBorder="false" applyFill="false" applyFont="true" applyNumberFormat="false" applyProtection="false" borderId="121" fillId="65" fontId="121" numFmtId="0" xfId="0">
      <alignment horizontal="left" vertical="center"/>
    </xf>
    <xf applyAlignment="true" applyBorder="false" applyFill="false" applyFont="true" applyNumberFormat="false" applyProtection="false" borderId="122" fillId="66" fontId="122" numFmtId="0" xfId="0">
      <alignment vertical="center" wrapText="true"/>
    </xf>
    <xf applyAlignment="true" applyBorder="false" applyFill="false" applyFont="true" applyNumberFormat="false" applyProtection="false" borderId="123" fillId="0" fontId="123" numFmtId="0" xfId="0">
      <alignment vertical="center"/>
    </xf>
    <xf applyAlignment="true" applyBorder="false" applyFill="false" applyFont="true" applyNumberFormat="false" applyProtection="false" borderId="124" fillId="0" fontId="124" numFmtId="0" xfId="0">
      <alignment vertical="bottom"/>
    </xf>
    <xf applyAlignment="true" applyBorder="false" applyFill="false" applyFont="true" applyNumberFormat="false" applyProtection="false" borderId="125" fillId="0" fontId="125" numFmtId="0" xfId="0">
      <alignment horizontal="left" vertical="center"/>
    </xf>
    <xf applyAlignment="true" applyBorder="false" applyFill="false" applyFont="true" applyNumberFormat="false" applyProtection="false" borderId="126" fillId="67" fontId="126" numFmtId="0" xfId="0">
      <alignment horizontal="left" vertical="center"/>
    </xf>
    <xf applyAlignment="true" applyBorder="false" applyFill="false" applyFont="true" applyNumberFormat="false" applyProtection="false" borderId="127" fillId="0" fontId="127" numFmtId="0" xfId="0">
      <alignment horizontal="left" vertical="center"/>
    </xf>
    <xf applyAlignment="true" applyBorder="false" applyFill="false" applyFont="true" applyNumberFormat="false" applyProtection="false" borderId="128" fillId="0" fontId="128" numFmtId="0" xfId="0">
      <alignment horizontal="left" vertical="center"/>
    </xf>
    <xf applyAlignment="true" applyBorder="false" applyFill="false" applyFont="true" applyNumberFormat="false" applyProtection="false" borderId="129" fillId="0" fontId="129" numFmtId="0" xfId="0">
      <alignment vertical="bottom"/>
    </xf>
    <xf applyAlignment="true" applyBorder="false" applyFill="false" applyFont="true" applyNumberFormat="false" applyProtection="false" borderId="130" fillId="0" fontId="130" numFmtId="0" xfId="0">
      <alignment vertical="center" wrapText="true"/>
    </xf>
    <xf applyAlignment="true" applyBorder="false" applyFill="false" applyFont="true" applyNumberFormat="false" applyProtection="false" borderId="131" fillId="0" fontId="131" numFmtId="0" xfId="0">
      <alignment horizontal="left" vertical="center" wrapText="true"/>
    </xf>
    <xf applyAlignment="true" applyBorder="false" applyFill="false" applyFont="true" applyNumberFormat="false" applyProtection="false" borderId="132" fillId="0" fontId="132" numFmtId="0" xfId="0">
      <alignment vertical="bottom"/>
    </xf>
    <xf applyAlignment="true" applyBorder="false" applyFill="false" applyFont="true" applyNumberFormat="false" applyProtection="false" borderId="133" fillId="68" fontId="133" numFmtId="0" xfId="0">
      <alignment vertical="center" wrapText="true"/>
    </xf>
    <xf applyAlignment="true" applyBorder="false" applyFill="false" applyFont="true" applyNumberFormat="false" applyProtection="false" borderId="134" fillId="69" fontId="134" numFmtId="0" xfId="0">
      <alignment vertical="center" wrapText="true"/>
    </xf>
    <xf applyAlignment="true" applyBorder="false" applyFill="false" applyFont="true" applyNumberFormat="false" applyProtection="false" borderId="135" fillId="70" fontId="135" numFmtId="0" xfId="0">
      <alignment horizontal="left" vertical="center" wrapText="true"/>
    </xf>
    <xf applyAlignment="true" applyBorder="false" applyFill="false" applyFont="true" applyNumberFormat="false" applyProtection="false" borderId="136" fillId="71" fontId="136" numFmtId="0" xfId="0">
      <alignment horizontal="center" vertical="center" wrapText="true"/>
    </xf>
    <xf applyAlignment="true" applyBorder="false" applyFill="false" applyFont="true" applyNumberFormat="false" applyProtection="false" borderId="137" fillId="72" fontId="137" numFmtId="0" xfId="0">
      <alignment horizontal="left" vertical="bottom"/>
    </xf>
    <xf applyAlignment="true" applyBorder="false" applyFill="false" applyFont="true" applyNumberFormat="false" applyProtection="false" borderId="138" fillId="73" fontId="138" numFmtId="0" xfId="0">
      <alignment horizontal="left" vertical="center"/>
    </xf>
    <xf applyAlignment="true" applyBorder="false" applyFill="false" applyFont="true" applyNumberFormat="false" applyProtection="false" borderId="139" fillId="0" fontId="139" numFmtId="0" xfId="0">
      <alignment horizontal="left" vertical="bottom" wrapText="true"/>
    </xf>
    <xf applyAlignment="true" applyBorder="false" applyFill="false" applyFont="true" applyNumberFormat="false" applyProtection="false" borderId="140" fillId="74" fontId="140" numFmtId="0" xfId="0">
      <alignment horizontal="left" vertical="center" wrapText="true"/>
    </xf>
    <xf applyAlignment="true" applyBorder="false" applyFill="false" applyFont="true" applyNumberFormat="false" applyProtection="false" borderId="141" fillId="0" fontId="141" numFmtId="0" xfId="0">
      <alignment horizontal="center" vertical="center" wrapText="true"/>
    </xf>
    <xf applyAlignment="true" applyBorder="false" applyFill="false" applyFont="true" applyNumberFormat="false" applyProtection="false" borderId="142" fillId="0" fontId="142" numFmtId="0" xfId="0">
      <alignment horizontal="left" vertical="bottom"/>
    </xf>
    <xf applyAlignment="true" applyBorder="false" applyFill="false" applyFont="true" applyNumberFormat="false" applyProtection="false" borderId="143" fillId="0" fontId="143" numFmtId="0" xfId="0">
      <alignment vertical="center"/>
    </xf>
    <xf applyAlignment="true" applyBorder="false" applyFill="false" applyFont="true" applyNumberFormat="false" applyProtection="false" borderId="144" fillId="75" fontId="144" numFmtId="0" xfId="0">
      <alignment vertical="bottom"/>
    </xf>
    <xf applyAlignment="true" applyBorder="false" applyFill="false" applyFont="true" applyNumberFormat="false" applyProtection="false" borderId="145" fillId="76" fontId="145" numFmtId="0" xfId="0">
      <alignment horizontal="left" vertical="center"/>
    </xf>
    <xf applyAlignment="true" applyBorder="false" applyFill="false" applyFont="true" applyNumberFormat="true" applyProtection="false" borderId="146" fillId="77" fontId="146" numFmtId="165" xfId="0">
      <alignment horizontal="center" vertical="center" wrapText="true"/>
    </xf>
    <xf applyAlignment="true" applyBorder="false" applyFill="false" applyFont="true" applyNumberFormat="false" applyProtection="false" borderId="147" fillId="0" fontId="147" numFmtId="0" xfId="0">
      <alignment horizontal="center" vertical="center"/>
    </xf>
    <xf applyAlignment="true" applyBorder="false" applyFill="false" applyFont="true" applyNumberFormat="false" applyProtection="false" borderId="148" fillId="78" fontId="148" numFmtId="0" xfId="0">
      <alignment horizontal="center" vertical="center"/>
    </xf>
    <xf applyAlignment="true" applyBorder="false" applyFill="false" applyFont="true" applyNumberFormat="false" applyProtection="false" borderId="149" fillId="79" fontId="149" numFmtId="0" xfId="0">
      <alignment horizontal="left" vertical="center"/>
    </xf>
    <xf applyAlignment="true" applyBorder="false" applyFill="false" applyFont="true" applyNumberFormat="false" applyProtection="false" borderId="150" fillId="80" fontId="150" numFmtId="0" xfId="0">
      <alignment vertical="center"/>
    </xf>
    <xf applyAlignment="true" applyBorder="false" applyFill="false" applyFont="true" applyNumberFormat="false" applyProtection="false" borderId="151" fillId="81" fontId="151" numFmtId="0" xfId="0">
      <alignment horizontal="center" vertical="center"/>
    </xf>
    <xf applyAlignment="true" applyBorder="false" applyFill="false" applyFont="true" applyNumberFormat="false" applyProtection="false" borderId="152" fillId="82" fontId="152" numFmtId="0" xfId="0">
      <alignment vertical="bottom"/>
    </xf>
    <xf applyAlignment="true" applyBorder="false" applyFill="false" applyFont="true" applyNumberFormat="false" applyProtection="false" borderId="153" fillId="83" fontId="153" numFmtId="0" xfId="0">
      <alignment horizontal="left" vertical="center"/>
    </xf>
    <xf applyAlignment="true" applyBorder="false" applyFill="false" applyFont="true" applyNumberFormat="false" applyProtection="false" borderId="154" fillId="84" fontId="154" numFmtId="0" xfId="0">
      <alignment horizontal="left" vertical="center"/>
    </xf>
    <xf applyAlignment="true" applyBorder="false" applyFill="false" applyFont="true" applyNumberFormat="false" applyProtection="false" borderId="155" fillId="0" fontId="155" numFmtId="0" xfId="0">
      <alignment vertical="bottom"/>
    </xf>
    <xf applyAlignment="true" applyBorder="false" applyFill="false" applyFont="true" applyNumberFormat="false" applyProtection="false" borderId="156" fillId="0" fontId="156" numFmtId="0" xfId="0">
      <alignment horizontal="left" vertical="center"/>
    </xf>
    <xf applyAlignment="true" applyBorder="false" applyFill="false" applyFont="true" applyNumberFormat="false" applyProtection="false" borderId="157" fillId="0" fontId="157" numFmtId="0" xfId="0">
      <alignment horizontal="center" vertical="center"/>
    </xf>
    <xf applyAlignment="true" applyBorder="false" applyFill="false" applyFont="true" applyNumberFormat="false" applyProtection="false" borderId="158" fillId="0" fontId="158" numFmtId="0" xfId="0">
      <alignment horizontal="left" vertical="center"/>
    </xf>
    <xf applyAlignment="true" applyBorder="false" applyFill="false" applyFont="true" applyNumberFormat="false" applyProtection="false" borderId="159" fillId="0" fontId="159" numFmtId="0" xfId="0">
      <alignment horizontal="left" vertical="center"/>
    </xf>
    <xf applyAlignment="true" applyBorder="false" applyFill="false" applyFont="true" applyNumberFormat="false" applyProtection="false" borderId="160" fillId="0" fontId="160" numFmtId="0" xfId="0">
      <alignment horizontal="center" vertical="center"/>
    </xf>
    <xf applyAlignment="true" applyBorder="false" applyFill="false" applyFont="true" applyNumberFormat="false" applyProtection="false" borderId="161" fillId="0" fontId="161" numFmtId="0" xfId="0">
      <alignment horizontal="left" vertical="center"/>
    </xf>
    <xf applyAlignment="true" applyBorder="false" applyFill="false" applyFont="true" applyNumberFormat="false" applyProtection="false" borderId="162" fillId="85" fontId="162" numFmtId="0" xfId="0">
      <alignment horizontal="left" vertical="center"/>
    </xf>
    <xf applyAlignment="true" applyBorder="false" applyFill="false" applyFont="true" applyNumberFormat="false" applyProtection="false" borderId="163" fillId="86" fontId="163" numFmtId="0" xfId="0">
      <alignment vertical="center"/>
    </xf>
    <xf applyAlignment="true" applyBorder="false" applyFill="false" applyFont="true" applyNumberFormat="false" applyProtection="false" borderId="164" fillId="87" fontId="164" numFmtId="0" xfId="0">
      <alignment horizontal="left" vertical="center"/>
    </xf>
    <xf applyAlignment="true" applyBorder="false" applyFill="false" applyFont="true" applyNumberFormat="false" applyProtection="false" borderId="165" fillId="88" fontId="165" numFmtId="0" xfId="0">
      <alignment horizontal="center" vertical="center"/>
    </xf>
    <xf applyAlignment="true" applyBorder="false" applyFill="false" applyFont="true" applyNumberFormat="false" applyProtection="false" borderId="166" fillId="89" fontId="166" numFmtId="0" xfId="0">
      <alignment horizontal="left" vertical="center"/>
    </xf>
    <xf applyAlignment="true" applyBorder="false" applyFill="false" applyFont="true" applyNumberFormat="false" applyProtection="false" borderId="167" fillId="90" fontId="167" numFmtId="0" xfId="0">
      <alignment horizontal="center" vertical="center"/>
    </xf>
    <xf applyAlignment="true" applyBorder="false" applyFill="false" applyFont="true" applyNumberFormat="false" applyProtection="false" borderId="168" fillId="91" fontId="168" numFmtId="0" xfId="0">
      <alignment horizontal="center" vertical="center"/>
    </xf>
    <xf applyAlignment="true" applyBorder="false" applyFill="false" applyFont="true" applyNumberFormat="false" applyProtection="false" borderId="169" fillId="92" fontId="169" numFmtId="0" xfId="0">
      <alignment horizontal="left" vertical="center"/>
    </xf>
    <xf applyAlignment="true" applyBorder="false" applyFill="false" applyFont="true" applyNumberFormat="false" applyProtection="false" borderId="170" fillId="93" fontId="170" numFmtId="0" xfId="0">
      <alignment vertical="bottom"/>
    </xf>
    <xf applyAlignment="true" applyBorder="false" applyFill="false" applyFont="true" applyNumberFormat="false" applyProtection="false" borderId="171" fillId="94" fontId="171" numFmtId="0" xfId="0">
      <alignment vertical="center"/>
    </xf>
    <xf applyAlignment="true" applyBorder="false" applyFill="false" applyFont="true" applyNumberFormat="false" applyProtection="false" borderId="172" fillId="95" fontId="172" numFmtId="0" xfId="0">
      <alignment horizontal="left" vertical="center"/>
    </xf>
    <xf applyAlignment="true" applyBorder="false" applyFill="false" applyFont="true" applyNumberFormat="false" applyProtection="false" borderId="173" fillId="0" fontId="173" numFmtId="0" xfId="0">
      <alignment vertical="bottom"/>
    </xf>
    <xf applyAlignment="true" applyBorder="false" applyFill="false" applyFont="true" applyNumberFormat="false" applyProtection="false" borderId="174" fillId="0" fontId="174" numFmtId="0" xfId="0">
      <alignment horizontal="left" vertical="center"/>
    </xf>
    <xf applyAlignment="true" applyBorder="false" applyFill="false" applyFont="true" applyNumberFormat="false" applyProtection="false" borderId="175" fillId="96" fontId="175" numFmtId="0" xfId="0">
      <alignment horizontal="left" vertical="center"/>
    </xf>
    <xf applyAlignment="true" applyBorder="false" applyFill="false" applyFont="true" applyNumberFormat="false" applyProtection="false" borderId="176" fillId="97" fontId="176" numFmtId="0" xfId="0">
      <alignment vertical="bottom"/>
    </xf>
    <xf applyAlignment="true" applyBorder="false" applyFill="false" applyFont="true" applyNumberFormat="false" applyProtection="false" borderId="177" fillId="98" fontId="177" numFmtId="0" xfId="0">
      <alignment horizontal="left" vertical="center"/>
    </xf>
    <xf applyAlignment="true" applyBorder="false" applyFill="false" applyFont="true" applyNumberFormat="false" applyProtection="false" borderId="178" fillId="99" fontId="178" numFmtId="0" xfId="0">
      <alignment horizontal="left" vertical="center"/>
    </xf>
    <xf applyAlignment="true" applyBorder="false" applyFill="false" applyFont="true" applyNumberFormat="false" applyProtection="false" borderId="179" fillId="100" fontId="179" numFmtId="0" xfId="0">
      <alignment vertical="bottom"/>
    </xf>
    <xf applyAlignment="true" applyBorder="false" applyFill="false" applyFont="true" applyNumberFormat="false" applyProtection="false" borderId="180" fillId="0" fontId="180" numFmtId="0" xfId="0">
      <alignment vertical="center"/>
    </xf>
    <xf applyAlignment="true" applyBorder="false" applyFill="false" applyFont="true" applyNumberFormat="false" applyProtection="false" borderId="181" fillId="101" fontId="181" numFmtId="0" xfId="0">
      <alignment horizontal="left" vertical="center"/>
    </xf>
    <xf applyAlignment="true" applyBorder="false" applyFill="false" applyFont="true" applyNumberFormat="false" applyProtection="false" borderId="182" fillId="102" fontId="182" numFmtId="0" xfId="0">
      <alignment horizontal="center" vertical="center"/>
    </xf>
    <xf applyAlignment="true" applyBorder="false" applyFill="false" applyFont="true" applyNumberFormat="false" applyProtection="false" borderId="183" fillId="103" fontId="183" numFmtId="0" xfId="0">
      <alignment horizontal="left" vertical="center"/>
    </xf>
    <xf applyAlignment="true" applyBorder="false" applyFill="false" applyFont="true" applyNumberFormat="false" applyProtection="false" borderId="184" fillId="0" fontId="184" numFmtId="0" xfId="0">
      <alignment vertical="center"/>
    </xf>
    <xf applyAlignment="true" applyBorder="false" applyFill="false" applyFont="true" applyNumberFormat="false" applyProtection="false" borderId="185" fillId="0" fontId="185" numFmtId="0" xfId="0">
      <alignment vertical="center"/>
    </xf>
    <xf applyAlignment="true" applyBorder="false" applyFill="false" applyFont="true" applyNumberFormat="false" applyProtection="false" borderId="186" fillId="0" fontId="186" numFmtId="0" xfId="0">
      <alignment horizontal="center" vertical="center"/>
    </xf>
    <xf applyAlignment="true" applyBorder="false" applyFill="false" applyFont="true" applyNumberFormat="false" applyProtection="false" borderId="187" fillId="0" fontId="187" numFmtId="0" xfId="0">
      <alignment vertical="bottom"/>
    </xf>
    <xf applyAlignment="true" applyBorder="false" applyFill="false" applyFont="true" applyNumberFormat="false" applyProtection="false" borderId="188" fillId="104" fontId="188" numFmtId="0" xfId="0">
      <alignment vertical="bottom"/>
    </xf>
    <xf applyAlignment="true" applyBorder="false" applyFill="false" applyFont="true" applyNumberFormat="false" applyProtection="false" borderId="189" fillId="105" fontId="189" numFmtId="0" xfId="0">
      <alignment horizontal="left" vertical="center"/>
    </xf>
    <xf applyAlignment="true" applyBorder="false" applyFill="false" applyFont="true" applyNumberFormat="false" applyProtection="false" borderId="190" fillId="106" fontId="190" numFmtId="0" xfId="0">
      <alignment horizontal="center" vertical="center"/>
    </xf>
    <xf applyAlignment="true" applyBorder="false" applyFill="false" applyFont="true" applyNumberFormat="false" applyProtection="false" borderId="191" fillId="107" fontId="191" numFmtId="0" xfId="0">
      <alignment horizontal="center" vertical="center"/>
    </xf>
    <xf applyAlignment="true" applyBorder="false" applyFill="false" applyFont="true" applyNumberFormat="false" applyProtection="false" borderId="192" fillId="108" fontId="192" numFmtId="0" xfId="0">
      <alignment horizontal="left" vertical="center"/>
    </xf>
    <xf applyAlignment="true" applyBorder="false" applyFill="false" applyFont="true" applyNumberFormat="false" applyProtection="false" borderId="193" fillId="109" fontId="193" numFmtId="0" xfId="0">
      <alignment horizontal="left" vertical="center"/>
    </xf>
    <xf applyAlignment="true" applyBorder="false" applyFill="false" applyFont="true" applyNumberFormat="false" applyProtection="false" borderId="194" fillId="110" fontId="194" numFmtId="0" xfId="0">
      <alignment vertical="bottom"/>
    </xf>
    <xf applyAlignment="true" applyBorder="false" applyFill="false" applyFont="true" applyNumberFormat="false" applyProtection="false" borderId="195" fillId="111" fontId="195" numFmtId="0" xfId="0">
      <alignment vertical="center"/>
    </xf>
    <xf applyAlignment="true" applyBorder="false" applyFill="false" applyFont="true" applyNumberFormat="false" applyProtection="false" borderId="196" fillId="112" fontId="196" numFmtId="0" xfId="0">
      <alignment horizontal="left" vertical="center"/>
    </xf>
    <xf applyAlignment="true" applyBorder="false" applyFill="false" applyFont="true" applyNumberFormat="false" applyProtection="false" borderId="197" fillId="113" fontId="197" numFmtId="0" xfId="0">
      <alignment horizontal="left" vertical="center"/>
    </xf>
    <xf applyAlignment="true" applyBorder="false" applyFill="false" applyFont="true" applyNumberFormat="false" applyProtection="false" borderId="198" fillId="114" fontId="198" numFmtId="0" xfId="0">
      <alignment vertical="bottom"/>
    </xf>
    <xf applyAlignment="true" applyBorder="false" applyFill="false" applyFont="true" applyNumberFormat="false" applyProtection="false" borderId="199" fillId="115" fontId="199" numFmtId="0" xfId="0">
      <alignment horizontal="left" vertical="center"/>
    </xf>
    <xf applyAlignment="true" applyBorder="false" applyFill="false" applyFont="true" applyNumberFormat="false" applyProtection="false" borderId="200" fillId="0" fontId="200" numFmtId="0" xfId="0">
      <alignment vertical="center" wrapText="true"/>
    </xf>
    <xf applyAlignment="true" applyBorder="false" applyFill="false" applyFont="true" applyNumberFormat="true" applyProtection="false" borderId="201" fillId="0" fontId="201" numFmtId="166" xfId="0">
      <alignment vertical="center"/>
    </xf>
    <xf applyAlignment="true" applyBorder="false" applyFill="false" applyFont="true" applyNumberFormat="false" applyProtection="false" borderId="202" fillId="0" fontId="202" numFmtId="0" xfId="0">
      <alignment horizontal="left" vertical="center"/>
    </xf>
    <xf applyAlignment="true" applyBorder="false" applyFill="false" applyFont="true" applyNumberFormat="false" applyProtection="false" borderId="203" fillId="116" fontId="203" numFmtId="0" xfId="0">
      <alignment vertical="center"/>
    </xf>
    <xf applyAlignment="true" applyBorder="false" applyFill="false" applyFont="true" applyNumberFormat="false" applyProtection="false" borderId="204" fillId="117" fontId="204" numFmtId="0" xfId="0">
      <alignment vertical="center" wrapText="true"/>
    </xf>
    <xf applyAlignment="true" applyBorder="false" applyFill="false" applyFont="true" applyNumberFormat="false" applyProtection="false" borderId="205" fillId="118" fontId="205" numFmtId="0" xfId="0">
      <alignment vertical="center"/>
    </xf>
    <xf applyAlignment="true" applyBorder="false" applyFill="false" applyFont="true" applyNumberFormat="false" applyProtection="false" borderId="206" fillId="119" fontId="206" numFmtId="0" xfId="0">
      <alignment horizontal="left" vertical="center"/>
    </xf>
    <xf applyAlignment="true" applyBorder="false" applyFill="false" applyFont="true" applyNumberFormat="true" applyProtection="false" borderId="207" fillId="120" fontId="207" numFmtId="167" xfId="0">
      <alignment vertical="center"/>
    </xf>
    <xf applyAlignment="true" applyBorder="false" applyFill="false" applyFont="true" applyNumberFormat="true" applyProtection="false" borderId="208" fillId="0" fontId="208" numFmtId="168" xfId="0">
      <alignment vertical="center"/>
    </xf>
    <xf applyAlignment="true" applyBorder="false" applyFill="false" applyFont="true" applyNumberFormat="false" applyProtection="false" borderId="209" fillId="0" fontId="209" numFmtId="0" xfId="0">
      <alignment vertical="center"/>
    </xf>
    <xf applyAlignment="true" applyBorder="false" applyFill="false" applyFont="true" applyNumberFormat="false" applyProtection="false" borderId="210" fillId="0" fontId="210" numFmtId="0" xfId="0">
      <alignment vertical="center" wrapText="true"/>
    </xf>
    <xf applyAlignment="true" applyBorder="false" applyFill="false" applyFont="true" applyNumberFormat="false" applyProtection="false" borderId="211" fillId="121" fontId="211" numFmtId="0" xfId="0">
      <alignment vertical="center" wrapText="true"/>
    </xf>
    <xf applyAlignment="true" applyBorder="false" applyFill="false" applyFont="true" applyNumberFormat="false" applyProtection="false" borderId="212" fillId="122" fontId="212" numFmtId="0" xfId="0">
      <alignment vertical="center" wrapText="true"/>
    </xf>
    <xf applyAlignment="true" applyBorder="false" applyFill="false" applyFont="true" applyNumberFormat="false" applyProtection="false" borderId="213" fillId="123" fontId="213" numFmtId="0" xfId="0">
      <alignment vertical="center"/>
    </xf>
    <xf applyAlignment="true" applyBorder="false" applyFill="false" applyFont="true" applyNumberFormat="false" applyProtection="false" borderId="214" fillId="124" fontId="214" numFmtId="0" xfId="0">
      <alignment vertical="center" wrapText="true"/>
    </xf>
    <xf applyAlignment="true" applyBorder="false" applyFill="false" applyFont="true" applyNumberFormat="true" applyProtection="false" borderId="215" fillId="125" fontId="215" numFmtId="169" xfId="0">
      <alignment vertical="center"/>
    </xf>
    <xf applyAlignment="true" applyBorder="false" applyFill="false" applyFont="true" applyNumberFormat="false" applyProtection="false" borderId="216" fillId="126" fontId="216" numFmtId="0" xfId="0">
      <alignment horizontal="left" vertical="center"/>
    </xf>
    <xf applyAlignment="true" applyBorder="false" applyFill="false" applyFont="true" applyNumberFormat="false" applyProtection="false" borderId="217" fillId="127" fontId="217" numFmtId="0" xfId="0">
      <alignment horizontal="left" vertical="center"/>
    </xf>
    <xf applyAlignment="true" applyBorder="false" applyFill="false" applyFont="true" applyNumberFormat="false" applyProtection="false" borderId="218" fillId="0" fontId="218" numFmtId="0" xfId="0">
      <alignment vertical="center"/>
    </xf>
    <xf applyAlignment="true" applyBorder="false" applyFill="false" applyFont="true" applyNumberFormat="false" applyProtection="false" borderId="219" fillId="128" fontId="219" numFmtId="0" xfId="0">
      <alignment vertical="center"/>
    </xf>
    <xf applyAlignment="true" applyBorder="false" applyFill="false" applyFont="true" applyNumberFormat="false" applyProtection="false" borderId="220" fillId="129" fontId="220" numFmtId="0" xfId="0">
      <alignment vertical="center"/>
    </xf>
    <xf applyAlignment="true" applyBorder="false" applyFill="false" applyFont="true" applyNumberFormat="false" applyProtection="false" borderId="221" fillId="130" fontId="221" numFmtId="0" xfId="0">
      <alignment vertical="center" wrapText="true"/>
    </xf>
    <xf applyAlignment="true" applyBorder="false" applyFill="false" applyFont="true" applyNumberFormat="true" applyProtection="false" borderId="222" fillId="131" fontId="222" numFmtId="170" xfId="0">
      <alignment vertical="center"/>
    </xf>
    <xf applyAlignment="true" applyBorder="false" applyFill="false" applyFont="true" applyNumberFormat="false" applyProtection="false" borderId="223" fillId="132" fontId="223" numFmtId="0" xfId="0">
      <alignment vertical="center"/>
    </xf>
    <xf applyAlignment="true" applyBorder="false" applyFill="false" applyFont="true" applyNumberFormat="true" applyProtection="false" borderId="224" fillId="0" fontId="224" numFmtId="171" xfId="0">
      <alignment horizontal="left" vertical="center"/>
    </xf>
    <xf applyAlignment="true" applyBorder="false" applyFill="false" applyFont="true" applyNumberFormat="false" applyProtection="false" borderId="225" fillId="133" fontId="225" numFmtId="0" xfId="0">
      <alignment horizontal="left" vertical="center"/>
    </xf>
    <xf applyAlignment="true" applyBorder="false" applyFill="false" applyFont="true" applyNumberFormat="false" applyProtection="false" borderId="226" fillId="134" fontId="226" numFmtId="0" xfId="0">
      <alignment horizontal="left" vertical="bottom"/>
    </xf>
    <xf applyAlignment="true" applyBorder="false" applyFill="false" applyFont="true" applyNumberFormat="false" applyProtection="false" borderId="227" fillId="135" fontId="227" numFmtId="0" xfId="0">
      <alignment horizontal="left" vertical="center"/>
    </xf>
    <xf applyAlignment="true" applyBorder="false" applyFill="false" applyFont="true" applyNumberFormat="false" applyProtection="false" borderId="228" fillId="0" fontId="228" numFmtId="0" xfId="0">
      <alignment horizontal="left" vertical="bottom"/>
    </xf>
    <xf applyAlignment="true" applyBorder="false" applyFill="false" applyFont="true" applyNumberFormat="false" applyProtection="false" borderId="229" fillId="0" fontId="229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9"/>
    <col collapsed="false" customWidth="true" hidden="false" max="3" min="3" style="0" width="34"/>
    <col collapsed="false" customWidth="true" hidden="false" max="4" min="4" style="0" width="25"/>
    <col collapsed="false" customWidth="true" hidden="false" max="4" min="4" style="0" width="25"/>
    <col collapsed="false" customWidth="true" hidden="false" max="5" min="5" style="0" width="25"/>
    <col collapsed="false" customWidth="true" hidden="false" max="5" min="5" style="0" width="25"/>
    <col collapsed="false" customWidth="true" hidden="false" max="6" min="6" style="0" width="12"/>
    <col collapsed="false" customWidth="true" hidden="false" max="6" min="6" style="0" width="12"/>
    <col collapsed="false" customWidth="true" hidden="false" max="7" min="7" style="0" width="13"/>
    <col collapsed="false" customWidth="true" hidden="false" max="7" min="7" style="0" width="13"/>
    <col collapsed="false" customWidth="true" hidden="false" max="8" min="8" style="0" width="25"/>
    <col collapsed="false" customWidth="true" hidden="false" max="8" min="8" style="0" width="25"/>
    <col collapsed="false" customWidth="true" hidden="false" max="9" min="9" style="0" width="20"/>
    <col collapsed="false" customWidth="true" hidden="false" max="9" min="9" style="0" width="20"/>
    <col collapsed="false" customWidth="true" hidden="false" max="10" min="10" style="0" width="14"/>
    <col collapsed="false" customWidth="true" hidden="false" max="10" min="10" style="0" width="14"/>
    <col collapsed="false" customWidth="true" hidden="false" max="11" min="11" style="0" width="17"/>
    <col collapsed="false" customWidth="true" hidden="false" max="11" min="11" style="0" width="17"/>
    <col collapsed="false" customWidth="true" hidden="false" max="12" min="12" style="0" width="23"/>
    <col collapsed="false" customWidth="true" hidden="false" max="12" min="12" style="0" width="23"/>
    <col collapsed="false" customWidth="true" hidden="false" max="13" min="13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7" min="17" style="0" width="21"/>
    <col collapsed="false" customWidth="true" hidden="false" max="18" min="18" style="0" width="21"/>
    <col collapsed="false" customWidth="true" hidden="false" max="18" min="18" style="0" width="21"/>
    <col collapsed="false" customWidth="true" hidden="false" max="19" min="19" style="0" width="21"/>
    <col collapsed="false" customWidth="true" hidden="false" max="19" min="19" style="0" width="21"/>
    <col collapsed="false" customWidth="true" hidden="false" max="20" min="20" style="0" width="16"/>
    <col collapsed="false" customWidth="true" hidden="false" max="21" min="21" style="0" width="16"/>
    <col collapsed="false" customWidth="true" hidden="false" max="22" min="22" style="0" width="12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</cols>
  <sheetData>
    <row r="1">
      <c r="A1" s="71" t="str">
        <v>营销活动分类</v>
      </c>
      <c r="B1" s="69" t="str">
        <v>编码</v>
      </c>
      <c r="C1" s="72" t="str">
        <v>营销活动</v>
      </c>
      <c r="D1" s="69" t="str">
        <v>一级预算科目</v>
      </c>
      <c r="E1" s="69" t="str">
        <v>二级预算科目</v>
      </c>
      <c r="F1" s="69" t="str">
        <v>状态</v>
      </c>
      <c r="G1" s="69" t="str">
        <v>能否到店铺</v>
      </c>
      <c r="H1" s="69" t="str">
        <v>店铺</v>
      </c>
      <c r="I1" s="69" t="str">
        <v>店铺编码</v>
      </c>
      <c r="J1" s="69" t="str">
        <v>渠道</v>
      </c>
      <c r="K1" s="69" t="str">
        <v>业务来源</v>
      </c>
      <c r="L1" s="69" t="str">
        <v>业务单元</v>
      </c>
      <c r="M1" s="70" t="str">
        <v>能否到品类（单品简称）</v>
      </c>
      <c r="N1" s="70" t="str">
        <v>能否到SKU</v>
      </c>
      <c r="O1" s="70" t="str">
        <v>是否允许个人报销</v>
      </c>
      <c r="P1" s="70" t="str">
        <v>是否允许无票报销</v>
      </c>
      <c r="Q1" s="70" t="str">
        <v>费用类型</v>
      </c>
      <c r="R1" s="70" t="str">
        <v>费用大类</v>
      </c>
      <c r="S1" s="70" t="str">
        <v>费用小类</v>
      </c>
      <c r="T1" s="69" t="str">
        <v>一级部门</v>
      </c>
      <c r="U1" s="69" t="str">
        <v>二级部门</v>
      </c>
      <c r="V1" s="69" t="str">
        <v>三级部门</v>
      </c>
      <c r="W1" s="73" t="str">
        <v>四级部门</v>
      </c>
      <c r="X1" s="70" t="str">
        <v>核算科目</v>
      </c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</row>
    <row r="2">
      <c r="A2" s="7" t="str">
        <v>IP明星内容合作</v>
      </c>
      <c r="B2" s="5" t="str">
        <v>YXHD01</v>
      </c>
      <c r="C2" s="33" t="str">
        <v>IP合作</v>
      </c>
      <c r="D2" s="5" t="str">
        <v>IP明星内容合作</v>
      </c>
      <c r="E2" s="5" t="str">
        <v>品牌IP及娱乐营销</v>
      </c>
      <c r="F2" s="5" t="str">
        <v>启用</v>
      </c>
      <c r="G2" s="5" t="str">
        <v>否</v>
      </c>
      <c r="H2" s="8"/>
      <c r="I2" s="8"/>
      <c r="J2" s="9"/>
      <c r="K2" s="8"/>
      <c r="L2" s="8"/>
      <c r="M2" s="5" t="str">
        <v>否</v>
      </c>
      <c r="N2" s="5" t="str">
        <v>否</v>
      </c>
      <c r="O2" s="5" t="str">
        <v>否</v>
      </c>
      <c r="P2" s="5" t="str">
        <v>否</v>
      </c>
      <c r="Q2" s="5" t="str">
        <v>营销费用</v>
      </c>
      <c r="R2" s="5" t="str">
        <v>品牌宣传费</v>
      </c>
      <c r="S2" s="5" t="str">
        <v>创意策划服务费</v>
      </c>
      <c r="T2" s="5" t="str">
        <v>品牌运营中心</v>
      </c>
      <c r="U2" s="5" t="str">
        <v>市场广告推广部</v>
      </c>
      <c r="V2" s="5" t="str">
        <v>市场推广部</v>
      </c>
      <c r="W2" s="32" t="str">
        <v>市场PR组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7" t="str">
        <v>IP明星内容合作</v>
      </c>
      <c r="B3" s="5" t="str">
        <v>YXHD02</v>
      </c>
      <c r="C3" s="4" t="str">
        <v>明星差旅</v>
      </c>
      <c r="D3" s="1" t="str">
        <v>IP明星内容合作</v>
      </c>
      <c r="E3" s="1" t="str">
        <v>明星差旅</v>
      </c>
      <c r="F3" s="5" t="str">
        <v>启用</v>
      </c>
      <c r="G3" s="5" t="str">
        <v>否</v>
      </c>
      <c r="H3" s="8"/>
      <c r="I3" s="8"/>
      <c r="J3" s="9"/>
      <c r="K3" s="8"/>
      <c r="L3" s="8"/>
      <c r="M3" s="5" t="str">
        <v>否</v>
      </c>
      <c r="N3" s="5" t="str">
        <v>否</v>
      </c>
      <c r="O3" s="5" t="str">
        <v>是</v>
      </c>
      <c r="P3" s="5" t="str">
        <v>是</v>
      </c>
      <c r="Q3" s="5" t="str">
        <v>营销费用</v>
      </c>
      <c r="R3" s="5" t="str">
        <v>其他费用</v>
      </c>
      <c r="S3" s="5" t="str">
        <v>明星差旅费</v>
      </c>
      <c r="T3" s="1" t="str">
        <v>品牌运营中心</v>
      </c>
      <c r="U3" s="1" t="str">
        <v>市场广告推广部</v>
      </c>
      <c r="V3" s="1" t="str">
        <v>市场推广部</v>
      </c>
      <c r="W3" s="17" t="str">
        <v>娱乐营销组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>
      <c r="A4" s="7" t="str">
        <v>IP明星内容合作</v>
      </c>
      <c r="B4" s="5" t="str">
        <v>YXHD03</v>
      </c>
      <c r="C4" s="4" t="str">
        <v>明星代言单次合作</v>
      </c>
      <c r="D4" s="1" t="str">
        <v>IP明星内容合作</v>
      </c>
      <c r="E4" s="1" t="str">
        <v>明星代言单次</v>
      </c>
      <c r="F4" s="5" t="str">
        <v>启用</v>
      </c>
      <c r="G4" s="5" t="str">
        <v>否</v>
      </c>
      <c r="H4" s="8"/>
      <c r="I4" s="8"/>
      <c r="J4" s="9"/>
      <c r="K4" s="8"/>
      <c r="L4" s="8"/>
      <c r="M4" s="5" t="str">
        <v>否</v>
      </c>
      <c r="N4" s="5" t="str">
        <v>否</v>
      </c>
      <c r="O4" s="5" t="str">
        <v>否</v>
      </c>
      <c r="P4" s="5" t="str">
        <v>否</v>
      </c>
      <c r="Q4" s="5" t="str">
        <v>营销费用</v>
      </c>
      <c r="R4" s="5" t="str">
        <v>品牌宣传费</v>
      </c>
      <c r="S4" s="5" t="str">
        <v>明星合作费</v>
      </c>
      <c r="T4" s="1" t="str">
        <v>品牌运营中心</v>
      </c>
      <c r="U4" s="1" t="str">
        <v>市场广告推广部</v>
      </c>
      <c r="V4" s="1" t="str">
        <v>市场推广部</v>
      </c>
      <c r="W4" s="17" t="str">
        <v>娱乐营销组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>
      <c r="A5" s="7" t="str">
        <v>IP明星内容合作</v>
      </c>
      <c r="B5" s="5" t="str">
        <v>YXHD04</v>
      </c>
      <c r="C5" s="27" t="str">
        <v>明星代言合作</v>
      </c>
      <c r="D5" s="1" t="str">
        <v>IP明星内容合作</v>
      </c>
      <c r="E5" s="1" t="str">
        <v>明星代言摊销</v>
      </c>
      <c r="F5" s="5" t="str">
        <v>启用</v>
      </c>
      <c r="G5" s="5" t="str">
        <v>否</v>
      </c>
      <c r="H5" s="8"/>
      <c r="I5" s="8"/>
      <c r="J5" s="9"/>
      <c r="K5" s="8"/>
      <c r="L5" s="8"/>
      <c r="M5" s="5" t="str">
        <v>否</v>
      </c>
      <c r="N5" s="5" t="str">
        <v>否</v>
      </c>
      <c r="O5" s="5" t="str">
        <v>否</v>
      </c>
      <c r="P5" s="5" t="str">
        <v>否</v>
      </c>
      <c r="Q5" s="5" t="str">
        <v>营销费用</v>
      </c>
      <c r="R5" s="5" t="str">
        <v>品牌宣传费</v>
      </c>
      <c r="S5" s="5" t="str">
        <v>明星合作费</v>
      </c>
      <c r="T5" s="1" t="str">
        <v>品牌运营中心</v>
      </c>
      <c r="U5" s="1" t="str">
        <v>市场广告推广部</v>
      </c>
      <c r="V5" s="1" t="str">
        <v>市场推广部</v>
      </c>
      <c r="W5" s="17" t="str">
        <v>娱乐营销组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>
      <c r="A6" s="7" t="str">
        <v>IP明星内容合作</v>
      </c>
      <c r="B6" s="5" t="str">
        <v>YXHD05</v>
      </c>
      <c r="C6" s="4" t="str">
        <v>明星拍摄</v>
      </c>
      <c r="D6" s="1" t="str">
        <v>IP明星内容合作</v>
      </c>
      <c r="E6" s="1" t="str">
        <v>明星拍摄</v>
      </c>
      <c r="F6" s="5" t="str">
        <v>启用</v>
      </c>
      <c r="G6" s="5" t="str">
        <v>否</v>
      </c>
      <c r="H6" s="8"/>
      <c r="I6" s="8"/>
      <c r="J6" s="9"/>
      <c r="K6" s="8"/>
      <c r="L6" s="8"/>
      <c r="M6" s="5" t="str">
        <v>否</v>
      </c>
      <c r="N6" s="5" t="str">
        <v>否</v>
      </c>
      <c r="O6" s="5" t="str">
        <v>是</v>
      </c>
      <c r="P6" s="5" t="str">
        <v>是</v>
      </c>
      <c r="Q6" s="5" t="str">
        <v>营销费用</v>
      </c>
      <c r="R6" s="5" t="str">
        <v>其他费用</v>
      </c>
      <c r="S6" s="5" t="str">
        <v>场地租赁费</v>
      </c>
      <c r="T6" s="1" t="str">
        <v>品牌运营中心</v>
      </c>
      <c r="U6" s="1" t="str">
        <v>市场广告推广部</v>
      </c>
      <c r="V6" s="1" t="str">
        <v>市场推广部</v>
      </c>
      <c r="W6" s="17" t="str">
        <v>娱乐营销组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>
      <c r="A7" s="7" t="str">
        <v>IP明星内容合作</v>
      </c>
      <c r="B7" s="5" t="str">
        <v>YXHD06</v>
      </c>
      <c r="C7" s="4" t="str">
        <v>明星影综营销号</v>
      </c>
      <c r="D7" s="1" t="str">
        <v>IP明星内容合作</v>
      </c>
      <c r="E7" s="1" t="str">
        <v>品牌IP及娱乐营销</v>
      </c>
      <c r="F7" s="5" t="str">
        <v>启用</v>
      </c>
      <c r="G7" s="5" t="str">
        <v>否</v>
      </c>
      <c r="H7" s="8"/>
      <c r="I7" s="8"/>
      <c r="J7" s="9"/>
      <c r="K7" s="8"/>
      <c r="L7" s="8"/>
      <c r="M7" s="5" t="str">
        <v>否</v>
      </c>
      <c r="N7" s="5" t="str">
        <v>否</v>
      </c>
      <c r="O7" s="5" t="str">
        <v>否</v>
      </c>
      <c r="P7" s="5" t="str">
        <v>否</v>
      </c>
      <c r="Q7" s="5" t="str">
        <v>营销费用</v>
      </c>
      <c r="R7" s="5" t="str">
        <v>品牌宣传费</v>
      </c>
      <c r="S7" s="5" t="str">
        <v>营销宣传费</v>
      </c>
      <c r="T7" s="1" t="str">
        <v>品牌运营中心</v>
      </c>
      <c r="U7" s="1" t="str">
        <v>市场广告推广部</v>
      </c>
      <c r="V7" s="1" t="str">
        <v>市场推广部</v>
      </c>
      <c r="W7" s="17" t="str">
        <v>娱乐营销组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>
      <c r="A8" s="7" t="str">
        <v>IP明星内容合作</v>
      </c>
      <c r="B8" s="5" t="str">
        <v>YXHD07</v>
      </c>
      <c r="C8" s="4" t="str">
        <v>明星妆发造</v>
      </c>
      <c r="D8" s="1" t="str">
        <v>IP明星内容合作</v>
      </c>
      <c r="E8" s="1" t="str">
        <v>明星妆发造</v>
      </c>
      <c r="F8" s="5" t="str">
        <v>启用</v>
      </c>
      <c r="G8" s="5" t="str">
        <v>否</v>
      </c>
      <c r="H8" s="8"/>
      <c r="I8" s="8"/>
      <c r="J8" s="9"/>
      <c r="K8" s="8"/>
      <c r="L8" s="8"/>
      <c r="M8" s="5" t="str">
        <v>否</v>
      </c>
      <c r="N8" s="5" t="str">
        <v>否</v>
      </c>
      <c r="O8" s="5" t="str">
        <v>是</v>
      </c>
      <c r="P8" s="5" t="str">
        <v>是</v>
      </c>
      <c r="Q8" s="5" t="str">
        <v>营销费用</v>
      </c>
      <c r="R8" s="5" t="str">
        <v>内容制作费</v>
      </c>
      <c r="S8" s="5" t="str">
        <v>服化道费用</v>
      </c>
      <c r="T8" s="1" t="str">
        <v>品牌运营中心</v>
      </c>
      <c r="U8" s="1" t="str">
        <v>市场广告推广部</v>
      </c>
      <c r="V8" s="1" t="str">
        <v>市场推广部</v>
      </c>
      <c r="W8" s="17" t="str">
        <v>娱乐营销组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>
      <c r="A9" s="7" t="str">
        <v>IP明星内容合作</v>
      </c>
      <c r="B9" s="5" t="str">
        <v>YXHD08</v>
      </c>
      <c r="C9" s="4" t="str">
        <v>明星综艺线下活动</v>
      </c>
      <c r="D9" s="1" t="str">
        <v>IP明星内容合作</v>
      </c>
      <c r="E9" s="1" t="str">
        <v>明星代言单次</v>
      </c>
      <c r="F9" s="5" t="str">
        <v>启用</v>
      </c>
      <c r="G9" s="5" t="str">
        <v>否</v>
      </c>
      <c r="H9" s="8"/>
      <c r="I9" s="8"/>
      <c r="J9" s="9"/>
      <c r="K9" s="8"/>
      <c r="L9" s="8"/>
      <c r="M9" s="5" t="str">
        <v>否</v>
      </c>
      <c r="N9" s="5" t="str">
        <v>否</v>
      </c>
      <c r="O9" s="5" t="str">
        <v>否</v>
      </c>
      <c r="P9" s="5" t="str">
        <v>否</v>
      </c>
      <c r="Q9" s="5" t="str">
        <v>营销费用</v>
      </c>
      <c r="R9" s="5" t="str">
        <v>品牌宣传费</v>
      </c>
      <c r="S9" s="5" t="str">
        <v>创意策划服务费</v>
      </c>
      <c r="T9" s="1" t="str">
        <v>品牌运营中心</v>
      </c>
      <c r="U9" s="1" t="str">
        <v>市场广告推广部</v>
      </c>
      <c r="V9" s="1" t="str">
        <v>市场推广部</v>
      </c>
      <c r="W9" s="17" t="str">
        <v>娱乐营销组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>
      <c r="A10" s="7" t="str">
        <v>IP明星内容合作</v>
      </c>
      <c r="B10" s="5" t="str">
        <v>YXHD09</v>
      </c>
      <c r="C10" s="4" t="str">
        <v>影视综艺植入</v>
      </c>
      <c r="D10" s="1" t="str">
        <v>IP明星内容合作</v>
      </c>
      <c r="E10" s="1" t="str">
        <v>品牌IP及娱乐营销</v>
      </c>
      <c r="F10" s="5" t="str">
        <v>启用</v>
      </c>
      <c r="G10" s="5" t="str">
        <v>否</v>
      </c>
      <c r="H10" s="8"/>
      <c r="I10" s="8"/>
      <c r="J10" s="9"/>
      <c r="K10" s="8"/>
      <c r="L10" s="8"/>
      <c r="M10" s="5" t="str">
        <v>否</v>
      </c>
      <c r="N10" s="5" t="str">
        <v>否</v>
      </c>
      <c r="O10" s="5" t="str">
        <v>否</v>
      </c>
      <c r="P10" s="5" t="str">
        <v>否</v>
      </c>
      <c r="Q10" s="5" t="str">
        <v>营销费用</v>
      </c>
      <c r="R10" s="5" t="str">
        <v>品牌宣传费</v>
      </c>
      <c r="S10" s="5" t="str">
        <v>品牌植入费</v>
      </c>
      <c r="T10" s="1" t="str">
        <v>品牌运营中心</v>
      </c>
      <c r="U10" s="1" t="str">
        <v>市场广告推广部</v>
      </c>
      <c r="V10" s="1" t="str">
        <v>市场推广部</v>
      </c>
      <c r="W10" s="17" t="str">
        <v>娱乐营销组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>
      <c r="A11" s="7" t="str">
        <v>其他达人直播</v>
      </c>
      <c r="B11" s="5" t="str">
        <v>YXHD10</v>
      </c>
      <c r="C11" s="4" t="str">
        <v>抖音直播服务费-抖音其他</v>
      </c>
      <c r="D11" s="1" t="str">
        <v>达人直播</v>
      </c>
      <c r="E11" s="1" t="str">
        <v>佣金-抖音其他</v>
      </c>
      <c r="F11" s="5" t="str">
        <v>启用</v>
      </c>
      <c r="G11" s="5" t="str">
        <v>是</v>
      </c>
      <c r="H11" s="8" t="str">
        <v>抖音花西子旗舰店</v>
      </c>
      <c r="I11" s="8" t="str">
        <v>DP007</v>
      </c>
      <c r="J11" s="9" t="str">
        <v>抖音</v>
      </c>
      <c r="K11" s="6" t="str">
        <v>达播-其他</v>
      </c>
      <c r="L11" s="6" t="str">
        <v>达播-其他</v>
      </c>
      <c r="M11" s="5" t="str">
        <v>是</v>
      </c>
      <c r="N11" s="5" t="str">
        <v>否</v>
      </c>
      <c r="O11" s="5" t="str">
        <v>否</v>
      </c>
      <c r="P11" s="5" t="str">
        <v>否</v>
      </c>
      <c r="Q11" s="5" t="str">
        <v>营销费用</v>
      </c>
      <c r="R11" s="5" t="str">
        <v>渠道推广费</v>
      </c>
      <c r="S11" s="5" t="str">
        <v>直播服务费</v>
      </c>
      <c r="T11" s="1" t="str">
        <v>品牌运营中心</v>
      </c>
      <c r="U11" s="1" t="str">
        <v>市场广告推广部</v>
      </c>
      <c r="V11" s="1" t="str">
        <v>达播2部</v>
      </c>
      <c r="W11" s="3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>
      <c r="A12" s="7" t="str">
        <v>田恬</v>
      </c>
      <c r="B12" s="5" t="str">
        <v>YXHD12</v>
      </c>
      <c r="C12" s="4" t="str">
        <v>抖音直播服务费-田恬</v>
      </c>
      <c r="D12" s="1"/>
      <c r="E12" s="1" t="str">
        <v>佣金-田恬</v>
      </c>
      <c r="F12" s="5" t="str">
        <v>启用</v>
      </c>
      <c r="G12" s="5" t="str">
        <v>是</v>
      </c>
      <c r="H12" s="8" t="str">
        <v>抖音花西子旗舰店</v>
      </c>
      <c r="I12" s="8" t="str">
        <v>DP007</v>
      </c>
      <c r="J12" s="9" t="str">
        <v>抖音</v>
      </c>
      <c r="K12" s="6" t="str">
        <v>达播-田恬</v>
      </c>
      <c r="L12" s="6" t="str">
        <v>达播-田恬</v>
      </c>
      <c r="M12" s="5" t="str">
        <v>是</v>
      </c>
      <c r="N12" s="5" t="str">
        <v>是</v>
      </c>
      <c r="O12" s="5" t="str">
        <v>否</v>
      </c>
      <c r="P12" s="5" t="str">
        <v>否</v>
      </c>
      <c r="Q12" s="5" t="str">
        <v>营销费用</v>
      </c>
      <c r="R12" s="5" t="str">
        <v>渠道推广费</v>
      </c>
      <c r="S12" s="5" t="str">
        <v>直播服务费</v>
      </c>
      <c r="T12" s="1" t="str">
        <v>品牌运营中心</v>
      </c>
      <c r="U12" s="1" t="str">
        <v>直播运营部</v>
      </c>
      <c r="V12" s="1" t="str">
        <v>SKA达播部</v>
      </c>
      <c r="W12" s="3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>
      <c r="A13" s="7" t="str">
        <v>其他达人直播</v>
      </c>
      <c r="B13" s="5" t="str">
        <v>YXHD13</v>
      </c>
      <c r="C13" s="4" t="str">
        <v>抖音直播服务费-团长计划</v>
      </c>
      <c r="D13" s="1" t="str">
        <v>达人直播</v>
      </c>
      <c r="E13" s="1" t="str">
        <v>佣金-团长计划</v>
      </c>
      <c r="F13" s="5" t="str">
        <v>启用</v>
      </c>
      <c r="G13" s="5" t="str">
        <v>是</v>
      </c>
      <c r="H13" s="8" t="str">
        <v>抖音花西子旗舰店</v>
      </c>
      <c r="I13" s="8" t="str">
        <v>DP007</v>
      </c>
      <c r="J13" s="9" t="str">
        <v>抖音</v>
      </c>
      <c r="K13" s="6" t="str">
        <v>达播-其他</v>
      </c>
      <c r="L13" s="6" t="str">
        <v>达播-其他</v>
      </c>
      <c r="M13" s="5" t="str">
        <v>是</v>
      </c>
      <c r="N13" s="5" t="str">
        <v>否</v>
      </c>
      <c r="O13" s="5" t="str">
        <v>否</v>
      </c>
      <c r="P13" s="5" t="str">
        <v>否</v>
      </c>
      <c r="Q13" s="5" t="str">
        <v>营销费用</v>
      </c>
      <c r="R13" s="5" t="str">
        <v>渠道推广费</v>
      </c>
      <c r="S13" s="5" t="str">
        <v>直播服务费</v>
      </c>
      <c r="T13" s="1" t="str">
        <v>品牌运营中心</v>
      </c>
      <c r="U13" s="1" t="str">
        <v>市场广告推广部</v>
      </c>
      <c r="V13" s="1" t="str">
        <v>达播2部</v>
      </c>
      <c r="W13" s="3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>
      <c r="A14" s="7" t="str">
        <v>其他达人直播</v>
      </c>
      <c r="B14" s="5" t="str">
        <v>YXHD14</v>
      </c>
      <c r="C14" s="4" t="str">
        <v>抖音直播坑位费-抖音其他</v>
      </c>
      <c r="D14" s="1" t="str">
        <v>达人直播</v>
      </c>
      <c r="E14" s="1" t="str">
        <v>服务费-抖音其他</v>
      </c>
      <c r="F14" s="5" t="str">
        <v>启用</v>
      </c>
      <c r="G14" s="5" t="str">
        <v>是</v>
      </c>
      <c r="H14" s="8" t="str">
        <v>抖音花西子旗舰店</v>
      </c>
      <c r="I14" s="8" t="str">
        <v>DP007</v>
      </c>
      <c r="J14" s="9" t="str">
        <v>抖音</v>
      </c>
      <c r="K14" s="6" t="str">
        <v>达播-其他</v>
      </c>
      <c r="L14" s="6" t="str">
        <v>达播-其他</v>
      </c>
      <c r="M14" s="5" t="str">
        <v>否</v>
      </c>
      <c r="N14" s="5" t="str">
        <v>否</v>
      </c>
      <c r="O14" s="5" t="str">
        <v>否</v>
      </c>
      <c r="P14" s="5" t="str">
        <v>否</v>
      </c>
      <c r="Q14" s="5" t="str">
        <v>营销费用</v>
      </c>
      <c r="R14" s="5" t="str">
        <v>渠道推广费</v>
      </c>
      <c r="S14" s="5" t="str">
        <v>直播坑位费</v>
      </c>
      <c r="T14" s="1" t="str">
        <v>品牌运营中心</v>
      </c>
      <c r="U14" s="1" t="str">
        <v>市场广告推广部</v>
      </c>
      <c r="V14" s="1" t="str">
        <v>达播2部</v>
      </c>
      <c r="W14" s="3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>
      <c r="A15" s="7" t="str">
        <v>田恬</v>
      </c>
      <c r="B15" s="5" t="str">
        <v>YXHD16</v>
      </c>
      <c r="C15" s="4" t="str">
        <v>抖音直播坑位费-田恬</v>
      </c>
      <c r="D15" s="1" t="str">
        <v>达人直播</v>
      </c>
      <c r="E15" s="1" t="str">
        <v>服务费-田恬</v>
      </c>
      <c r="F15" s="5" t="str">
        <v>启用</v>
      </c>
      <c r="G15" s="5" t="str">
        <v>是</v>
      </c>
      <c r="H15" s="8" t="str">
        <v>抖音花西子旗舰店</v>
      </c>
      <c r="I15" s="8" t="str">
        <v>DP007</v>
      </c>
      <c r="J15" s="9" t="str">
        <v>抖音</v>
      </c>
      <c r="K15" s="6" t="str">
        <v>达播-田恬</v>
      </c>
      <c r="L15" s="6" t="str">
        <v>达播-田恬</v>
      </c>
      <c r="M15" s="5" t="str">
        <v>否</v>
      </c>
      <c r="N15" s="5" t="str">
        <v>否</v>
      </c>
      <c r="O15" s="5" t="str">
        <v>否</v>
      </c>
      <c r="P15" s="5" t="str">
        <v>否</v>
      </c>
      <c r="Q15" s="5" t="str">
        <v>营销费用</v>
      </c>
      <c r="R15" s="5" t="str">
        <v>渠道推广费</v>
      </c>
      <c r="S15" s="5" t="str">
        <v>直播坑位费</v>
      </c>
      <c r="T15" s="1" t="str">
        <v>品牌运营中心</v>
      </c>
      <c r="U15" s="1" t="str">
        <v>直播运营部</v>
      </c>
      <c r="V15" s="1" t="str">
        <v>SKA达播部</v>
      </c>
      <c r="W15" s="3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>
      <c r="A16" s="7" t="str">
        <v>其他达人直播</v>
      </c>
      <c r="B16" s="5" t="str">
        <v>YXHD17</v>
      </c>
      <c r="C16" s="4" t="str">
        <v>抖音直播坑位费-团长计划</v>
      </c>
      <c r="D16" s="1" t="str">
        <v>达人直播</v>
      </c>
      <c r="E16" s="1" t="str">
        <v>服务费-团长计划</v>
      </c>
      <c r="F16" s="5" t="str">
        <v>启用</v>
      </c>
      <c r="G16" s="5" t="str">
        <v>是</v>
      </c>
      <c r="H16" s="8" t="str">
        <v>抖音花西子旗舰店</v>
      </c>
      <c r="I16" s="8" t="str">
        <v>DP007</v>
      </c>
      <c r="J16" s="9" t="str">
        <v>抖音</v>
      </c>
      <c r="K16" s="6" t="str">
        <v>达播-其他</v>
      </c>
      <c r="L16" s="6" t="str">
        <v>达播-其他</v>
      </c>
      <c r="M16" s="5" t="str">
        <v>否</v>
      </c>
      <c r="N16" s="5" t="str">
        <v>否</v>
      </c>
      <c r="O16" s="5" t="str">
        <v>否</v>
      </c>
      <c r="P16" s="5" t="str">
        <v>否</v>
      </c>
      <c r="Q16" s="5" t="str">
        <v>营销费用</v>
      </c>
      <c r="R16" s="5" t="str">
        <v>渠道推广费</v>
      </c>
      <c r="S16" s="5" t="str">
        <v>直播坑位费</v>
      </c>
      <c r="T16" s="1" t="str">
        <v>品牌运营中心</v>
      </c>
      <c r="U16" s="1" t="str">
        <v>市场广告推广部</v>
      </c>
      <c r="V16" s="1" t="str">
        <v>达播2部</v>
      </c>
      <c r="W16" s="3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>
      <c r="A17" s="7" t="str">
        <v>其他达人直播</v>
      </c>
      <c r="B17" s="5" t="str">
        <v>YXHD18</v>
      </c>
      <c r="C17" s="4" t="str">
        <v>快手直播服务费</v>
      </c>
      <c r="D17" s="1" t="str">
        <v>达人直播</v>
      </c>
      <c r="E17" s="1" t="str">
        <v>佣金-快手</v>
      </c>
      <c r="F17" s="5" t="str">
        <v>启用</v>
      </c>
      <c r="G17" s="5" t="str">
        <v>是</v>
      </c>
      <c r="H17" s="8" t="str">
        <v>快手花西子旗舰店</v>
      </c>
      <c r="I17" s="8" t="str">
        <v>DP031</v>
      </c>
      <c r="J17" s="9" t="str">
        <v>快手</v>
      </c>
      <c r="K17" s="8" t="str">
        <v>快手达播</v>
      </c>
      <c r="L17" s="8" t="str">
        <v>快手达播</v>
      </c>
      <c r="M17" s="5" t="str">
        <v>是</v>
      </c>
      <c r="N17" s="5" t="str">
        <v>是</v>
      </c>
      <c r="O17" s="5" t="str">
        <v>否</v>
      </c>
      <c r="P17" s="5" t="str">
        <v>否</v>
      </c>
      <c r="Q17" s="5" t="str">
        <v>营销费用</v>
      </c>
      <c r="R17" s="5" t="str">
        <v>渠道推广费</v>
      </c>
      <c r="S17" s="5" t="str">
        <v>直播服务费</v>
      </c>
      <c r="T17" s="1" t="str">
        <v>品牌运营中心</v>
      </c>
      <c r="U17" s="1" t="str">
        <v>市场广告推广部</v>
      </c>
      <c r="V17" s="1" t="str">
        <v>达播2部</v>
      </c>
      <c r="W17" s="3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>
      <c r="A18" s="7" t="str">
        <v>其他达人直播</v>
      </c>
      <c r="B18" s="5" t="str">
        <v>YXHD20</v>
      </c>
      <c r="C18" s="4" t="str">
        <v>快手直播坑位费</v>
      </c>
      <c r="D18" s="1" t="str">
        <v>达人直播</v>
      </c>
      <c r="E18" s="1" t="str">
        <v>服务费-快手</v>
      </c>
      <c r="F18" s="5" t="str">
        <v>启用</v>
      </c>
      <c r="G18" s="5" t="str">
        <v>是</v>
      </c>
      <c r="H18" s="8" t="str">
        <v>快手花西子旗舰店</v>
      </c>
      <c r="I18" s="8" t="str">
        <v>DP031</v>
      </c>
      <c r="J18" s="9" t="str">
        <v>快手</v>
      </c>
      <c r="K18" s="8" t="str">
        <v>快手达播</v>
      </c>
      <c r="L18" s="8" t="str">
        <v>快手达播</v>
      </c>
      <c r="M18" s="5" t="str">
        <v>否</v>
      </c>
      <c r="N18" s="5" t="str">
        <v>否</v>
      </c>
      <c r="O18" s="5" t="str">
        <v>否</v>
      </c>
      <c r="P18" s="5" t="str">
        <v>否</v>
      </c>
      <c r="Q18" s="5" t="str">
        <v>营销费用</v>
      </c>
      <c r="R18" s="5" t="str">
        <v>渠道推广费</v>
      </c>
      <c r="S18" s="5" t="str">
        <v>直播坑位费</v>
      </c>
      <c r="T18" s="1" t="str">
        <v>品牌运营中心</v>
      </c>
      <c r="U18" s="1" t="str">
        <v>市场广告推广部</v>
      </c>
      <c r="V18" s="1" t="str">
        <v>达播2部</v>
      </c>
      <c r="W18" s="3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>
      <c r="A19" s="7" t="str">
        <v>李佳琦</v>
      </c>
      <c r="B19" s="5" t="str">
        <v>YXHD22</v>
      </c>
      <c r="C19" s="4" t="str">
        <v>天猫直播服务费-李佳琦</v>
      </c>
      <c r="D19" s="1" t="str">
        <v>达人直播</v>
      </c>
      <c r="E19" s="1" t="str">
        <v>佣金-佳琦</v>
      </c>
      <c r="F19" s="5" t="str">
        <v>启用</v>
      </c>
      <c r="G19" s="5" t="str">
        <v>是</v>
      </c>
      <c r="H19" s="8" t="str">
        <v>天猫花西子旗舰店</v>
      </c>
      <c r="I19" s="8" t="str">
        <v>DP015</v>
      </c>
      <c r="J19" s="9" t="str">
        <v>天猫</v>
      </c>
      <c r="K19" s="6" t="str">
        <v>天猫达播-LJQ</v>
      </c>
      <c r="L19" s="6" t="str">
        <v>天猫达播-LJQ</v>
      </c>
      <c r="M19" s="5" t="str">
        <v>是</v>
      </c>
      <c r="N19" s="5" t="str">
        <v>是</v>
      </c>
      <c r="O19" s="5" t="str">
        <v>否</v>
      </c>
      <c r="P19" s="5" t="str">
        <v>否</v>
      </c>
      <c r="Q19" s="5" t="str">
        <v>营销费用</v>
      </c>
      <c r="R19" s="5" t="str">
        <v>渠道推广费</v>
      </c>
      <c r="S19" s="5" t="str">
        <v>直播服务费</v>
      </c>
      <c r="T19" s="1" t="str">
        <v>品牌运营中心</v>
      </c>
      <c r="U19" s="1" t="str">
        <v>直播运营部</v>
      </c>
      <c r="V19" s="1" t="str">
        <v>SKA达播部</v>
      </c>
      <c r="W19" s="3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A20" s="7" t="str">
        <v>其他达人直播</v>
      </c>
      <c r="B20" s="5" t="str">
        <v>YXHD23</v>
      </c>
      <c r="C20" s="4" t="str">
        <v>天猫直播服务费-其他</v>
      </c>
      <c r="D20" s="1" t="str">
        <v>达人直播</v>
      </c>
      <c r="E20" s="1" t="str">
        <v>佣金-淘内其他</v>
      </c>
      <c r="F20" s="5" t="str">
        <v>启用</v>
      </c>
      <c r="G20" s="5" t="str">
        <v>是</v>
      </c>
      <c r="H20" s="8" t="str">
        <v>天猫花西子旗舰店</v>
      </c>
      <c r="I20" s="8" t="str">
        <v>DP015</v>
      </c>
      <c r="J20" s="9" t="str">
        <v>天猫</v>
      </c>
      <c r="K20" s="6" t="str">
        <v>天猫达播-其他</v>
      </c>
      <c r="L20" s="6" t="str">
        <v>天猫达播-其他</v>
      </c>
      <c r="M20" s="5" t="str">
        <v>是</v>
      </c>
      <c r="N20" s="5" t="str">
        <v>是</v>
      </c>
      <c r="O20" s="5" t="str">
        <v>否</v>
      </c>
      <c r="P20" s="5" t="str">
        <v>否</v>
      </c>
      <c r="Q20" s="5" t="str">
        <v>营销费用</v>
      </c>
      <c r="R20" s="5" t="str">
        <v>渠道推广费</v>
      </c>
      <c r="S20" s="5" t="str">
        <v>直播服务费</v>
      </c>
      <c r="T20" s="1" t="str">
        <v>品牌运营中心</v>
      </c>
      <c r="U20" s="1" t="str">
        <v>市场广告推广部</v>
      </c>
      <c r="V20" s="1" t="str">
        <v>达播2部</v>
      </c>
      <c r="W20" s="3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>
      <c r="A21" s="7" t="str">
        <v>李佳琦</v>
      </c>
      <c r="B21" s="5" t="str">
        <v>YXHD25</v>
      </c>
      <c r="C21" s="4" t="str">
        <v>天猫直播坑位费-李佳琦</v>
      </c>
      <c r="D21" s="1" t="str">
        <v>达人直播</v>
      </c>
      <c r="E21" s="1" t="str">
        <v>服务费-佳琦</v>
      </c>
      <c r="F21" s="5" t="str">
        <v>启用</v>
      </c>
      <c r="G21" s="5" t="str">
        <v>是</v>
      </c>
      <c r="H21" s="8" t="str">
        <v>天猫花西子旗舰店</v>
      </c>
      <c r="I21" s="8" t="str">
        <v>DP015</v>
      </c>
      <c r="J21" s="9" t="str">
        <v>天猫</v>
      </c>
      <c r="K21" s="6" t="str">
        <v>天猫达播-LJQ</v>
      </c>
      <c r="L21" s="6" t="str">
        <v>天猫达播-LJQ</v>
      </c>
      <c r="M21" s="5" t="str">
        <v>否</v>
      </c>
      <c r="N21" s="5" t="str">
        <v>否</v>
      </c>
      <c r="O21" s="5" t="str">
        <v>否</v>
      </c>
      <c r="P21" s="5" t="str">
        <v>否</v>
      </c>
      <c r="Q21" s="5" t="str">
        <v>营销费用</v>
      </c>
      <c r="R21" s="5" t="str">
        <v>渠道推广费</v>
      </c>
      <c r="S21" s="5" t="str">
        <v>直播坑位费</v>
      </c>
      <c r="T21" s="1" t="str">
        <v>品牌运营中心</v>
      </c>
      <c r="U21" s="1" t="str">
        <v>直播运营部</v>
      </c>
      <c r="V21" s="1" t="str">
        <v>SKA达播部</v>
      </c>
      <c r="W21" s="3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>
      <c r="A22" s="7" t="str">
        <v>其他达人直播</v>
      </c>
      <c r="B22" s="5" t="str">
        <v>YXHD26</v>
      </c>
      <c r="C22" s="4" t="str">
        <v>天猫直播坑位费-其他</v>
      </c>
      <c r="D22" s="1" t="str">
        <v>达人直播</v>
      </c>
      <c r="E22" s="1" t="str">
        <v>服务费-淘内其他</v>
      </c>
      <c r="F22" s="5" t="str">
        <v>启用</v>
      </c>
      <c r="G22" s="5" t="str">
        <v>是</v>
      </c>
      <c r="H22" s="8" t="str">
        <v>天猫花西子旗舰店</v>
      </c>
      <c r="I22" s="8" t="str">
        <v>DP015</v>
      </c>
      <c r="J22" s="9" t="str">
        <v>天猫</v>
      </c>
      <c r="K22" s="6" t="str">
        <v>天猫达播-其他</v>
      </c>
      <c r="L22" s="6" t="str">
        <v>天猫达播-其他</v>
      </c>
      <c r="M22" s="5" t="str">
        <v>否</v>
      </c>
      <c r="N22" s="5" t="str">
        <v>否</v>
      </c>
      <c r="O22" s="5" t="str">
        <v>否</v>
      </c>
      <c r="P22" s="5" t="str">
        <v>否</v>
      </c>
      <c r="Q22" s="5" t="str">
        <v>营销费用</v>
      </c>
      <c r="R22" s="5" t="str">
        <v>渠道推广费</v>
      </c>
      <c r="S22" s="5" t="str">
        <v>直播坑位费</v>
      </c>
      <c r="T22" s="1" t="str">
        <v>品牌运营中心</v>
      </c>
      <c r="U22" s="1" t="str">
        <v>市场广告推广部</v>
      </c>
      <c r="V22" s="1" t="str">
        <v>达播2部</v>
      </c>
      <c r="W22" s="3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A23" s="7" t="str">
        <v>素材创意制作</v>
      </c>
      <c r="B23" s="5" t="str">
        <v>YXHD28</v>
      </c>
      <c r="C23" s="4" t="str">
        <v>AD竞价内容创意-场地租赁</v>
      </c>
      <c r="D23" s="1" t="str">
        <v>品类内容推广</v>
      </c>
      <c r="E23" s="1" t="str">
        <v>AD竞价内容创意</v>
      </c>
      <c r="F23" s="5" t="str">
        <v>启用</v>
      </c>
      <c r="G23" s="5" t="str">
        <v>否</v>
      </c>
      <c r="H23" s="8"/>
      <c r="I23" s="8"/>
      <c r="J23" s="9"/>
      <c r="K23" s="8"/>
      <c r="L23" s="8"/>
      <c r="M23" s="5" t="str">
        <v>否</v>
      </c>
      <c r="N23" s="5" t="str">
        <v>否</v>
      </c>
      <c r="O23" s="5" t="str">
        <v>是</v>
      </c>
      <c r="P23" s="5" t="str">
        <v>是</v>
      </c>
      <c r="Q23" s="5" t="str">
        <v>营销费用</v>
      </c>
      <c r="R23" s="5" t="str">
        <v>其他费用</v>
      </c>
      <c r="S23" s="5" t="str">
        <v>场地租赁费</v>
      </c>
      <c r="T23" s="1" t="str">
        <v>品牌运营中心</v>
      </c>
      <c r="U23" s="1" t="str">
        <v>市场广告推广部</v>
      </c>
      <c r="V23" s="1" t="str">
        <v>广告投放部</v>
      </c>
      <c r="W23" s="3" t="str">
        <v>内容策划组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>
      <c r="A24" s="7" t="str">
        <v>素材创意制作</v>
      </c>
      <c r="B24" s="5" t="str">
        <v>YXHD29</v>
      </c>
      <c r="C24" s="4" t="str">
        <v>AD竞价内容创意-动画制作</v>
      </c>
      <c r="D24" s="1" t="str">
        <v>品类内容推广</v>
      </c>
      <c r="E24" s="1" t="str">
        <v>AD竞价内容创意</v>
      </c>
      <c r="F24" s="5" t="str">
        <v>启用</v>
      </c>
      <c r="G24" s="5" t="str">
        <v>否</v>
      </c>
      <c r="H24" s="8"/>
      <c r="I24" s="8"/>
      <c r="J24" s="9"/>
      <c r="K24" s="8"/>
      <c r="L24" s="8"/>
      <c r="M24" s="5" t="str">
        <v>否</v>
      </c>
      <c r="N24" s="5" t="str">
        <v>否</v>
      </c>
      <c r="O24" s="5" t="str">
        <v>是</v>
      </c>
      <c r="P24" s="5" t="str">
        <v>是</v>
      </c>
      <c r="Q24" s="5" t="str">
        <v>营销费用</v>
      </c>
      <c r="R24" s="5" t="str">
        <v>内容制作费</v>
      </c>
      <c r="S24" s="5" t="str">
        <v>动画制作费</v>
      </c>
      <c r="T24" s="1" t="str">
        <v>品牌运营中心</v>
      </c>
      <c r="U24" s="1" t="str">
        <v>市场广告推广部</v>
      </c>
      <c r="V24" s="1" t="str">
        <v>广告投放部</v>
      </c>
      <c r="W24" s="3" t="str">
        <v>内容策划组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>
      <c r="A25" s="7" t="str">
        <v>素材创意制作</v>
      </c>
      <c r="B25" s="5" t="str">
        <v>YXHD30</v>
      </c>
      <c r="C25" s="4" t="str">
        <v>AD竞价内容创意-服化道费</v>
      </c>
      <c r="D25" s="1" t="str">
        <v>品类内容推广</v>
      </c>
      <c r="E25" s="1" t="str">
        <v>AD竞价内容创意</v>
      </c>
      <c r="F25" s="5" t="str">
        <v>启用</v>
      </c>
      <c r="G25" s="5" t="str">
        <v>否</v>
      </c>
      <c r="H25" s="8"/>
      <c r="I25" s="8"/>
      <c r="J25" s="9"/>
      <c r="K25" s="8"/>
      <c r="L25" s="8"/>
      <c r="M25" s="5" t="str">
        <v>否</v>
      </c>
      <c r="N25" s="5" t="str">
        <v>否</v>
      </c>
      <c r="O25" s="5" t="str">
        <v>是</v>
      </c>
      <c r="P25" s="5" t="str">
        <v>是</v>
      </c>
      <c r="Q25" s="5" t="str">
        <v>营销费用</v>
      </c>
      <c r="R25" s="5" t="str">
        <v>内容制作费</v>
      </c>
      <c r="S25" s="5" t="str">
        <v>服化道费用</v>
      </c>
      <c r="T25" s="1" t="str">
        <v>品牌运营中心</v>
      </c>
      <c r="U25" s="1" t="str">
        <v>市场广告推广部</v>
      </c>
      <c r="V25" s="1" t="str">
        <v>广告投放部</v>
      </c>
      <c r="W25" s="3" t="str">
        <v>内容策划组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>
      <c r="A26" s="7" t="str">
        <v>素材创意制作</v>
      </c>
      <c r="B26" s="5" t="str">
        <v>YXHD31</v>
      </c>
      <c r="C26" s="4" t="str">
        <v>AD竞价内容创意-建模服务</v>
      </c>
      <c r="D26" s="1" t="str">
        <v>品类内容推广</v>
      </c>
      <c r="E26" s="1" t="str">
        <v>AD竞价内容创意</v>
      </c>
      <c r="F26" s="5" t="str">
        <v>启用</v>
      </c>
      <c r="G26" s="5" t="str">
        <v>否</v>
      </c>
      <c r="H26" s="8"/>
      <c r="I26" s="8"/>
      <c r="J26" s="9"/>
      <c r="K26" s="8"/>
      <c r="L26" s="8"/>
      <c r="M26" s="5" t="str">
        <v>否</v>
      </c>
      <c r="N26" s="5" t="str">
        <v>否</v>
      </c>
      <c r="O26" s="5" t="str">
        <v>是</v>
      </c>
      <c r="P26" s="5" t="str">
        <v>是</v>
      </c>
      <c r="Q26" s="5" t="str">
        <v>营销费用</v>
      </c>
      <c r="R26" s="5" t="str">
        <v>内容制作费</v>
      </c>
      <c r="S26" s="5" t="str">
        <v>建模服务费</v>
      </c>
      <c r="T26" s="1" t="str">
        <v>品牌运营中心</v>
      </c>
      <c r="U26" s="1" t="str">
        <v>市场广告推广部</v>
      </c>
      <c r="V26" s="1" t="str">
        <v>广告投放部</v>
      </c>
      <c r="W26" s="3" t="str">
        <v>内容策划组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>
      <c r="A27" s="7" t="str">
        <v>素材创意制作</v>
      </c>
      <c r="B27" s="5" t="str">
        <v>YXHD32</v>
      </c>
      <c r="C27" s="4" t="str">
        <v>AD竞价内容创意-模特服务</v>
      </c>
      <c r="D27" s="1" t="str">
        <v>品类内容推广</v>
      </c>
      <c r="E27" s="1" t="str">
        <v>AD竞价内容创意</v>
      </c>
      <c r="F27" s="5" t="str">
        <v>启用</v>
      </c>
      <c r="G27" s="5" t="str">
        <v>否</v>
      </c>
      <c r="H27" s="8"/>
      <c r="I27" s="8"/>
      <c r="J27" s="9"/>
      <c r="K27" s="8"/>
      <c r="L27" s="8"/>
      <c r="M27" s="5" t="str">
        <v>否</v>
      </c>
      <c r="N27" s="5" t="str">
        <v>否</v>
      </c>
      <c r="O27" s="5" t="str">
        <v>是</v>
      </c>
      <c r="P27" s="5" t="str">
        <v>是</v>
      </c>
      <c r="Q27" s="5" t="str">
        <v>营销费用</v>
      </c>
      <c r="R27" s="5" t="str">
        <v>内容制作费</v>
      </c>
      <c r="S27" s="5" t="str">
        <v>模特服务费</v>
      </c>
      <c r="T27" s="1" t="str">
        <v>品牌运营中心</v>
      </c>
      <c r="U27" s="1" t="str">
        <v>市场广告推广部</v>
      </c>
      <c r="V27" s="1" t="str">
        <v>广告投放部</v>
      </c>
      <c r="W27" s="3" t="str">
        <v>内容策划组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>
      <c r="A28" s="7" t="str">
        <v>素材创意制作</v>
      </c>
      <c r="B28" s="5" t="str">
        <v>YXHD33</v>
      </c>
      <c r="C28" s="4" t="str">
        <v>AD竞价内容创意-内容制作</v>
      </c>
      <c r="D28" s="1" t="str">
        <v>品类内容推广</v>
      </c>
      <c r="E28" s="1" t="str">
        <v>AD竞价内容创意</v>
      </c>
      <c r="F28" s="5" t="str">
        <v>启用</v>
      </c>
      <c r="G28" s="5" t="str">
        <v>否</v>
      </c>
      <c r="H28" s="8"/>
      <c r="I28" s="8"/>
      <c r="J28" s="9"/>
      <c r="K28" s="8"/>
      <c r="L28" s="8"/>
      <c r="M28" s="5" t="str">
        <v>否</v>
      </c>
      <c r="N28" s="5" t="str">
        <v>否</v>
      </c>
      <c r="O28" s="5" t="str">
        <v>是</v>
      </c>
      <c r="P28" s="5" t="str">
        <v>是</v>
      </c>
      <c r="Q28" s="5" t="str">
        <v>营销费用</v>
      </c>
      <c r="R28" s="5" t="str">
        <v>内容制作费</v>
      </c>
      <c r="S28" s="5" t="str">
        <v>内容制作费</v>
      </c>
      <c r="T28" s="1" t="str">
        <v>品牌运营中心</v>
      </c>
      <c r="U28" s="1" t="str">
        <v>市场广告推广部</v>
      </c>
      <c r="V28" s="1" t="str">
        <v>广告投放部</v>
      </c>
      <c r="W28" s="3" t="str">
        <v>内容策划组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>
      <c r="A29" s="7" t="str">
        <v>素材创意制作</v>
      </c>
      <c r="B29" s="5" t="str">
        <v>YXHD34</v>
      </c>
      <c r="C29" s="4" t="str">
        <v>AD竞价内容创意-拍摄服务</v>
      </c>
      <c r="D29" s="1" t="str">
        <v>品类内容推广</v>
      </c>
      <c r="E29" s="1" t="str">
        <v>AD竞价内容创意</v>
      </c>
      <c r="F29" s="5" t="str">
        <v>启用</v>
      </c>
      <c r="G29" s="5" t="str">
        <v>否</v>
      </c>
      <c r="H29" s="8"/>
      <c r="I29" s="8"/>
      <c r="J29" s="9"/>
      <c r="K29" s="8"/>
      <c r="L29" s="8"/>
      <c r="M29" s="5" t="str">
        <v>否</v>
      </c>
      <c r="N29" s="5" t="str">
        <v>否</v>
      </c>
      <c r="O29" s="5" t="str">
        <v>是</v>
      </c>
      <c r="P29" s="5" t="str">
        <v>是</v>
      </c>
      <c r="Q29" s="5" t="str">
        <v>营销费用</v>
      </c>
      <c r="R29" s="5" t="str">
        <v>内容制作费</v>
      </c>
      <c r="S29" s="5" t="str">
        <v>拍摄服务费</v>
      </c>
      <c r="T29" s="1" t="str">
        <v>品牌运营中心</v>
      </c>
      <c r="U29" s="1" t="str">
        <v>市场广告推广部</v>
      </c>
      <c r="V29" s="1" t="str">
        <v>广告投放部</v>
      </c>
      <c r="W29" s="3" t="str">
        <v>内容策划组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>
      <c r="A30" s="7" t="str">
        <v>素材创意制作</v>
      </c>
      <c r="B30" s="5" t="str">
        <v>YXHD35</v>
      </c>
      <c r="C30" s="4" t="str">
        <v>AD竞价内容创意-拍摄物料</v>
      </c>
      <c r="D30" s="1" t="str">
        <v>品类内容推广</v>
      </c>
      <c r="E30" s="1" t="str">
        <v>AD竞价内容创意</v>
      </c>
      <c r="F30" s="5" t="str">
        <v>启用</v>
      </c>
      <c r="G30" s="5" t="str">
        <v>否</v>
      </c>
      <c r="H30" s="8"/>
      <c r="I30" s="8"/>
      <c r="J30" s="9"/>
      <c r="K30" s="8"/>
      <c r="L30" s="8"/>
      <c r="M30" s="5" t="str">
        <v>否</v>
      </c>
      <c r="N30" s="5" t="str">
        <v>否</v>
      </c>
      <c r="O30" s="5" t="str">
        <v>是</v>
      </c>
      <c r="P30" s="5" t="str">
        <v>是</v>
      </c>
      <c r="Q30" s="5" t="str">
        <v>营销费用</v>
      </c>
      <c r="R30" s="5" t="str">
        <v>内容制作费</v>
      </c>
      <c r="S30" s="5" t="str">
        <v>拍摄物料费</v>
      </c>
      <c r="T30" s="1" t="str">
        <v>品牌运营中心</v>
      </c>
      <c r="U30" s="1" t="str">
        <v>市场广告推广部</v>
      </c>
      <c r="V30" s="1" t="str">
        <v>广告投放部</v>
      </c>
      <c r="W30" s="3" t="str">
        <v>内容策划组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>
      <c r="A31" s="7" t="str">
        <v>素材创意制作</v>
      </c>
      <c r="B31" s="5" t="str">
        <v>YXHD36</v>
      </c>
      <c r="C31" s="4" t="str">
        <v>AD竞价内容创意-设备租赁</v>
      </c>
      <c r="D31" s="1" t="str">
        <v>品类内容推广</v>
      </c>
      <c r="E31" s="1" t="str">
        <v>AD竞价内容创意</v>
      </c>
      <c r="F31" s="5" t="str">
        <v>启用</v>
      </c>
      <c r="G31" s="5" t="str">
        <v>否</v>
      </c>
      <c r="H31" s="8"/>
      <c r="I31" s="8"/>
      <c r="J31" s="9"/>
      <c r="K31" s="8"/>
      <c r="L31" s="8"/>
      <c r="M31" s="5" t="str">
        <v>否</v>
      </c>
      <c r="N31" s="5" t="str">
        <v>否</v>
      </c>
      <c r="O31" s="5" t="str">
        <v>是</v>
      </c>
      <c r="P31" s="5" t="str">
        <v>是</v>
      </c>
      <c r="Q31" s="5" t="str">
        <v>营销费用</v>
      </c>
      <c r="R31" s="5" t="str">
        <v>其他费用</v>
      </c>
      <c r="S31" s="5" t="str">
        <v>设备租赁费</v>
      </c>
      <c r="T31" s="1" t="str">
        <v>品牌运营中心</v>
      </c>
      <c r="U31" s="1" t="str">
        <v>市场广告推广部</v>
      </c>
      <c r="V31" s="1" t="str">
        <v>广告投放部</v>
      </c>
      <c r="W31" s="3" t="str">
        <v>内容策划组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A32" s="7" t="str">
        <v>素材创意制作</v>
      </c>
      <c r="B32" s="5" t="str">
        <v>YXHD37</v>
      </c>
      <c r="C32" s="4" t="str">
        <v>AD竞价内容创意-视频制作</v>
      </c>
      <c r="D32" s="1" t="str">
        <v>品类内容推广</v>
      </c>
      <c r="E32" s="1" t="str">
        <v>AD竞价内容创意</v>
      </c>
      <c r="F32" s="5" t="str">
        <v>启用</v>
      </c>
      <c r="G32" s="5" t="str">
        <v>否</v>
      </c>
      <c r="H32" s="8"/>
      <c r="I32" s="8"/>
      <c r="J32" s="9"/>
      <c r="K32" s="8"/>
      <c r="L32" s="8"/>
      <c r="M32" s="5" t="str">
        <v>否</v>
      </c>
      <c r="N32" s="5" t="str">
        <v>否</v>
      </c>
      <c r="O32" s="5" t="str">
        <v>是</v>
      </c>
      <c r="P32" s="5" t="str">
        <v>是</v>
      </c>
      <c r="Q32" s="5" t="str">
        <v>营销费用</v>
      </c>
      <c r="R32" s="5" t="str">
        <v>内容制作费</v>
      </c>
      <c r="S32" s="5" t="str">
        <v>视频制作费</v>
      </c>
      <c r="T32" s="1" t="str">
        <v>品牌运营中心</v>
      </c>
      <c r="U32" s="1" t="str">
        <v>市场广告推广部</v>
      </c>
      <c r="V32" s="1" t="str">
        <v>广告投放部</v>
      </c>
      <c r="W32" s="3" t="str">
        <v>内容策划组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A33" s="7" t="str">
        <v>素材创意制作</v>
      </c>
      <c r="B33" s="5" t="str">
        <v>YXHD38</v>
      </c>
      <c r="C33" s="4" t="str">
        <v>AD竞价内容创意-图文平面制作</v>
      </c>
      <c r="D33" s="1" t="str">
        <v>品类内容推广</v>
      </c>
      <c r="E33" s="1" t="str">
        <v>AD竞价内容创意</v>
      </c>
      <c r="F33" s="5" t="str">
        <v>启用</v>
      </c>
      <c r="G33" s="5" t="str">
        <v>否</v>
      </c>
      <c r="H33" s="8"/>
      <c r="I33" s="8"/>
      <c r="J33" s="9"/>
      <c r="K33" s="8"/>
      <c r="L33" s="8"/>
      <c r="M33" s="5" t="str">
        <v>否</v>
      </c>
      <c r="N33" s="5" t="str">
        <v>否</v>
      </c>
      <c r="O33" s="5" t="str">
        <v>是</v>
      </c>
      <c r="P33" s="5" t="str">
        <v>是</v>
      </c>
      <c r="Q33" s="5" t="str">
        <v>营销费用</v>
      </c>
      <c r="R33" s="5" t="str">
        <v>内容制作费</v>
      </c>
      <c r="S33" s="5" t="str">
        <v>图文平面制作费</v>
      </c>
      <c r="T33" s="1" t="str">
        <v>品牌运营中心</v>
      </c>
      <c r="U33" s="1" t="str">
        <v>市场广告推广部</v>
      </c>
      <c r="V33" s="1" t="str">
        <v>广告投放部</v>
      </c>
      <c r="W33" s="3" t="str">
        <v>内容策划组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A34" s="7" t="str">
        <v>素材创意制作</v>
      </c>
      <c r="B34" s="5" t="str">
        <v>YXHD39</v>
      </c>
      <c r="C34" s="4" t="str">
        <v>AD竞价内容创意-舞台场地</v>
      </c>
      <c r="D34" s="1" t="str">
        <v>品类内容推广</v>
      </c>
      <c r="E34" s="1" t="str">
        <v>AD竞价内容创意</v>
      </c>
      <c r="F34" s="5" t="str">
        <v>启用</v>
      </c>
      <c r="G34" s="5" t="str">
        <v>否</v>
      </c>
      <c r="H34" s="8"/>
      <c r="I34" s="8"/>
      <c r="J34" s="9"/>
      <c r="K34" s="8"/>
      <c r="L34" s="8"/>
      <c r="M34" s="5" t="str">
        <v>否</v>
      </c>
      <c r="N34" s="5" t="str">
        <v>否</v>
      </c>
      <c r="O34" s="5" t="str">
        <v>是</v>
      </c>
      <c r="P34" s="5" t="str">
        <v>是</v>
      </c>
      <c r="Q34" s="5" t="str">
        <v>营销费用</v>
      </c>
      <c r="R34" s="5" t="str">
        <v>其他费用</v>
      </c>
      <c r="S34" s="5" t="str">
        <v>舞台场地搭建费</v>
      </c>
      <c r="T34" s="1" t="str">
        <v>品牌运营中心</v>
      </c>
      <c r="U34" s="1" t="str">
        <v>市场广告推广部</v>
      </c>
      <c r="V34" s="1" t="str">
        <v>广告投放部</v>
      </c>
      <c r="W34" s="3" t="str">
        <v>内容策划组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A35" s="7" t="str">
        <v>素材创意制作</v>
      </c>
      <c r="B35" s="5" t="str">
        <v>YXHD40</v>
      </c>
      <c r="C35" s="4" t="str">
        <v>AD竞价内容创意-渲染服务</v>
      </c>
      <c r="D35" s="1" t="str">
        <v>品类内容推广</v>
      </c>
      <c r="E35" s="1" t="str">
        <v>AD竞价内容创意</v>
      </c>
      <c r="F35" s="5" t="str">
        <v>启用</v>
      </c>
      <c r="G35" s="5" t="str">
        <v>否</v>
      </c>
      <c r="H35" s="8"/>
      <c r="I35" s="8"/>
      <c r="J35" s="9"/>
      <c r="K35" s="8"/>
      <c r="L35" s="8"/>
      <c r="M35" s="5" t="str">
        <v>否</v>
      </c>
      <c r="N35" s="5" t="str">
        <v>否</v>
      </c>
      <c r="O35" s="5" t="str">
        <v>是</v>
      </c>
      <c r="P35" s="5" t="str">
        <v>是</v>
      </c>
      <c r="Q35" s="5" t="str">
        <v>营销费用</v>
      </c>
      <c r="R35" s="5" t="str">
        <v>内容制作费</v>
      </c>
      <c r="S35" s="5" t="str">
        <v>渲染服务费</v>
      </c>
      <c r="T35" s="1" t="str">
        <v>品牌运营中心</v>
      </c>
      <c r="U35" s="1" t="str">
        <v>市场广告推广部</v>
      </c>
      <c r="V35" s="1" t="str">
        <v>广告投放部</v>
      </c>
      <c r="W35" s="3" t="str">
        <v>内容策划组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A36" s="7" t="str">
        <v>素材创意制作</v>
      </c>
      <c r="B36" s="5" t="str">
        <v>YXHD41</v>
      </c>
      <c r="C36" s="4" t="str">
        <v>AD竞价内容创意-专业人物合作</v>
      </c>
      <c r="D36" s="1" t="str">
        <v>品类内容推广</v>
      </c>
      <c r="E36" s="1" t="str">
        <v>AD竞价内容创意</v>
      </c>
      <c r="F36" s="5" t="str">
        <v>启用</v>
      </c>
      <c r="G36" s="5" t="str">
        <v>否</v>
      </c>
      <c r="H36" s="8"/>
      <c r="I36" s="8"/>
      <c r="J36" s="9"/>
      <c r="K36" s="8"/>
      <c r="L36" s="8"/>
      <c r="M36" s="5" t="str">
        <v>否</v>
      </c>
      <c r="N36" s="5" t="str">
        <v>否</v>
      </c>
      <c r="O36" s="5" t="str">
        <v>是</v>
      </c>
      <c r="P36" s="5" t="str">
        <v>是</v>
      </c>
      <c r="Q36" s="5" t="str">
        <v>营销费用</v>
      </c>
      <c r="R36" s="5" t="str">
        <v>内容制作费</v>
      </c>
      <c r="S36" s="5" t="str">
        <v>专业人物合作费</v>
      </c>
      <c r="T36" s="1" t="str">
        <v>品牌运营中心</v>
      </c>
      <c r="U36" s="1" t="str">
        <v>市场广告推广部</v>
      </c>
      <c r="V36" s="1" t="str">
        <v>广告投放部</v>
      </c>
      <c r="W36" s="3" t="str">
        <v>内容策划组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>
      <c r="A37" s="7" t="str">
        <v>内容加热</v>
      </c>
      <c r="B37" s="5" t="str">
        <v>YXHD42</v>
      </c>
      <c r="C37" s="4" t="str">
        <v>B站起飞加热</v>
      </c>
      <c r="D37" s="1" t="str">
        <v>品类内容推广</v>
      </c>
      <c r="E37" s="1" t="str">
        <v>其他新媒体加热</v>
      </c>
      <c r="F37" s="5" t="str">
        <v>启用</v>
      </c>
      <c r="G37" s="5" t="str">
        <v>否</v>
      </c>
      <c r="H37" s="8"/>
      <c r="I37" s="8"/>
      <c r="J37" s="9"/>
      <c r="K37" s="8"/>
      <c r="L37" s="8"/>
      <c r="M37" s="5" t="str">
        <v>否</v>
      </c>
      <c r="N37" s="5" t="str">
        <v>否</v>
      </c>
      <c r="O37" s="5" t="str">
        <v>否</v>
      </c>
      <c r="P37" s="5" t="str">
        <v>否</v>
      </c>
      <c r="Q37" s="5" t="str">
        <v>营销费用</v>
      </c>
      <c r="R37" s="5" t="str">
        <v>达人推广费</v>
      </c>
      <c r="S37" s="5" t="str">
        <v>内容推广费</v>
      </c>
      <c r="T37" s="1" t="str">
        <v>品牌运营中心</v>
      </c>
      <c r="U37" s="1" t="str">
        <v>市场广告推广部</v>
      </c>
      <c r="V37" s="1" t="str">
        <v>市场推广部</v>
      </c>
      <c r="W37" s="3" t="str">
        <v>内容投放组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A38" s="7" t="str">
        <v>内容加热</v>
      </c>
      <c r="B38" s="5" t="str">
        <v>YXHD43</v>
      </c>
      <c r="C38" s="4" t="str">
        <v>DOU+</v>
      </c>
      <c r="D38" s="1" t="str">
        <v>品类内容推广</v>
      </c>
      <c r="E38" s="1" t="str">
        <v>内容加热</v>
      </c>
      <c r="F38" s="5" t="str">
        <v>启用</v>
      </c>
      <c r="G38" s="5" t="str">
        <v>否</v>
      </c>
      <c r="H38" s="8"/>
      <c r="I38" s="8"/>
      <c r="J38" s="9"/>
      <c r="K38" s="8"/>
      <c r="L38" s="8"/>
      <c r="M38" s="5" t="str">
        <v>否</v>
      </c>
      <c r="N38" s="5" t="str">
        <v>否</v>
      </c>
      <c r="O38" s="5" t="str">
        <v>否</v>
      </c>
      <c r="P38" s="5" t="str">
        <v>否</v>
      </c>
      <c r="Q38" s="5" t="str">
        <v>营销费用</v>
      </c>
      <c r="R38" s="5" t="str">
        <v>达人推广费</v>
      </c>
      <c r="S38" s="5" t="str">
        <v>内容推广费</v>
      </c>
      <c r="T38" s="1" t="str">
        <v>品牌运营中心</v>
      </c>
      <c r="U38" s="1" t="str">
        <v>市场广告推广部</v>
      </c>
      <c r="V38" s="1" t="str">
        <v>市场推广部</v>
      </c>
      <c r="W38" s="3" t="str">
        <v>内容投放组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>
      <c r="A39" s="7" t="str">
        <v>素材创意制作</v>
      </c>
      <c r="B39" s="5" t="str">
        <v>YXHD44</v>
      </c>
      <c r="C39" s="4" t="str">
        <v>抖音视频创意-店铺-场地租赁</v>
      </c>
      <c r="D39" s="1" t="str">
        <v>品类内容推广</v>
      </c>
      <c r="E39" s="1" t="str">
        <v>抖音视频创意-店铺</v>
      </c>
      <c r="F39" s="5" t="str">
        <v>启用</v>
      </c>
      <c r="G39" s="5" t="str">
        <v>是</v>
      </c>
      <c r="H39" s="8" t="str">
        <v>抖音花西子旗舰店</v>
      </c>
      <c r="I39" s="8" t="str">
        <v>DP007</v>
      </c>
      <c r="J39" s="9" t="str">
        <v>抖音</v>
      </c>
      <c r="K39" s="8" t="str">
        <v>抖音自播</v>
      </c>
      <c r="L39" s="8" t="str">
        <v>抖音自播</v>
      </c>
      <c r="M39" s="5" t="str">
        <v>否</v>
      </c>
      <c r="N39" s="5" t="str">
        <v>否</v>
      </c>
      <c r="O39" s="5" t="str">
        <v>是</v>
      </c>
      <c r="P39" s="5" t="str">
        <v>是</v>
      </c>
      <c r="Q39" s="5" t="str">
        <v>营销费用</v>
      </c>
      <c r="R39" s="5" t="str">
        <v>其他费用</v>
      </c>
      <c r="S39" s="5" t="str">
        <v>场地租赁费</v>
      </c>
      <c r="T39" s="1" t="str">
        <v>品牌运营中心</v>
      </c>
      <c r="U39" s="1" t="str">
        <v>内容电商部</v>
      </c>
      <c r="V39" s="1" t="str">
        <v>抖音部</v>
      </c>
      <c r="W39" s="3" t="str">
        <v>内容部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>
      <c r="A40" s="7" t="str">
        <v>素材创意制作</v>
      </c>
      <c r="B40" s="5" t="str">
        <v>YXHD45</v>
      </c>
      <c r="C40" s="4" t="str">
        <v>抖音视频创意-店铺-动画制作</v>
      </c>
      <c r="D40" s="1" t="str">
        <v>品类内容推广</v>
      </c>
      <c r="E40" s="1" t="str">
        <v>抖音视频创意-店铺</v>
      </c>
      <c r="F40" s="5" t="str">
        <v>启用</v>
      </c>
      <c r="G40" s="5" t="str">
        <v>是</v>
      </c>
      <c r="H40" s="8" t="str">
        <v>抖音花西子旗舰店</v>
      </c>
      <c r="I40" s="8" t="str">
        <v>DP007</v>
      </c>
      <c r="J40" s="9" t="str">
        <v>抖音</v>
      </c>
      <c r="K40" s="8" t="str">
        <v>抖音自播</v>
      </c>
      <c r="L40" s="8" t="str">
        <v>抖音自播</v>
      </c>
      <c r="M40" s="5" t="str">
        <v>否</v>
      </c>
      <c r="N40" s="5" t="str">
        <v>否</v>
      </c>
      <c r="O40" s="5" t="str">
        <v>是</v>
      </c>
      <c r="P40" s="5" t="str">
        <v>是</v>
      </c>
      <c r="Q40" s="5" t="str">
        <v>营销费用</v>
      </c>
      <c r="R40" s="5" t="str">
        <v>内容制作费</v>
      </c>
      <c r="S40" s="5" t="str">
        <v>动画制作费</v>
      </c>
      <c r="T40" s="1" t="str">
        <v>品牌运营中心</v>
      </c>
      <c r="U40" s="1" t="str">
        <v>内容电商部</v>
      </c>
      <c r="V40" s="1" t="str">
        <v>抖音部</v>
      </c>
      <c r="W40" s="3" t="str">
        <v>内容部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>
      <c r="A41" s="7" t="str">
        <v>素材创意制作</v>
      </c>
      <c r="B41" s="5" t="str">
        <v>YXHD46</v>
      </c>
      <c r="C41" s="4" t="str">
        <v>抖音视频创意-店铺-服化道费</v>
      </c>
      <c r="D41" s="1" t="str">
        <v>品类内容推广</v>
      </c>
      <c r="E41" s="1" t="str">
        <v>抖音视频创意-店铺</v>
      </c>
      <c r="F41" s="5" t="str">
        <v>启用</v>
      </c>
      <c r="G41" s="5" t="str">
        <v>是</v>
      </c>
      <c r="H41" s="8" t="str">
        <v>抖音花西子旗舰店</v>
      </c>
      <c r="I41" s="8" t="str">
        <v>DP007</v>
      </c>
      <c r="J41" s="9" t="str">
        <v>抖音</v>
      </c>
      <c r="K41" s="8" t="str">
        <v>抖音自播</v>
      </c>
      <c r="L41" s="8" t="str">
        <v>抖音自播</v>
      </c>
      <c r="M41" s="5" t="str">
        <v>否</v>
      </c>
      <c r="N41" s="5" t="str">
        <v>否</v>
      </c>
      <c r="O41" s="5" t="str">
        <v>是</v>
      </c>
      <c r="P41" s="5" t="str">
        <v>是</v>
      </c>
      <c r="Q41" s="5" t="str">
        <v>营销费用</v>
      </c>
      <c r="R41" s="5" t="str">
        <v>内容制作费</v>
      </c>
      <c r="S41" s="5" t="str">
        <v>服化道费用</v>
      </c>
      <c r="T41" s="1" t="str">
        <v>品牌运营中心</v>
      </c>
      <c r="U41" s="1" t="str">
        <v>内容电商部</v>
      </c>
      <c r="V41" s="1" t="str">
        <v>抖音部</v>
      </c>
      <c r="W41" s="3" t="str">
        <v>内容部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>
      <c r="A42" s="7" t="str">
        <v>素材创意制作</v>
      </c>
      <c r="B42" s="5" t="str">
        <v>YXHD47</v>
      </c>
      <c r="C42" s="4" t="str">
        <v>抖音视频创意-店铺-建模服务</v>
      </c>
      <c r="D42" s="1" t="str">
        <v>品类内容推广</v>
      </c>
      <c r="E42" s="1" t="str">
        <v>抖音视频创意-店铺</v>
      </c>
      <c r="F42" s="5" t="str">
        <v>启用</v>
      </c>
      <c r="G42" s="5" t="str">
        <v>是</v>
      </c>
      <c r="H42" s="8" t="str">
        <v>抖音花西子旗舰店</v>
      </c>
      <c r="I42" s="8" t="str">
        <v>DP007</v>
      </c>
      <c r="J42" s="9" t="str">
        <v>抖音</v>
      </c>
      <c r="K42" s="8" t="str">
        <v>抖音自播</v>
      </c>
      <c r="L42" s="8" t="str">
        <v>抖音自播</v>
      </c>
      <c r="M42" s="5" t="str">
        <v>否</v>
      </c>
      <c r="N42" s="5" t="str">
        <v>否</v>
      </c>
      <c r="O42" s="5" t="str">
        <v>是</v>
      </c>
      <c r="P42" s="5" t="str">
        <v>是</v>
      </c>
      <c r="Q42" s="5" t="str">
        <v>营销费用</v>
      </c>
      <c r="R42" s="5" t="str">
        <v>内容制作费</v>
      </c>
      <c r="S42" s="5" t="str">
        <v>建模服务费</v>
      </c>
      <c r="T42" s="1" t="str">
        <v>品牌运营中心</v>
      </c>
      <c r="U42" s="1" t="str">
        <v>内容电商部</v>
      </c>
      <c r="V42" s="1" t="str">
        <v>抖音部</v>
      </c>
      <c r="W42" s="3" t="str">
        <v>内容部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>
      <c r="A43" s="7" t="str">
        <v>素材创意制作</v>
      </c>
      <c r="B43" s="5" t="str">
        <v>YXHD48</v>
      </c>
      <c r="C43" s="4" t="str">
        <v>抖音视频创意-店铺-模特服务</v>
      </c>
      <c r="D43" s="1" t="str">
        <v>品类内容推广</v>
      </c>
      <c r="E43" s="1" t="str">
        <v>抖音视频创意-店铺</v>
      </c>
      <c r="F43" s="5" t="str">
        <v>启用</v>
      </c>
      <c r="G43" s="5" t="str">
        <v>是</v>
      </c>
      <c r="H43" s="8" t="str">
        <v>抖音花西子旗舰店</v>
      </c>
      <c r="I43" s="8" t="str">
        <v>DP007</v>
      </c>
      <c r="J43" s="9" t="str">
        <v>抖音</v>
      </c>
      <c r="K43" s="8" t="str">
        <v>抖音自播</v>
      </c>
      <c r="L43" s="8" t="str">
        <v>抖音自播</v>
      </c>
      <c r="M43" s="5" t="str">
        <v>否</v>
      </c>
      <c r="N43" s="5" t="str">
        <v>否</v>
      </c>
      <c r="O43" s="5" t="str">
        <v>是</v>
      </c>
      <c r="P43" s="5" t="str">
        <v>是</v>
      </c>
      <c r="Q43" s="5" t="str">
        <v>营销费用</v>
      </c>
      <c r="R43" s="5" t="str">
        <v>内容制作费</v>
      </c>
      <c r="S43" s="5" t="str">
        <v>模特服务费</v>
      </c>
      <c r="T43" s="1" t="str">
        <v>品牌运营中心</v>
      </c>
      <c r="U43" s="1" t="str">
        <v>内容电商部</v>
      </c>
      <c r="V43" s="1" t="str">
        <v>抖音部</v>
      </c>
      <c r="W43" s="3" t="str">
        <v>内容部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>
      <c r="A44" s="7" t="str">
        <v>素材创意制作</v>
      </c>
      <c r="B44" s="5" t="str">
        <v>YXHD49</v>
      </c>
      <c r="C44" s="4" t="str">
        <v>抖音视频创意-店铺-内容制作</v>
      </c>
      <c r="D44" s="1" t="str">
        <v>品类内容推广</v>
      </c>
      <c r="E44" s="1" t="str">
        <v>抖音视频创意-店铺</v>
      </c>
      <c r="F44" s="5" t="str">
        <v>启用</v>
      </c>
      <c r="G44" s="5" t="str">
        <v>是</v>
      </c>
      <c r="H44" s="8" t="str">
        <v>抖音花西子旗舰店</v>
      </c>
      <c r="I44" s="8" t="str">
        <v>DP007</v>
      </c>
      <c r="J44" s="9" t="str">
        <v>抖音</v>
      </c>
      <c r="K44" s="8" t="str">
        <v>抖音自播</v>
      </c>
      <c r="L44" s="8" t="str">
        <v>抖音自播</v>
      </c>
      <c r="M44" s="5" t="str">
        <v>否</v>
      </c>
      <c r="N44" s="5" t="str">
        <v>否</v>
      </c>
      <c r="O44" s="5" t="str">
        <v>是</v>
      </c>
      <c r="P44" s="5" t="str">
        <v>是</v>
      </c>
      <c r="Q44" s="5" t="str">
        <v>营销费用</v>
      </c>
      <c r="R44" s="5" t="str">
        <v>内容制作费</v>
      </c>
      <c r="S44" s="5" t="str">
        <v>内容制作费</v>
      </c>
      <c r="T44" s="1" t="str">
        <v>品牌运营中心</v>
      </c>
      <c r="U44" s="1" t="str">
        <v>内容电商部</v>
      </c>
      <c r="V44" s="1" t="str">
        <v>抖音部</v>
      </c>
      <c r="W44" s="3" t="str">
        <v>内容部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>
      <c r="A45" s="7" t="str">
        <v>素材创意制作</v>
      </c>
      <c r="B45" s="5" t="str">
        <v>YXHD50</v>
      </c>
      <c r="C45" s="4" t="str">
        <v>抖音视频创意-店铺-拍摄服务</v>
      </c>
      <c r="D45" s="1" t="str">
        <v>品类内容推广</v>
      </c>
      <c r="E45" s="1" t="str">
        <v>抖音视频创意-店铺</v>
      </c>
      <c r="F45" s="5" t="str">
        <v>启用</v>
      </c>
      <c r="G45" s="5" t="str">
        <v>是</v>
      </c>
      <c r="H45" s="8" t="str">
        <v>抖音花西子旗舰店</v>
      </c>
      <c r="I45" s="8" t="str">
        <v>DP007</v>
      </c>
      <c r="J45" s="9" t="str">
        <v>抖音</v>
      </c>
      <c r="K45" s="8" t="str">
        <v>抖音自播</v>
      </c>
      <c r="L45" s="8" t="str">
        <v>抖音自播</v>
      </c>
      <c r="M45" s="5" t="str">
        <v>否</v>
      </c>
      <c r="N45" s="5" t="str">
        <v>否</v>
      </c>
      <c r="O45" s="5" t="str">
        <v>是</v>
      </c>
      <c r="P45" s="5" t="str">
        <v>是</v>
      </c>
      <c r="Q45" s="5" t="str">
        <v>营销费用</v>
      </c>
      <c r="R45" s="5" t="str">
        <v>内容制作费</v>
      </c>
      <c r="S45" s="5" t="str">
        <v>拍摄服务费</v>
      </c>
      <c r="T45" s="1" t="str">
        <v>品牌运营中心</v>
      </c>
      <c r="U45" s="1" t="str">
        <v>内容电商部</v>
      </c>
      <c r="V45" s="1" t="str">
        <v>抖音部</v>
      </c>
      <c r="W45" s="3" t="str">
        <v>内容部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>
      <c r="A46" s="7" t="str">
        <v>素材创意制作</v>
      </c>
      <c r="B46" s="5" t="str">
        <v>YXHD51</v>
      </c>
      <c r="C46" s="4" t="str">
        <v>抖音视频创意-店铺-拍摄物料</v>
      </c>
      <c r="D46" s="1" t="str">
        <v>品类内容推广</v>
      </c>
      <c r="E46" s="1" t="str">
        <v>抖音视频创意-店铺</v>
      </c>
      <c r="F46" s="5" t="str">
        <v>启用</v>
      </c>
      <c r="G46" s="5" t="str">
        <v>是</v>
      </c>
      <c r="H46" s="8" t="str">
        <v>抖音花西子旗舰店</v>
      </c>
      <c r="I46" s="8" t="str">
        <v>DP007</v>
      </c>
      <c r="J46" s="9" t="str">
        <v>抖音</v>
      </c>
      <c r="K46" s="8" t="str">
        <v>抖音自播</v>
      </c>
      <c r="L46" s="8" t="str">
        <v>抖音自播</v>
      </c>
      <c r="M46" s="5" t="str">
        <v>否</v>
      </c>
      <c r="N46" s="5" t="str">
        <v>否</v>
      </c>
      <c r="O46" s="5" t="str">
        <v>是</v>
      </c>
      <c r="P46" s="5" t="str">
        <v>是</v>
      </c>
      <c r="Q46" s="5" t="str">
        <v>营销费用</v>
      </c>
      <c r="R46" s="5" t="str">
        <v>内容制作费</v>
      </c>
      <c r="S46" s="5" t="str">
        <v>拍摄物料费</v>
      </c>
      <c r="T46" s="1" t="str">
        <v>品牌运营中心</v>
      </c>
      <c r="U46" s="1" t="str">
        <v>内容电商部</v>
      </c>
      <c r="V46" s="1" t="str">
        <v>抖音部</v>
      </c>
      <c r="W46" s="3" t="str">
        <v>内容部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>
      <c r="A47" s="7" t="str">
        <v>素材创意制作</v>
      </c>
      <c r="B47" s="5" t="str">
        <v>YXHD52</v>
      </c>
      <c r="C47" s="4" t="str">
        <v>抖音视频创意-店铺-设备租赁</v>
      </c>
      <c r="D47" s="1" t="str">
        <v>品类内容推广</v>
      </c>
      <c r="E47" s="1" t="str">
        <v>抖音视频创意-店铺</v>
      </c>
      <c r="F47" s="5" t="str">
        <v>启用</v>
      </c>
      <c r="G47" s="5" t="str">
        <v>是</v>
      </c>
      <c r="H47" s="8" t="str">
        <v>抖音花西子旗舰店</v>
      </c>
      <c r="I47" s="8" t="str">
        <v>DP007</v>
      </c>
      <c r="J47" s="9" t="str">
        <v>抖音</v>
      </c>
      <c r="K47" s="8" t="str">
        <v>抖音自播</v>
      </c>
      <c r="L47" s="8" t="str">
        <v>抖音自播</v>
      </c>
      <c r="M47" s="5" t="str">
        <v>否</v>
      </c>
      <c r="N47" s="5" t="str">
        <v>否</v>
      </c>
      <c r="O47" s="5" t="str">
        <v>是</v>
      </c>
      <c r="P47" s="5" t="str">
        <v>是</v>
      </c>
      <c r="Q47" s="5" t="str">
        <v>营销费用</v>
      </c>
      <c r="R47" s="5" t="str">
        <v>其他费用</v>
      </c>
      <c r="S47" s="5" t="str">
        <v>设备租赁费</v>
      </c>
      <c r="T47" s="1" t="str">
        <v>品牌运营中心</v>
      </c>
      <c r="U47" s="1" t="str">
        <v>内容电商部</v>
      </c>
      <c r="V47" s="1" t="str">
        <v>抖音部</v>
      </c>
      <c r="W47" s="3" t="str">
        <v>内容部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>
      <c r="A48" s="7" t="str">
        <v>素材创意制作</v>
      </c>
      <c r="B48" s="5" t="str">
        <v>YXHD53</v>
      </c>
      <c r="C48" s="4" t="str">
        <v>抖音视频创意-店铺-视频制作</v>
      </c>
      <c r="D48" s="1" t="str">
        <v>品类内容推广</v>
      </c>
      <c r="E48" s="1" t="str">
        <v>抖音视频创意-店铺</v>
      </c>
      <c r="F48" s="5" t="str">
        <v>启用</v>
      </c>
      <c r="G48" s="5" t="str">
        <v>是</v>
      </c>
      <c r="H48" s="8" t="str">
        <v>抖音花西子旗舰店</v>
      </c>
      <c r="I48" s="8" t="str">
        <v>DP007</v>
      </c>
      <c r="J48" s="9" t="str">
        <v>抖音</v>
      </c>
      <c r="K48" s="8" t="str">
        <v>抖音自播</v>
      </c>
      <c r="L48" s="8" t="str">
        <v>抖音自播</v>
      </c>
      <c r="M48" s="5" t="str">
        <v>否</v>
      </c>
      <c r="N48" s="5" t="str">
        <v>否</v>
      </c>
      <c r="O48" s="5" t="str">
        <v>是</v>
      </c>
      <c r="P48" s="5" t="str">
        <v>是</v>
      </c>
      <c r="Q48" s="5" t="str">
        <v>营销费用</v>
      </c>
      <c r="R48" s="5" t="str">
        <v>内容制作费</v>
      </c>
      <c r="S48" s="5" t="str">
        <v>视频制作费</v>
      </c>
      <c r="T48" s="1" t="str">
        <v>品牌运营中心</v>
      </c>
      <c r="U48" s="1" t="str">
        <v>内容电商部</v>
      </c>
      <c r="V48" s="1" t="str">
        <v>抖音部</v>
      </c>
      <c r="W48" s="3" t="str">
        <v>内容部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>
      <c r="A49" s="7" t="str">
        <v>素材创意制作</v>
      </c>
      <c r="B49" s="5" t="str">
        <v>YXHD54</v>
      </c>
      <c r="C49" s="4" t="str">
        <v>抖音视频创意-店铺-图文平面制作</v>
      </c>
      <c r="D49" s="1" t="str">
        <v>品类内容推广</v>
      </c>
      <c r="E49" s="1" t="str">
        <v>抖音视频创意-店铺</v>
      </c>
      <c r="F49" s="5" t="str">
        <v>启用</v>
      </c>
      <c r="G49" s="5" t="str">
        <v>是</v>
      </c>
      <c r="H49" s="8" t="str">
        <v>抖音花西子旗舰店</v>
      </c>
      <c r="I49" s="8" t="str">
        <v>DP007</v>
      </c>
      <c r="J49" s="9" t="str">
        <v>抖音</v>
      </c>
      <c r="K49" s="8" t="str">
        <v>抖音自播</v>
      </c>
      <c r="L49" s="8" t="str">
        <v>抖音自播</v>
      </c>
      <c r="M49" s="5" t="str">
        <v>否</v>
      </c>
      <c r="N49" s="5" t="str">
        <v>否</v>
      </c>
      <c r="O49" s="5" t="str">
        <v>是</v>
      </c>
      <c r="P49" s="5" t="str">
        <v>是</v>
      </c>
      <c r="Q49" s="5" t="str">
        <v>营销费用</v>
      </c>
      <c r="R49" s="5" t="str">
        <v>内容制作费</v>
      </c>
      <c r="S49" s="5" t="str">
        <v>图文平面制作费</v>
      </c>
      <c r="T49" s="1" t="str">
        <v>品牌运营中心</v>
      </c>
      <c r="U49" s="1" t="str">
        <v>内容电商部</v>
      </c>
      <c r="V49" s="1" t="str">
        <v>抖音部</v>
      </c>
      <c r="W49" s="3" t="str">
        <v>内容部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A50" s="7" t="str">
        <v>素材创意制作</v>
      </c>
      <c r="B50" s="5" t="str">
        <v>YXHD55</v>
      </c>
      <c r="C50" s="4" t="str">
        <v>抖音视频创意-店铺-舞台场地搭建</v>
      </c>
      <c r="D50" s="1" t="str">
        <v>品类内容推广</v>
      </c>
      <c r="E50" s="1" t="str">
        <v>抖音视频创意-店铺</v>
      </c>
      <c r="F50" s="5" t="str">
        <v>启用</v>
      </c>
      <c r="G50" s="5" t="str">
        <v>是</v>
      </c>
      <c r="H50" s="8" t="str">
        <v>抖音花西子旗舰店</v>
      </c>
      <c r="I50" s="8" t="str">
        <v>DP007</v>
      </c>
      <c r="J50" s="9" t="str">
        <v>抖音</v>
      </c>
      <c r="K50" s="8" t="str">
        <v>抖音自播</v>
      </c>
      <c r="L50" s="8" t="str">
        <v>抖音自播</v>
      </c>
      <c r="M50" s="5" t="str">
        <v>否</v>
      </c>
      <c r="N50" s="5" t="str">
        <v>否</v>
      </c>
      <c r="O50" s="5" t="str">
        <v>是</v>
      </c>
      <c r="P50" s="5" t="str">
        <v>是</v>
      </c>
      <c r="Q50" s="5" t="str">
        <v>营销费用</v>
      </c>
      <c r="R50" s="5" t="str">
        <v>其他费用</v>
      </c>
      <c r="S50" s="5" t="str">
        <v>舞台场地搭建费</v>
      </c>
      <c r="T50" s="1" t="str">
        <v>品牌运营中心</v>
      </c>
      <c r="U50" s="1" t="str">
        <v>内容电商部</v>
      </c>
      <c r="V50" s="1" t="str">
        <v>抖音部</v>
      </c>
      <c r="W50" s="3" t="str">
        <v>内容部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>
      <c r="A51" s="7" t="str">
        <v>素材创意制作</v>
      </c>
      <c r="B51" s="5" t="str">
        <v>YXHD56</v>
      </c>
      <c r="C51" s="4" t="str">
        <v>抖音视频创意-店铺-渲染服务</v>
      </c>
      <c r="D51" s="1" t="str">
        <v>品类内容推广</v>
      </c>
      <c r="E51" s="1" t="str">
        <v>抖音视频创意-店铺</v>
      </c>
      <c r="F51" s="5" t="str">
        <v>启用</v>
      </c>
      <c r="G51" s="5" t="str">
        <v>是</v>
      </c>
      <c r="H51" s="8" t="str">
        <v>抖音花西子旗舰店</v>
      </c>
      <c r="I51" s="8" t="str">
        <v>DP007</v>
      </c>
      <c r="J51" s="9" t="str">
        <v>抖音</v>
      </c>
      <c r="K51" s="8" t="str">
        <v>抖音自播</v>
      </c>
      <c r="L51" s="8" t="str">
        <v>抖音自播</v>
      </c>
      <c r="M51" s="5" t="str">
        <v>否</v>
      </c>
      <c r="N51" s="5" t="str">
        <v>否</v>
      </c>
      <c r="O51" s="5" t="str">
        <v>是</v>
      </c>
      <c r="P51" s="5" t="str">
        <v>是</v>
      </c>
      <c r="Q51" s="5" t="str">
        <v>营销费用</v>
      </c>
      <c r="R51" s="5" t="str">
        <v>内容制作费</v>
      </c>
      <c r="S51" s="5" t="str">
        <v>渲染服务费</v>
      </c>
      <c r="T51" s="1" t="str">
        <v>品牌运营中心</v>
      </c>
      <c r="U51" s="1" t="str">
        <v>内容电商部</v>
      </c>
      <c r="V51" s="1" t="str">
        <v>抖音部</v>
      </c>
      <c r="W51" s="3" t="str">
        <v>内容部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>
      <c r="A52" s="7" t="str">
        <v>素材创意制作</v>
      </c>
      <c r="B52" s="5" t="str">
        <v>YXHD57</v>
      </c>
      <c r="C52" s="4" t="str">
        <v>抖音视频创意-店铺-专业人物合作</v>
      </c>
      <c r="D52" s="1" t="str">
        <v>品类内容推广</v>
      </c>
      <c r="E52" s="1" t="str">
        <v>抖音视频创意-店铺</v>
      </c>
      <c r="F52" s="5" t="str">
        <v>启用</v>
      </c>
      <c r="G52" s="5" t="str">
        <v>是</v>
      </c>
      <c r="H52" s="8" t="str">
        <v>抖音花西子旗舰店</v>
      </c>
      <c r="I52" s="8" t="str">
        <v>DP007</v>
      </c>
      <c r="J52" s="9" t="str">
        <v>抖音</v>
      </c>
      <c r="K52" s="8" t="str">
        <v>抖音自播</v>
      </c>
      <c r="L52" s="8" t="str">
        <v>抖音自播</v>
      </c>
      <c r="M52" s="5" t="str">
        <v>否</v>
      </c>
      <c r="N52" s="5" t="str">
        <v>否</v>
      </c>
      <c r="O52" s="5" t="str">
        <v>是</v>
      </c>
      <c r="P52" s="5" t="str">
        <v>是</v>
      </c>
      <c r="Q52" s="5" t="str">
        <v>营销费用</v>
      </c>
      <c r="R52" s="5" t="str">
        <v>内容制作费</v>
      </c>
      <c r="S52" s="5" t="str">
        <v>专业人物合作费</v>
      </c>
      <c r="T52" s="1" t="str">
        <v>品牌运营中心</v>
      </c>
      <c r="U52" s="1" t="str">
        <v>内容电商部</v>
      </c>
      <c r="V52" s="1" t="str">
        <v>抖音部</v>
      </c>
      <c r="W52" s="3" t="str">
        <v>内容部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>
      <c r="A53" s="7" t="str">
        <v>素材创意制作</v>
      </c>
      <c r="B53" s="5" t="str">
        <v>YXHD58</v>
      </c>
      <c r="C53" s="4" t="str">
        <v>抖音视频创意-矩阵号-场地租赁</v>
      </c>
      <c r="D53" s="1" t="str">
        <v>品类内容推广</v>
      </c>
      <c r="E53" s="1" t="str">
        <v>抖音视频创意-矩阵号</v>
      </c>
      <c r="F53" s="5" t="str">
        <v>启用</v>
      </c>
      <c r="G53" s="5" t="str">
        <v>是</v>
      </c>
      <c r="H53" s="8" t="str">
        <v>抖音花西子旗舰店</v>
      </c>
      <c r="I53" s="8" t="str">
        <v>DP007</v>
      </c>
      <c r="J53" s="9" t="str">
        <v>抖音</v>
      </c>
      <c r="K53" s="8" t="str">
        <v>抖音矩阵号</v>
      </c>
      <c r="L53" s="8"/>
      <c r="M53" s="5" t="str">
        <v>否</v>
      </c>
      <c r="N53" s="5" t="str">
        <v>否</v>
      </c>
      <c r="O53" s="5" t="str">
        <v>是</v>
      </c>
      <c r="P53" s="5" t="str">
        <v>是</v>
      </c>
      <c r="Q53" s="5" t="str">
        <v>营销费用</v>
      </c>
      <c r="R53" s="5" t="str">
        <v>其他费用</v>
      </c>
      <c r="S53" s="5" t="str">
        <v>场地租赁费</v>
      </c>
      <c r="T53" s="1" t="str">
        <v>品牌运营中心</v>
      </c>
      <c r="U53" s="1" t="str">
        <v>内容电商部</v>
      </c>
      <c r="V53" s="1" t="str">
        <v>抖音部</v>
      </c>
      <c r="W53" s="17" t="str">
        <v>矩阵运营部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>
      <c r="A54" s="7" t="str">
        <v>素材创意制作</v>
      </c>
      <c r="B54" s="5" t="str">
        <v>YXHD59</v>
      </c>
      <c r="C54" s="4" t="str">
        <v>抖音视频创意-矩阵号-动画制作</v>
      </c>
      <c r="D54" s="1" t="str">
        <v>品类内容推广</v>
      </c>
      <c r="E54" s="1" t="str">
        <v>抖音视频创意-矩阵号</v>
      </c>
      <c r="F54" s="5" t="str">
        <v>启用</v>
      </c>
      <c r="G54" s="5" t="str">
        <v>是</v>
      </c>
      <c r="H54" s="8" t="str">
        <v>抖音花西子旗舰店</v>
      </c>
      <c r="I54" s="8" t="str">
        <v>DP007</v>
      </c>
      <c r="J54" s="9" t="str">
        <v>抖音</v>
      </c>
      <c r="K54" s="8" t="str">
        <v>抖音矩阵号</v>
      </c>
      <c r="L54" s="8"/>
      <c r="M54" s="5" t="str">
        <v>否</v>
      </c>
      <c r="N54" s="5" t="str">
        <v>否</v>
      </c>
      <c r="O54" s="5" t="str">
        <v>是</v>
      </c>
      <c r="P54" s="5" t="str">
        <v>是</v>
      </c>
      <c r="Q54" s="5" t="str">
        <v>营销费用</v>
      </c>
      <c r="R54" s="5" t="str">
        <v>内容制作费</v>
      </c>
      <c r="S54" s="5" t="str">
        <v>动画制作费</v>
      </c>
      <c r="T54" s="1" t="str">
        <v>品牌运营中心</v>
      </c>
      <c r="U54" s="1" t="str">
        <v>内容电商部</v>
      </c>
      <c r="V54" s="1" t="str">
        <v>抖音部</v>
      </c>
      <c r="W54" s="17" t="str">
        <v>矩阵运营部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>
      <c r="A55" s="7" t="str">
        <v>素材创意制作</v>
      </c>
      <c r="B55" s="5" t="str">
        <v>YXHD60</v>
      </c>
      <c r="C55" s="4" t="str">
        <v>抖音视频创意-矩阵号-服化道费</v>
      </c>
      <c r="D55" s="1" t="str">
        <v>品类内容推广</v>
      </c>
      <c r="E55" s="1" t="str">
        <v>抖音视频创意-矩阵号</v>
      </c>
      <c r="F55" s="5" t="str">
        <v>启用</v>
      </c>
      <c r="G55" s="5" t="str">
        <v>是</v>
      </c>
      <c r="H55" s="8" t="str">
        <v>抖音花西子旗舰店</v>
      </c>
      <c r="I55" s="8" t="str">
        <v>DP007</v>
      </c>
      <c r="J55" s="9" t="str">
        <v>抖音</v>
      </c>
      <c r="K55" s="8" t="str">
        <v>抖音矩阵号</v>
      </c>
      <c r="L55" s="8"/>
      <c r="M55" s="5" t="str">
        <v>否</v>
      </c>
      <c r="N55" s="5" t="str">
        <v>否</v>
      </c>
      <c r="O55" s="5" t="str">
        <v>是</v>
      </c>
      <c r="P55" s="5" t="str">
        <v>是</v>
      </c>
      <c r="Q55" s="5" t="str">
        <v>营销费用</v>
      </c>
      <c r="R55" s="5" t="str">
        <v>内容制作费</v>
      </c>
      <c r="S55" s="5" t="str">
        <v>服化道费用</v>
      </c>
      <c r="T55" s="1" t="str">
        <v>品牌运营中心</v>
      </c>
      <c r="U55" s="1" t="str">
        <v>内容电商部</v>
      </c>
      <c r="V55" s="1" t="str">
        <v>抖音部</v>
      </c>
      <c r="W55" s="17" t="str">
        <v>矩阵运营部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>
      <c r="A56" s="7" t="str">
        <v>素材创意制作</v>
      </c>
      <c r="B56" s="5" t="str">
        <v>YXHD61</v>
      </c>
      <c r="C56" s="4" t="str">
        <v>抖音视频创意-矩阵号-建模服务</v>
      </c>
      <c r="D56" s="1" t="str">
        <v>品类内容推广</v>
      </c>
      <c r="E56" s="1" t="str">
        <v>抖音视频创意-矩阵号</v>
      </c>
      <c r="F56" s="5" t="str">
        <v>启用</v>
      </c>
      <c r="G56" s="5" t="str">
        <v>是</v>
      </c>
      <c r="H56" s="8" t="str">
        <v>抖音花西子旗舰店</v>
      </c>
      <c r="I56" s="8" t="str">
        <v>DP007</v>
      </c>
      <c r="J56" s="9" t="str">
        <v>抖音</v>
      </c>
      <c r="K56" s="8" t="str">
        <v>抖音矩阵号</v>
      </c>
      <c r="L56" s="8"/>
      <c r="M56" s="5" t="str">
        <v>否</v>
      </c>
      <c r="N56" s="5" t="str">
        <v>否</v>
      </c>
      <c r="O56" s="5" t="str">
        <v>是</v>
      </c>
      <c r="P56" s="5" t="str">
        <v>是</v>
      </c>
      <c r="Q56" s="5" t="str">
        <v>营销费用</v>
      </c>
      <c r="R56" s="5" t="str">
        <v>内容制作费</v>
      </c>
      <c r="S56" s="5" t="str">
        <v>建模服务费</v>
      </c>
      <c r="T56" s="1" t="str">
        <v>品牌运营中心</v>
      </c>
      <c r="U56" s="1" t="str">
        <v>内容电商部</v>
      </c>
      <c r="V56" s="1" t="str">
        <v>抖音部</v>
      </c>
      <c r="W56" s="17" t="str">
        <v>矩阵运营部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>
      <c r="A57" s="7" t="str">
        <v>素材创意制作</v>
      </c>
      <c r="B57" s="5" t="str">
        <v>YXHD62</v>
      </c>
      <c r="C57" s="4" t="str">
        <v>抖音视频创意-矩阵号-模特服务</v>
      </c>
      <c r="D57" s="1" t="str">
        <v>品类内容推广</v>
      </c>
      <c r="E57" s="1" t="str">
        <v>抖音视频创意-矩阵号</v>
      </c>
      <c r="F57" s="5" t="str">
        <v>启用</v>
      </c>
      <c r="G57" s="5" t="str">
        <v>是</v>
      </c>
      <c r="H57" s="8" t="str">
        <v>抖音花西子旗舰店</v>
      </c>
      <c r="I57" s="8" t="str">
        <v>DP007</v>
      </c>
      <c r="J57" s="9" t="str">
        <v>抖音</v>
      </c>
      <c r="K57" s="8" t="str">
        <v>抖音矩阵号</v>
      </c>
      <c r="L57" s="8"/>
      <c r="M57" s="5" t="str">
        <v>否</v>
      </c>
      <c r="N57" s="5" t="str">
        <v>否</v>
      </c>
      <c r="O57" s="5" t="str">
        <v>是</v>
      </c>
      <c r="P57" s="5" t="str">
        <v>是</v>
      </c>
      <c r="Q57" s="5" t="str">
        <v>营销费用</v>
      </c>
      <c r="R57" s="5" t="str">
        <v>内容制作费</v>
      </c>
      <c r="S57" s="5" t="str">
        <v>模特服务费</v>
      </c>
      <c r="T57" s="1" t="str">
        <v>品牌运营中心</v>
      </c>
      <c r="U57" s="1" t="str">
        <v>内容电商部</v>
      </c>
      <c r="V57" s="1" t="str">
        <v>抖音部</v>
      </c>
      <c r="W57" s="17" t="str">
        <v>矩阵运营部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>
      <c r="A58" s="7" t="str">
        <v>素材创意制作</v>
      </c>
      <c r="B58" s="5" t="str">
        <v>YXHD63</v>
      </c>
      <c r="C58" s="4" t="str">
        <v>抖音视频创意-矩阵号-内容制作</v>
      </c>
      <c r="D58" s="1" t="str">
        <v>品类内容推广</v>
      </c>
      <c r="E58" s="1" t="str">
        <v>抖音视频创意-矩阵号</v>
      </c>
      <c r="F58" s="5" t="str">
        <v>启用</v>
      </c>
      <c r="G58" s="5" t="str">
        <v>是</v>
      </c>
      <c r="H58" s="8" t="str">
        <v>抖音花西子旗舰店</v>
      </c>
      <c r="I58" s="8" t="str">
        <v>DP007</v>
      </c>
      <c r="J58" s="9" t="str">
        <v>抖音</v>
      </c>
      <c r="K58" s="8" t="str">
        <v>抖音矩阵号</v>
      </c>
      <c r="L58" s="8"/>
      <c r="M58" s="5" t="str">
        <v>否</v>
      </c>
      <c r="N58" s="5" t="str">
        <v>否</v>
      </c>
      <c r="O58" s="5" t="str">
        <v>是</v>
      </c>
      <c r="P58" s="5" t="str">
        <v>是</v>
      </c>
      <c r="Q58" s="5" t="str">
        <v>营销费用</v>
      </c>
      <c r="R58" s="5" t="str">
        <v>内容制作费</v>
      </c>
      <c r="S58" s="5" t="str">
        <v>内容制作费</v>
      </c>
      <c r="T58" s="1" t="str">
        <v>品牌运营中心</v>
      </c>
      <c r="U58" s="1" t="str">
        <v>内容电商部</v>
      </c>
      <c r="V58" s="1" t="str">
        <v>抖音部</v>
      </c>
      <c r="W58" s="17" t="str">
        <v>矩阵运营部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>
      <c r="A59" s="7" t="str">
        <v>素材创意制作</v>
      </c>
      <c r="B59" s="5" t="str">
        <v>YXHD64</v>
      </c>
      <c r="C59" s="4" t="str">
        <v>抖音视频创意-矩阵号-拍摄服务</v>
      </c>
      <c r="D59" s="1" t="str">
        <v>品类内容推广</v>
      </c>
      <c r="E59" s="1" t="str">
        <v>抖音视频创意-矩阵号</v>
      </c>
      <c r="F59" s="5" t="str">
        <v>启用</v>
      </c>
      <c r="G59" s="5" t="str">
        <v>是</v>
      </c>
      <c r="H59" s="8" t="str">
        <v>抖音花西子旗舰店</v>
      </c>
      <c r="I59" s="8" t="str">
        <v>DP007</v>
      </c>
      <c r="J59" s="9" t="str">
        <v>抖音</v>
      </c>
      <c r="K59" s="8" t="str">
        <v>抖音矩阵号</v>
      </c>
      <c r="L59" s="8"/>
      <c r="M59" s="5" t="str">
        <v>否</v>
      </c>
      <c r="N59" s="5" t="str">
        <v>否</v>
      </c>
      <c r="O59" s="5" t="str">
        <v>是</v>
      </c>
      <c r="P59" s="5" t="str">
        <v>是</v>
      </c>
      <c r="Q59" s="5" t="str">
        <v>营销费用</v>
      </c>
      <c r="R59" s="5" t="str">
        <v>内容制作费</v>
      </c>
      <c r="S59" s="5" t="str">
        <v>拍摄服务费</v>
      </c>
      <c r="T59" s="1" t="str">
        <v>品牌运营中心</v>
      </c>
      <c r="U59" s="1" t="str">
        <v>内容电商部</v>
      </c>
      <c r="V59" s="1" t="str">
        <v>抖音部</v>
      </c>
      <c r="W59" s="17" t="str">
        <v>矩阵运营部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>
      <c r="A60" s="7" t="str">
        <v>素材创意制作</v>
      </c>
      <c r="B60" s="5" t="str">
        <v>YXHD65</v>
      </c>
      <c r="C60" s="4" t="str">
        <v>抖音视频创意-矩阵号-拍摄物料</v>
      </c>
      <c r="D60" s="1" t="str">
        <v>品类内容推广</v>
      </c>
      <c r="E60" s="1" t="str">
        <v>抖音视频创意-矩阵号</v>
      </c>
      <c r="F60" s="5" t="str">
        <v>启用</v>
      </c>
      <c r="G60" s="5" t="str">
        <v>是</v>
      </c>
      <c r="H60" s="8" t="str">
        <v>抖音花西子旗舰店</v>
      </c>
      <c r="I60" s="8" t="str">
        <v>DP007</v>
      </c>
      <c r="J60" s="9" t="str">
        <v>抖音</v>
      </c>
      <c r="K60" s="8" t="str">
        <v>抖音矩阵号</v>
      </c>
      <c r="L60" s="8"/>
      <c r="M60" s="5" t="str">
        <v>否</v>
      </c>
      <c r="N60" s="5" t="str">
        <v>否</v>
      </c>
      <c r="O60" s="5" t="str">
        <v>是</v>
      </c>
      <c r="P60" s="5" t="str">
        <v>是</v>
      </c>
      <c r="Q60" s="5" t="str">
        <v>营销费用</v>
      </c>
      <c r="R60" s="5" t="str">
        <v>内容制作费</v>
      </c>
      <c r="S60" s="5" t="str">
        <v>拍摄物料费</v>
      </c>
      <c r="T60" s="1" t="str">
        <v>品牌运营中心</v>
      </c>
      <c r="U60" s="1" t="str">
        <v>内容电商部</v>
      </c>
      <c r="V60" s="1" t="str">
        <v>抖音部</v>
      </c>
      <c r="W60" s="17" t="str">
        <v>矩阵运营部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>
      <c r="A61" s="7" t="str">
        <v>素材创意制作</v>
      </c>
      <c r="B61" s="5" t="str">
        <v>YXHD66</v>
      </c>
      <c r="C61" s="4" t="str">
        <v>抖音视频创意-矩阵号-设备租赁</v>
      </c>
      <c r="D61" s="1" t="str">
        <v>品类内容推广</v>
      </c>
      <c r="E61" s="1" t="str">
        <v>抖音视频创意-矩阵号</v>
      </c>
      <c r="F61" s="5" t="str">
        <v>启用</v>
      </c>
      <c r="G61" s="5" t="str">
        <v>是</v>
      </c>
      <c r="H61" s="8" t="str">
        <v>抖音花西子旗舰店</v>
      </c>
      <c r="I61" s="8" t="str">
        <v>DP007</v>
      </c>
      <c r="J61" s="9" t="str">
        <v>抖音</v>
      </c>
      <c r="K61" s="8" t="str">
        <v>抖音矩阵号</v>
      </c>
      <c r="L61" s="8"/>
      <c r="M61" s="5" t="str">
        <v>否</v>
      </c>
      <c r="N61" s="5" t="str">
        <v>否</v>
      </c>
      <c r="O61" s="5" t="str">
        <v>是</v>
      </c>
      <c r="P61" s="5" t="str">
        <v>是</v>
      </c>
      <c r="Q61" s="5" t="str">
        <v>营销费用</v>
      </c>
      <c r="R61" s="5" t="str">
        <v>其他费用</v>
      </c>
      <c r="S61" s="5" t="str">
        <v>设备租赁费</v>
      </c>
      <c r="T61" s="1" t="str">
        <v>品牌运营中心</v>
      </c>
      <c r="U61" s="1" t="str">
        <v>内容电商部</v>
      </c>
      <c r="V61" s="1" t="str">
        <v>抖音部</v>
      </c>
      <c r="W61" s="17" t="str">
        <v>矩阵运营部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>
      <c r="A62" s="7" t="str">
        <v>素材创意制作</v>
      </c>
      <c r="B62" s="5" t="str">
        <v>YXHD67</v>
      </c>
      <c r="C62" s="4" t="str">
        <v>抖音视频创意-矩阵号-视频制作</v>
      </c>
      <c r="D62" s="1" t="str">
        <v>品类内容推广</v>
      </c>
      <c r="E62" s="1" t="str">
        <v>抖音视频创意-矩阵号</v>
      </c>
      <c r="F62" s="5" t="str">
        <v>启用</v>
      </c>
      <c r="G62" s="5" t="str">
        <v>是</v>
      </c>
      <c r="H62" s="8" t="str">
        <v>抖音花西子旗舰店</v>
      </c>
      <c r="I62" s="8" t="str">
        <v>DP007</v>
      </c>
      <c r="J62" s="9" t="str">
        <v>抖音</v>
      </c>
      <c r="K62" s="8" t="str">
        <v>抖音矩阵号</v>
      </c>
      <c r="L62" s="8"/>
      <c r="M62" s="5" t="str">
        <v>否</v>
      </c>
      <c r="N62" s="5" t="str">
        <v>否</v>
      </c>
      <c r="O62" s="5" t="str">
        <v>是</v>
      </c>
      <c r="P62" s="5" t="str">
        <v>是</v>
      </c>
      <c r="Q62" s="5" t="str">
        <v>营销费用</v>
      </c>
      <c r="R62" s="5" t="str">
        <v>内容制作费</v>
      </c>
      <c r="S62" s="5" t="str">
        <v>视频制作费</v>
      </c>
      <c r="T62" s="1" t="str">
        <v>品牌运营中心</v>
      </c>
      <c r="U62" s="1" t="str">
        <v>内容电商部</v>
      </c>
      <c r="V62" s="1" t="str">
        <v>抖音部</v>
      </c>
      <c r="W62" s="17" t="str">
        <v>矩阵运营部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>
      <c r="A63" s="7" t="str">
        <v>素材创意制作</v>
      </c>
      <c r="B63" s="5" t="str">
        <v>YXHD68</v>
      </c>
      <c r="C63" s="4" t="str">
        <v>抖音视频创意-矩阵号-图文平面制作</v>
      </c>
      <c r="D63" s="1" t="str">
        <v>品类内容推广</v>
      </c>
      <c r="E63" s="1" t="str">
        <v>抖音视频创意-矩阵号</v>
      </c>
      <c r="F63" s="5" t="str">
        <v>启用</v>
      </c>
      <c r="G63" s="5" t="str">
        <v>是</v>
      </c>
      <c r="H63" s="8" t="str">
        <v>抖音花西子旗舰店</v>
      </c>
      <c r="I63" s="8" t="str">
        <v>DP007</v>
      </c>
      <c r="J63" s="9" t="str">
        <v>抖音</v>
      </c>
      <c r="K63" s="8" t="str">
        <v>抖音矩阵号</v>
      </c>
      <c r="L63" s="8"/>
      <c r="M63" s="5" t="str">
        <v>否</v>
      </c>
      <c r="N63" s="5" t="str">
        <v>否</v>
      </c>
      <c r="O63" s="5" t="str">
        <v>是</v>
      </c>
      <c r="P63" s="5" t="str">
        <v>是</v>
      </c>
      <c r="Q63" s="5" t="str">
        <v>营销费用</v>
      </c>
      <c r="R63" s="5" t="str">
        <v>内容制作费</v>
      </c>
      <c r="S63" s="5" t="str">
        <v>图文平面制作费</v>
      </c>
      <c r="T63" s="1" t="str">
        <v>品牌运营中心</v>
      </c>
      <c r="U63" s="1" t="str">
        <v>内容电商部</v>
      </c>
      <c r="V63" s="1" t="str">
        <v>抖音部</v>
      </c>
      <c r="W63" s="17" t="str">
        <v>矩阵运营部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>
      <c r="A64" s="7" t="str">
        <v>素材创意制作</v>
      </c>
      <c r="B64" s="5" t="str">
        <v>YXHD69</v>
      </c>
      <c r="C64" s="4" t="str">
        <v>抖音视频创意-矩阵号-舞台场地搭建</v>
      </c>
      <c r="D64" s="1" t="str">
        <v>品类内容推广</v>
      </c>
      <c r="E64" s="1" t="str">
        <v>抖音视频创意-矩阵号</v>
      </c>
      <c r="F64" s="5" t="str">
        <v>启用</v>
      </c>
      <c r="G64" s="5" t="str">
        <v>是</v>
      </c>
      <c r="H64" s="8" t="str">
        <v>抖音花西子旗舰店</v>
      </c>
      <c r="I64" s="8" t="str">
        <v>DP007</v>
      </c>
      <c r="J64" s="9" t="str">
        <v>抖音</v>
      </c>
      <c r="K64" s="8" t="str">
        <v>抖音矩阵号</v>
      </c>
      <c r="L64" s="8"/>
      <c r="M64" s="5" t="str">
        <v>否</v>
      </c>
      <c r="N64" s="5" t="str">
        <v>否</v>
      </c>
      <c r="O64" s="5" t="str">
        <v>是</v>
      </c>
      <c r="P64" s="5" t="str">
        <v>是</v>
      </c>
      <c r="Q64" s="5" t="str">
        <v>营销费用</v>
      </c>
      <c r="R64" s="5" t="str">
        <v>其他费用</v>
      </c>
      <c r="S64" s="5" t="str">
        <v>舞台场地搭建费</v>
      </c>
      <c r="T64" s="1" t="str">
        <v>品牌运营中心</v>
      </c>
      <c r="U64" s="1" t="str">
        <v>内容电商部</v>
      </c>
      <c r="V64" s="1" t="str">
        <v>抖音部</v>
      </c>
      <c r="W64" s="17" t="str">
        <v>矩阵运营部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>
      <c r="A65" s="7" t="str">
        <v>素材创意制作</v>
      </c>
      <c r="B65" s="5" t="str">
        <v>YXHD70</v>
      </c>
      <c r="C65" s="4" t="str">
        <v>抖音视频创意-矩阵号-渲染服务</v>
      </c>
      <c r="D65" s="1" t="str">
        <v>品类内容推广</v>
      </c>
      <c r="E65" s="1" t="str">
        <v>抖音视频创意-矩阵号</v>
      </c>
      <c r="F65" s="5" t="str">
        <v>启用</v>
      </c>
      <c r="G65" s="5" t="str">
        <v>是</v>
      </c>
      <c r="H65" s="8" t="str">
        <v>抖音花西子旗舰店</v>
      </c>
      <c r="I65" s="8" t="str">
        <v>DP007</v>
      </c>
      <c r="J65" s="9" t="str">
        <v>抖音</v>
      </c>
      <c r="K65" s="8" t="str">
        <v>抖音矩阵号</v>
      </c>
      <c r="L65" s="8"/>
      <c r="M65" s="5" t="str">
        <v>否</v>
      </c>
      <c r="N65" s="5" t="str">
        <v>否</v>
      </c>
      <c r="O65" s="5" t="str">
        <v>是</v>
      </c>
      <c r="P65" s="5" t="str">
        <v>是</v>
      </c>
      <c r="Q65" s="5" t="str">
        <v>营销费用</v>
      </c>
      <c r="R65" s="5" t="str">
        <v>内容制作费</v>
      </c>
      <c r="S65" s="5" t="str">
        <v>渲染服务费</v>
      </c>
      <c r="T65" s="1" t="str">
        <v>品牌运营中心</v>
      </c>
      <c r="U65" s="1" t="str">
        <v>内容电商部</v>
      </c>
      <c r="V65" s="1" t="str">
        <v>抖音部</v>
      </c>
      <c r="W65" s="17" t="str">
        <v>矩阵运营部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>
      <c r="A66" s="7" t="str">
        <v>素材创意制作</v>
      </c>
      <c r="B66" s="5" t="str">
        <v>YXHD71</v>
      </c>
      <c r="C66" s="4" t="str">
        <v>抖音视频创意-矩阵号-专业人物合作</v>
      </c>
      <c r="D66" s="1" t="str">
        <v>品类内容推广</v>
      </c>
      <c r="E66" s="1" t="str">
        <v>抖音视频创意-矩阵号</v>
      </c>
      <c r="F66" s="5" t="str">
        <v>启用</v>
      </c>
      <c r="G66" s="5" t="str">
        <v>是</v>
      </c>
      <c r="H66" s="8" t="str">
        <v>抖音花西子旗舰店</v>
      </c>
      <c r="I66" s="8" t="str">
        <v>DP007</v>
      </c>
      <c r="J66" s="9" t="str">
        <v>抖音</v>
      </c>
      <c r="K66" s="8" t="str">
        <v>抖音矩阵号</v>
      </c>
      <c r="L66" s="8"/>
      <c r="M66" s="5" t="str">
        <v>否</v>
      </c>
      <c r="N66" s="5" t="str">
        <v>否</v>
      </c>
      <c r="O66" s="5" t="str">
        <v>是</v>
      </c>
      <c r="P66" s="5" t="str">
        <v>是</v>
      </c>
      <c r="Q66" s="5" t="str">
        <v>营销费用</v>
      </c>
      <c r="R66" s="5" t="str">
        <v>内容制作费</v>
      </c>
      <c r="S66" s="5" t="str">
        <v>专业人物合作费</v>
      </c>
      <c r="T66" s="1" t="str">
        <v>品牌运营中心</v>
      </c>
      <c r="U66" s="1" t="str">
        <v>内容电商部</v>
      </c>
      <c r="V66" s="1" t="str">
        <v>抖音部</v>
      </c>
      <c r="W66" s="17" t="str">
        <v>矩阵运营部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>
      <c r="A67" s="36" t="str">
        <v>内容加热</v>
      </c>
      <c r="B67" s="38" t="str">
        <v>YXHD72</v>
      </c>
      <c r="C67" s="39" t="str">
        <v>粉丝通</v>
      </c>
      <c r="D67" s="37" t="str">
        <v>品类内容推广</v>
      </c>
      <c r="E67" s="37" t="str">
        <v>其他新媒体加热</v>
      </c>
      <c r="F67" s="38" t="str">
        <v>启用</v>
      </c>
      <c r="G67" s="38" t="str">
        <v>否</v>
      </c>
      <c r="H67" s="11"/>
      <c r="I67" s="11"/>
      <c r="J67" s="16"/>
      <c r="K67" s="11"/>
      <c r="L67" s="11"/>
      <c r="M67" s="38" t="str">
        <v>否</v>
      </c>
      <c r="N67" s="38" t="str">
        <v>否</v>
      </c>
      <c r="O67" s="38" t="str">
        <v>否</v>
      </c>
      <c r="P67" s="38" t="str">
        <v>否</v>
      </c>
      <c r="Q67" s="38" t="str">
        <v>营销费用</v>
      </c>
      <c r="R67" s="38" t="str">
        <v>达人推广费</v>
      </c>
      <c r="S67" s="38" t="str">
        <v>内容推广费</v>
      </c>
      <c r="T67" s="37" t="str">
        <v>品牌运营中心</v>
      </c>
      <c r="U67" s="37" t="str">
        <v>市场广告推广部</v>
      </c>
      <c r="V67" s="37" t="str">
        <v>市场推广部</v>
      </c>
      <c r="W67" s="40" t="str">
        <v>内容投放组</v>
      </c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</row>
    <row r="68">
      <c r="A68" s="7" t="str">
        <v>内容加热</v>
      </c>
      <c r="B68" s="5" t="str">
        <v>YXHD73</v>
      </c>
      <c r="C68" s="4" t="str">
        <v>矩阵号DOU+</v>
      </c>
      <c r="D68" s="1" t="str">
        <v>品类内容推广</v>
      </c>
      <c r="E68" s="1" t="str">
        <v>抖音矩阵号渠道推广</v>
      </c>
      <c r="F68" s="5" t="str">
        <v>启用</v>
      </c>
      <c r="G68" s="5" t="str">
        <v>是</v>
      </c>
      <c r="H68" s="8" t="str">
        <v>抖音花西子旗舰店</v>
      </c>
      <c r="I68" s="8" t="str">
        <v>DP007</v>
      </c>
      <c r="J68" s="9" t="str">
        <v>抖音</v>
      </c>
      <c r="K68" s="8" t="str">
        <v>抖音矩阵号</v>
      </c>
      <c r="L68" s="8"/>
      <c r="M68" s="5" t="str">
        <v>否</v>
      </c>
      <c r="N68" s="5" t="str">
        <v>否</v>
      </c>
      <c r="O68" s="5" t="str">
        <v>否</v>
      </c>
      <c r="P68" s="5" t="str">
        <v>否</v>
      </c>
      <c r="Q68" s="5" t="str">
        <v>营销费用</v>
      </c>
      <c r="R68" s="5" t="str">
        <v>达人推广费</v>
      </c>
      <c r="S68" s="5" t="str">
        <v>内容推广费</v>
      </c>
      <c r="T68" s="1" t="str">
        <v>品牌运营中心</v>
      </c>
      <c r="U68" s="1" t="str">
        <v>内容电商部</v>
      </c>
      <c r="V68" s="1" t="str">
        <v>抖音部</v>
      </c>
      <c r="W68" s="17" t="str">
        <v>矩阵运营部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>
      <c r="A69" s="7" t="str">
        <v>内容加热</v>
      </c>
      <c r="B69" s="5" t="str">
        <v>YXHD74</v>
      </c>
      <c r="C69" s="4" t="str">
        <v>快手作品推荐</v>
      </c>
      <c r="D69" s="1" t="str">
        <v>品类内容推广</v>
      </c>
      <c r="E69" s="1" t="str">
        <v>内容加热</v>
      </c>
      <c r="F69" s="5" t="str">
        <v>启用</v>
      </c>
      <c r="G69" s="5" t="str">
        <v>否</v>
      </c>
      <c r="H69" s="8"/>
      <c r="I69" s="8"/>
      <c r="J69" s="9"/>
      <c r="K69" s="8"/>
      <c r="L69" s="8"/>
      <c r="M69" s="5" t="str">
        <v>否</v>
      </c>
      <c r="N69" s="5" t="str">
        <v>否</v>
      </c>
      <c r="O69" s="5" t="str">
        <v>否</v>
      </c>
      <c r="P69" s="5" t="str">
        <v>否</v>
      </c>
      <c r="Q69" s="5" t="str">
        <v>营销费用</v>
      </c>
      <c r="R69" s="5" t="str">
        <v>达人推广费</v>
      </c>
      <c r="S69" s="5" t="str">
        <v>内容推广费</v>
      </c>
      <c r="T69" s="1" t="str">
        <v>品牌运营中心</v>
      </c>
      <c r="U69" s="1" t="str">
        <v>市场广告推广部</v>
      </c>
      <c r="V69" s="1" t="str">
        <v>市场推广部</v>
      </c>
      <c r="W69" s="3" t="str">
        <v>内容投放组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>
      <c r="A70" s="7" t="str">
        <v>内容加热</v>
      </c>
      <c r="B70" s="5" t="str">
        <v>YXHD75</v>
      </c>
      <c r="C70" s="4" t="str">
        <v>内容服务</v>
      </c>
      <c r="D70" s="1" t="str">
        <v>品类内容推广</v>
      </c>
      <c r="E70" s="1" t="str">
        <v>内容加热</v>
      </c>
      <c r="F70" s="5" t="str">
        <v>启用</v>
      </c>
      <c r="G70" s="5" t="str">
        <v>否</v>
      </c>
      <c r="H70" s="8"/>
      <c r="I70" s="8"/>
      <c r="J70" s="9"/>
      <c r="K70" s="8"/>
      <c r="L70" s="8"/>
      <c r="M70" s="5" t="str">
        <v>否</v>
      </c>
      <c r="N70" s="5" t="str">
        <v>否</v>
      </c>
      <c r="O70" s="5" t="str">
        <v>否</v>
      </c>
      <c r="P70" s="5" t="str">
        <v>否</v>
      </c>
      <c r="Q70" s="5" t="str">
        <v>营销费用</v>
      </c>
      <c r="R70" s="5" t="str">
        <v>达人推广费</v>
      </c>
      <c r="S70" s="5" t="str">
        <v>内容推广费</v>
      </c>
      <c r="T70" s="1" t="str">
        <v>品牌运营中心</v>
      </c>
      <c r="U70" s="1" t="str">
        <v>市场广告推广部</v>
      </c>
      <c r="V70" s="1" t="str">
        <v>市场推广部</v>
      </c>
      <c r="W70" s="3" t="str">
        <v>内容投放组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>
      <c r="A71" s="7" t="str">
        <v>内容加热</v>
      </c>
      <c r="B71" s="5" t="str">
        <v>YXHD76</v>
      </c>
      <c r="C71" s="4" t="str">
        <v>内容热推</v>
      </c>
      <c r="D71" s="1" t="str">
        <v>品类内容推广</v>
      </c>
      <c r="E71" s="1" t="str">
        <v>内容加热</v>
      </c>
      <c r="F71" s="5" t="str">
        <v>启用</v>
      </c>
      <c r="G71" s="5" t="str">
        <v>否</v>
      </c>
      <c r="H71" s="8"/>
      <c r="I71" s="8"/>
      <c r="J71" s="9"/>
      <c r="K71" s="8"/>
      <c r="L71" s="8"/>
      <c r="M71" s="5" t="str">
        <v>否</v>
      </c>
      <c r="N71" s="5" t="str">
        <v>否</v>
      </c>
      <c r="O71" s="5" t="str">
        <v>否</v>
      </c>
      <c r="P71" s="5" t="str">
        <v>否</v>
      </c>
      <c r="Q71" s="5" t="str">
        <v>营销费用</v>
      </c>
      <c r="R71" s="5" t="str">
        <v>达人推广费</v>
      </c>
      <c r="S71" s="5" t="str">
        <v>内容推广费</v>
      </c>
      <c r="T71" s="1" t="str">
        <v>品牌运营中心</v>
      </c>
      <c r="U71" s="1" t="str">
        <v>市场广告推广部</v>
      </c>
      <c r="V71" s="1" t="str">
        <v>市场推广部</v>
      </c>
      <c r="W71" s="3" t="str">
        <v>内容投放组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>
      <c r="A72" s="7" t="str">
        <v>素材创意制作</v>
      </c>
      <c r="B72" s="5" t="str">
        <v>YXHD77</v>
      </c>
      <c r="C72" s="4" t="str">
        <v>天猫淘内内容</v>
      </c>
      <c r="D72" s="1" t="str">
        <v>品类内容推广</v>
      </c>
      <c r="E72" s="1" t="str">
        <v>天猫淘内内容</v>
      </c>
      <c r="F72" s="5" t="str">
        <v>启用</v>
      </c>
      <c r="G72" s="5" t="str">
        <v>是</v>
      </c>
      <c r="H72" s="8" t="str">
        <v>天猫花西子旗舰店</v>
      </c>
      <c r="I72" s="8" t="str">
        <v>DP015</v>
      </c>
      <c r="J72" s="9" t="str">
        <v>天猫</v>
      </c>
      <c r="K72" s="8" t="str">
        <v>天猫货架</v>
      </c>
      <c r="L72" s="8" t="str">
        <v>天猫货架</v>
      </c>
      <c r="M72" s="5" t="str">
        <v>否</v>
      </c>
      <c r="N72" s="5" t="str">
        <v>否</v>
      </c>
      <c r="O72" s="5" t="str">
        <v>否</v>
      </c>
      <c r="P72" s="5" t="str">
        <v>否</v>
      </c>
      <c r="Q72" s="5" t="str">
        <v>营销费用</v>
      </c>
      <c r="R72" s="5" t="str">
        <v>内容制作费</v>
      </c>
      <c r="S72" s="5" t="str">
        <v>视频制作费</v>
      </c>
      <c r="T72" s="1" t="str">
        <v>品牌运营中心</v>
      </c>
      <c r="U72" s="1" t="str">
        <v>市场广告推广部</v>
      </c>
      <c r="V72" s="1" t="str">
        <v>达播2部</v>
      </c>
      <c r="W72" s="3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>
      <c r="A73" s="7" t="str">
        <v>内容加热</v>
      </c>
      <c r="B73" s="5" t="str">
        <v>YXHD78</v>
      </c>
      <c r="C73" s="4" t="str">
        <v>微博粉条</v>
      </c>
      <c r="D73" s="1" t="str">
        <v>品类内容推广</v>
      </c>
      <c r="E73" s="1" t="str">
        <v>其他新媒体加热</v>
      </c>
      <c r="F73" s="5" t="str">
        <v>启用</v>
      </c>
      <c r="G73" s="5" t="str">
        <v>否</v>
      </c>
      <c r="H73" s="8"/>
      <c r="I73" s="8"/>
      <c r="J73" s="9"/>
      <c r="K73" s="8"/>
      <c r="L73" s="8"/>
      <c r="M73" s="5" t="str">
        <v>否</v>
      </c>
      <c r="N73" s="5" t="str">
        <v>否</v>
      </c>
      <c r="O73" s="5" t="str">
        <v>否</v>
      </c>
      <c r="P73" s="5" t="str">
        <v>否</v>
      </c>
      <c r="Q73" s="5" t="str">
        <v>营销费用</v>
      </c>
      <c r="R73" s="5" t="str">
        <v>达人推广费</v>
      </c>
      <c r="S73" s="5" t="str">
        <v>内容推广费</v>
      </c>
      <c r="T73" s="1" t="str">
        <v>品牌运营中心</v>
      </c>
      <c r="U73" s="1" t="str">
        <v>市场广告推广部</v>
      </c>
      <c r="V73" s="1" t="str">
        <v>市场推广部</v>
      </c>
      <c r="W73" s="3" t="str">
        <v>内容投放组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>
      <c r="A74" s="7" t="str">
        <v>内容加热</v>
      </c>
      <c r="B74" s="5" t="str">
        <v>YXHD79</v>
      </c>
      <c r="C74" s="4" t="str">
        <v>微博搜索</v>
      </c>
      <c r="D74" s="1" t="str">
        <v>品类内容推广</v>
      </c>
      <c r="E74" s="1" t="str">
        <v>其他新媒体加热</v>
      </c>
      <c r="F74" s="5" t="str">
        <v>启用</v>
      </c>
      <c r="G74" s="5" t="str">
        <v>否</v>
      </c>
      <c r="H74" s="8"/>
      <c r="I74" s="8"/>
      <c r="J74" s="9"/>
      <c r="K74" s="8"/>
      <c r="L74" s="8"/>
      <c r="M74" s="5" t="str">
        <v>否</v>
      </c>
      <c r="N74" s="5" t="str">
        <v>否</v>
      </c>
      <c r="O74" s="5" t="str">
        <v>否</v>
      </c>
      <c r="P74" s="5" t="str">
        <v>否</v>
      </c>
      <c r="Q74" s="5" t="str">
        <v>营销费用</v>
      </c>
      <c r="R74" s="5" t="str">
        <v>达人推广费</v>
      </c>
      <c r="S74" s="5" t="str">
        <v>内容推广费</v>
      </c>
      <c r="T74" s="1" t="str">
        <v>品牌运营中心</v>
      </c>
      <c r="U74" s="1" t="str">
        <v>市场广告推广部</v>
      </c>
      <c r="V74" s="1" t="str">
        <v>市场推广部</v>
      </c>
      <c r="W74" s="3" t="str">
        <v>内容投放组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>
      <c r="A75" s="7" t="str">
        <v>内容加热</v>
      </c>
      <c r="B75" s="5" t="str">
        <v>YXHD80</v>
      </c>
      <c r="C75" s="4" t="str">
        <v>小红书加热</v>
      </c>
      <c r="D75" s="1" t="str">
        <v>品类内容推广</v>
      </c>
      <c r="E75" s="1" t="str">
        <v>其他新媒体加热</v>
      </c>
      <c r="F75" s="5" t="str">
        <v>启用</v>
      </c>
      <c r="G75" s="5" t="str">
        <v>否</v>
      </c>
      <c r="H75" s="8"/>
      <c r="I75" s="8"/>
      <c r="J75" s="9"/>
      <c r="K75" s="8"/>
      <c r="L75" s="8"/>
      <c r="M75" s="5" t="str">
        <v>否</v>
      </c>
      <c r="N75" s="5" t="str">
        <v>否</v>
      </c>
      <c r="O75" s="5" t="str">
        <v>否</v>
      </c>
      <c r="P75" s="5" t="str">
        <v>否</v>
      </c>
      <c r="Q75" s="5" t="str">
        <v>营销费用</v>
      </c>
      <c r="R75" s="5" t="str">
        <v>达人推广费</v>
      </c>
      <c r="S75" s="5" t="str">
        <v>内容推广费</v>
      </c>
      <c r="T75" s="1" t="str">
        <v>品牌运营中心</v>
      </c>
      <c r="U75" s="1" t="str">
        <v>市场广告推广部</v>
      </c>
      <c r="V75" s="1" t="str">
        <v>市场推广部</v>
      </c>
      <c r="W75" s="3" t="str">
        <v>内容投放组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>
      <c r="A76" s="7" t="str">
        <v>内容加热</v>
      </c>
      <c r="B76" s="5" t="str">
        <v>YXHD81</v>
      </c>
      <c r="C76" s="4" t="str">
        <v>星聚力</v>
      </c>
      <c r="D76" s="1" t="str">
        <v>品类内容推广</v>
      </c>
      <c r="E76" s="1" t="str">
        <v>内容加热</v>
      </c>
      <c r="F76" s="5" t="str">
        <v>启用</v>
      </c>
      <c r="G76" s="5" t="str">
        <v>否</v>
      </c>
      <c r="H76" s="8"/>
      <c r="I76" s="8"/>
      <c r="J76" s="9"/>
      <c r="K76" s="8"/>
      <c r="L76" s="8"/>
      <c r="M76" s="5" t="str">
        <v>否</v>
      </c>
      <c r="N76" s="5" t="str">
        <v>否</v>
      </c>
      <c r="O76" s="5" t="str">
        <v>否</v>
      </c>
      <c r="P76" s="5" t="str">
        <v>否</v>
      </c>
      <c r="Q76" s="5" t="str">
        <v>营销费用</v>
      </c>
      <c r="R76" s="5" t="str">
        <v>达人推广费</v>
      </c>
      <c r="S76" s="5" t="str">
        <v>内容推广费</v>
      </c>
      <c r="T76" s="1" t="str">
        <v>品牌运营中心</v>
      </c>
      <c r="U76" s="1" t="str">
        <v>市场广告推广部</v>
      </c>
      <c r="V76" s="1" t="str">
        <v>市场推广部</v>
      </c>
      <c r="W76" s="3" t="str">
        <v>内容投放组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>
      <c r="A77" s="7" t="str">
        <v>素材创意制作</v>
      </c>
      <c r="B77" s="5" t="str">
        <v>YXHD82</v>
      </c>
      <c r="C77" s="4" t="str">
        <v>虚拟IP</v>
      </c>
      <c r="D77" s="1" t="str">
        <v>品类内容推广</v>
      </c>
      <c r="E77" s="1" t="str">
        <v>虚拟IP &amp;直播间视觉设计</v>
      </c>
      <c r="F77" s="5" t="str">
        <v>启用</v>
      </c>
      <c r="G77" s="5" t="str">
        <v>否</v>
      </c>
      <c r="H77" s="8"/>
      <c r="I77" s="8"/>
      <c r="J77" s="9"/>
      <c r="K77" s="8"/>
      <c r="L77" s="8"/>
      <c r="M77" s="5" t="str">
        <v>否</v>
      </c>
      <c r="N77" s="5" t="str">
        <v>否</v>
      </c>
      <c r="O77" s="5" t="str">
        <v>否</v>
      </c>
      <c r="P77" s="5" t="str">
        <v>否</v>
      </c>
      <c r="Q77" s="5" t="str">
        <v>营销费用</v>
      </c>
      <c r="R77" s="5" t="str">
        <v>内容制作费</v>
      </c>
      <c r="S77" s="5" t="str">
        <v>视频制作费</v>
      </c>
      <c r="T77" s="1" t="str">
        <v>品牌运营中心</v>
      </c>
      <c r="U77" s="1" t="str">
        <v>内容电商部</v>
      </c>
      <c r="V77" s="1" t="str">
        <v>抖音部</v>
      </c>
      <c r="W77" s="3" t="str">
        <v>内容部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A78" s="7" t="str">
        <v>素材创意制作</v>
      </c>
      <c r="B78" s="5" t="str">
        <v>YXHD83</v>
      </c>
      <c r="C78" s="4" t="str">
        <v>直播间视觉设计费</v>
      </c>
      <c r="D78" s="1" t="str">
        <v>品类内容推广</v>
      </c>
      <c r="E78" s="1" t="str">
        <v>虚拟IP &amp;直播间视觉设计</v>
      </c>
      <c r="F78" s="5" t="str">
        <v>启用</v>
      </c>
      <c r="G78" s="5" t="str">
        <v>否</v>
      </c>
      <c r="H78" s="8"/>
      <c r="I78" s="8"/>
      <c r="J78" s="9"/>
      <c r="K78" s="8"/>
      <c r="L78" s="8"/>
      <c r="M78" s="5" t="str">
        <v>否</v>
      </c>
      <c r="N78" s="5" t="str">
        <v>否</v>
      </c>
      <c r="O78" s="5" t="str">
        <v>否</v>
      </c>
      <c r="P78" s="5" t="str">
        <v>否</v>
      </c>
      <c r="Q78" s="5" t="str">
        <v>营销费用</v>
      </c>
      <c r="R78" s="5" t="str">
        <v>内容制作费</v>
      </c>
      <c r="S78" s="5" t="str">
        <v>视觉设计费</v>
      </c>
      <c r="T78" s="1" t="str">
        <v>品牌运营中心</v>
      </c>
      <c r="U78" s="1" t="str">
        <v>内容电商部</v>
      </c>
      <c r="V78" s="1" t="str">
        <v>抖音部</v>
      </c>
      <c r="W78" s="3" t="str">
        <v>内容部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>
      <c r="A79" s="7" t="str">
        <v>线上品宣</v>
      </c>
      <c r="B79" s="5" t="str">
        <v>YXHD84</v>
      </c>
      <c r="C79" s="4" t="str">
        <v>OTT广告</v>
      </c>
      <c r="D79" s="1" t="str">
        <v>品牌媒介</v>
      </c>
      <c r="E79" s="1" t="str">
        <v>线上品宣媒介</v>
      </c>
      <c r="F79" s="5" t="str">
        <v>启用</v>
      </c>
      <c r="G79" s="5" t="str">
        <v>否</v>
      </c>
      <c r="H79" s="8"/>
      <c r="I79" s="8"/>
      <c r="J79" s="9"/>
      <c r="K79" s="8"/>
      <c r="L79" s="8"/>
      <c r="M79" s="5" t="str">
        <v>否</v>
      </c>
      <c r="N79" s="5" t="str">
        <v>否</v>
      </c>
      <c r="O79" s="5" t="str">
        <v>否</v>
      </c>
      <c r="P79" s="5" t="str">
        <v>否</v>
      </c>
      <c r="Q79" s="5" t="str">
        <v>营销费用</v>
      </c>
      <c r="R79" s="5" t="str">
        <v>媒介宣传费</v>
      </c>
      <c r="S79" s="5" t="str">
        <v>线上媒介费</v>
      </c>
      <c r="T79" s="1" t="str">
        <v>品牌运营中心</v>
      </c>
      <c r="U79" s="1" t="str">
        <v>市场广告推广部</v>
      </c>
      <c r="V79" s="1" t="str">
        <v>广告投放部</v>
      </c>
      <c r="W79" s="3" t="str">
        <v>媒介组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>
      <c r="A80" s="7" t="str">
        <v>线上品宣</v>
      </c>
      <c r="B80" s="5" t="str">
        <v>YXHD85</v>
      </c>
      <c r="C80" s="4" t="str">
        <v>OTV广告</v>
      </c>
      <c r="D80" s="1" t="str">
        <v>品牌媒介</v>
      </c>
      <c r="E80" s="1" t="str">
        <v>线上品宣媒介</v>
      </c>
      <c r="F80" s="5" t="str">
        <v>启用</v>
      </c>
      <c r="G80" s="5" t="str">
        <v>否</v>
      </c>
      <c r="H80" s="8"/>
      <c r="I80" s="8"/>
      <c r="J80" s="9"/>
      <c r="K80" s="8"/>
      <c r="L80" s="8"/>
      <c r="M80" s="5" t="str">
        <v>否</v>
      </c>
      <c r="N80" s="5" t="str">
        <v>否</v>
      </c>
      <c r="O80" s="5" t="str">
        <v>否</v>
      </c>
      <c r="P80" s="5" t="str">
        <v>否</v>
      </c>
      <c r="Q80" s="5" t="str">
        <v>营销费用</v>
      </c>
      <c r="R80" s="5" t="str">
        <v>媒介宣传费</v>
      </c>
      <c r="S80" s="5" t="str">
        <v>线上媒介费</v>
      </c>
      <c r="T80" s="1" t="str">
        <v>品牌运营中心</v>
      </c>
      <c r="U80" s="1" t="str">
        <v>市场广告推广部</v>
      </c>
      <c r="V80" s="1" t="str">
        <v>广告投放部</v>
      </c>
      <c r="W80" s="3" t="str">
        <v>媒介组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A81" s="7" t="str">
        <v>线上品宣</v>
      </c>
      <c r="B81" s="5" t="str">
        <v>YXHD86</v>
      </c>
      <c r="C81" s="4" t="str">
        <v>程序化投放</v>
      </c>
      <c r="D81" s="1" t="str">
        <v>品牌媒介</v>
      </c>
      <c r="E81" s="1" t="str">
        <v>线上品宣媒介</v>
      </c>
      <c r="F81" s="5" t="str">
        <v>启用</v>
      </c>
      <c r="G81" s="5" t="str">
        <v>否</v>
      </c>
      <c r="H81" s="8"/>
      <c r="I81" s="8"/>
      <c r="J81" s="9"/>
      <c r="K81" s="8"/>
      <c r="L81" s="8"/>
      <c r="M81" s="5" t="str">
        <v>否</v>
      </c>
      <c r="N81" s="5" t="str">
        <v>否</v>
      </c>
      <c r="O81" s="5" t="str">
        <v>否</v>
      </c>
      <c r="P81" s="5" t="str">
        <v>否</v>
      </c>
      <c r="Q81" s="5" t="str">
        <v>营销费用</v>
      </c>
      <c r="R81" s="5" t="str">
        <v>媒介宣传费</v>
      </c>
      <c r="S81" s="5" t="str">
        <v>线上媒介费</v>
      </c>
      <c r="T81" s="1" t="str">
        <v>品牌运营中心</v>
      </c>
      <c r="U81" s="1" t="str">
        <v>市场广告推广部</v>
      </c>
      <c r="V81" s="1" t="str">
        <v>广告投放部</v>
      </c>
      <c r="W81" s="3" t="str">
        <v>媒介组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>
      <c r="A82" s="7" t="str">
        <v>线下品宣</v>
      </c>
      <c r="B82" s="5" t="str">
        <v>YXHD87</v>
      </c>
      <c r="C82" s="4" t="str">
        <v>地标广告</v>
      </c>
      <c r="D82" s="1" t="str">
        <v>品牌媒介</v>
      </c>
      <c r="E82" s="1" t="str">
        <v>线下品宣媒介</v>
      </c>
      <c r="F82" s="5" t="str">
        <v>启用</v>
      </c>
      <c r="G82" s="5" t="str">
        <v>否</v>
      </c>
      <c r="H82" s="8"/>
      <c r="I82" s="8"/>
      <c r="J82" s="9"/>
      <c r="K82" s="8"/>
      <c r="L82" s="8"/>
      <c r="M82" s="5" t="str">
        <v>否</v>
      </c>
      <c r="N82" s="5" t="str">
        <v>否</v>
      </c>
      <c r="O82" s="5" t="str">
        <v>否</v>
      </c>
      <c r="P82" s="5" t="str">
        <v>否</v>
      </c>
      <c r="Q82" s="5" t="str">
        <v>营销费用</v>
      </c>
      <c r="R82" s="5" t="str">
        <v>媒介宣传费</v>
      </c>
      <c r="S82" s="5" t="str">
        <v>线下媒介费</v>
      </c>
      <c r="T82" s="1" t="str">
        <v>品牌运营中心</v>
      </c>
      <c r="U82" s="1" t="str">
        <v>市场广告推广部</v>
      </c>
      <c r="V82" s="1" t="str">
        <v>广告投放部</v>
      </c>
      <c r="W82" s="3" t="str">
        <v>媒介组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A83" s="7" t="str">
        <v>线下品宣</v>
      </c>
      <c r="B83" s="5" t="str">
        <v>YXHD88</v>
      </c>
      <c r="C83" s="4" t="str">
        <v>电梯广告</v>
      </c>
      <c r="D83" s="1" t="str">
        <v>品牌媒介</v>
      </c>
      <c r="E83" s="1" t="str">
        <v>线下品宣媒介</v>
      </c>
      <c r="F83" s="5" t="str">
        <v>启用</v>
      </c>
      <c r="G83" s="5" t="str">
        <v>否</v>
      </c>
      <c r="H83" s="8"/>
      <c r="I83" s="8"/>
      <c r="J83" s="9"/>
      <c r="K83" s="8"/>
      <c r="L83" s="8"/>
      <c r="M83" s="5" t="str">
        <v>否</v>
      </c>
      <c r="N83" s="5" t="str">
        <v>否</v>
      </c>
      <c r="O83" s="5" t="str">
        <v>否</v>
      </c>
      <c r="P83" s="5" t="str">
        <v>否</v>
      </c>
      <c r="Q83" s="5" t="str">
        <v>营销费用</v>
      </c>
      <c r="R83" s="5" t="str">
        <v>媒介宣传费</v>
      </c>
      <c r="S83" s="5" t="str">
        <v>线下媒介费</v>
      </c>
      <c r="T83" s="1" t="str">
        <v>品牌运营中心</v>
      </c>
      <c r="U83" s="1" t="str">
        <v>市场广告推广部</v>
      </c>
      <c r="V83" s="1" t="str">
        <v>广告投放部</v>
      </c>
      <c r="W83" s="3" t="str">
        <v>媒介组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s="7" t="str">
        <v>线下品宣</v>
      </c>
      <c r="B84" s="5" t="str">
        <v>YXHD89</v>
      </c>
      <c r="C84" s="4" t="str">
        <v>电影院广告</v>
      </c>
      <c r="D84" s="1" t="str">
        <v>品牌媒介</v>
      </c>
      <c r="E84" s="1" t="str">
        <v>线下品宣媒介</v>
      </c>
      <c r="F84" s="5" t="str">
        <v>启用</v>
      </c>
      <c r="G84" s="5" t="str">
        <v>否</v>
      </c>
      <c r="H84" s="8"/>
      <c r="I84" s="8"/>
      <c r="J84" s="9"/>
      <c r="K84" s="8"/>
      <c r="L84" s="8"/>
      <c r="M84" s="5" t="str">
        <v>否</v>
      </c>
      <c r="N84" s="5" t="str">
        <v>否</v>
      </c>
      <c r="O84" s="5" t="str">
        <v>否</v>
      </c>
      <c r="P84" s="5" t="str">
        <v>否</v>
      </c>
      <c r="Q84" s="5" t="str">
        <v>营销费用</v>
      </c>
      <c r="R84" s="5" t="str">
        <v>媒介宣传费</v>
      </c>
      <c r="S84" s="5" t="str">
        <v>线下媒介费</v>
      </c>
      <c r="T84" s="1" t="str">
        <v>品牌运营中心</v>
      </c>
      <c r="U84" s="1" t="str">
        <v>市场广告推广部</v>
      </c>
      <c r="V84" s="1" t="str">
        <v>广告投放部</v>
      </c>
      <c r="W84" s="3" t="str">
        <v>媒介组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A85" s="7" t="str">
        <v>线上品宣</v>
      </c>
      <c r="B85" s="5" t="str">
        <v>YXHD90</v>
      </c>
      <c r="C85" s="4" t="str">
        <v>抖音品牌信息流</v>
      </c>
      <c r="D85" s="1" t="str">
        <v>品牌媒介</v>
      </c>
      <c r="E85" s="1" t="str">
        <v>线上品宣媒介</v>
      </c>
      <c r="F85" s="5" t="str">
        <v>启用</v>
      </c>
      <c r="G85" s="5" t="str">
        <v>否</v>
      </c>
      <c r="H85" s="8"/>
      <c r="I85" s="8"/>
      <c r="J85" s="9"/>
      <c r="K85" s="8"/>
      <c r="L85" s="8"/>
      <c r="M85" s="5" t="str">
        <v>否</v>
      </c>
      <c r="N85" s="5" t="str">
        <v>否</v>
      </c>
      <c r="O85" s="5" t="str">
        <v>否</v>
      </c>
      <c r="P85" s="5" t="str">
        <v>否</v>
      </c>
      <c r="Q85" s="5" t="str">
        <v>营销费用</v>
      </c>
      <c r="R85" s="5" t="str">
        <v>媒介宣传费</v>
      </c>
      <c r="S85" s="5" t="str">
        <v>线上媒介费</v>
      </c>
      <c r="T85" s="1" t="str">
        <v>品牌运营中心</v>
      </c>
      <c r="U85" s="1" t="str">
        <v>市场广告推广部</v>
      </c>
      <c r="V85" s="1" t="str">
        <v>广告投放部</v>
      </c>
      <c r="W85" s="3" t="str">
        <v>媒介组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>
      <c r="A86" s="7" t="str">
        <v>线上品宣</v>
      </c>
      <c r="B86" s="5" t="str">
        <v>YXHD91</v>
      </c>
      <c r="C86" s="4" t="str">
        <v>广告效果监测</v>
      </c>
      <c r="D86" s="1" t="str">
        <v>品牌媒介</v>
      </c>
      <c r="E86" s="1" t="str">
        <v>线上品宣媒介</v>
      </c>
      <c r="F86" s="5" t="str">
        <v>启用</v>
      </c>
      <c r="G86" s="5" t="str">
        <v>否</v>
      </c>
      <c r="H86" s="8"/>
      <c r="I86" s="8"/>
      <c r="J86" s="9"/>
      <c r="K86" s="8"/>
      <c r="L86" s="8"/>
      <c r="M86" s="5" t="str">
        <v>否</v>
      </c>
      <c r="N86" s="5" t="str">
        <v>否</v>
      </c>
      <c r="O86" s="5" t="str">
        <v>否</v>
      </c>
      <c r="P86" s="5" t="str">
        <v>否</v>
      </c>
      <c r="Q86" s="5" t="str">
        <v>营销费用</v>
      </c>
      <c r="R86" s="5" t="str">
        <v>媒介宣传费</v>
      </c>
      <c r="S86" s="5" t="str">
        <v>线上媒介费</v>
      </c>
      <c r="T86" s="1" t="str">
        <v>品牌运营中心</v>
      </c>
      <c r="U86" s="1" t="str">
        <v>市场广告推广部</v>
      </c>
      <c r="V86" s="1" t="str">
        <v>广告投放部</v>
      </c>
      <c r="W86" s="3" t="str">
        <v>媒介组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>
      <c r="A87" s="7" t="str">
        <v>线上品宣</v>
      </c>
      <c r="B87" s="5" t="str">
        <v>YXHD92</v>
      </c>
      <c r="C87" s="4" t="str">
        <v>开屏类广告</v>
      </c>
      <c r="D87" s="1" t="str">
        <v>品牌媒介</v>
      </c>
      <c r="E87" s="1" t="str">
        <v>线上品宣媒介</v>
      </c>
      <c r="F87" s="5" t="str">
        <v>启用</v>
      </c>
      <c r="G87" s="5" t="str">
        <v>否</v>
      </c>
      <c r="H87" s="8"/>
      <c r="I87" s="8"/>
      <c r="J87" s="9"/>
      <c r="K87" s="8"/>
      <c r="L87" s="8"/>
      <c r="M87" s="5" t="str">
        <v>否</v>
      </c>
      <c r="N87" s="5" t="str">
        <v>否</v>
      </c>
      <c r="O87" s="5" t="str">
        <v>否</v>
      </c>
      <c r="P87" s="5" t="str">
        <v>否</v>
      </c>
      <c r="Q87" s="5" t="str">
        <v>营销费用</v>
      </c>
      <c r="R87" s="5" t="str">
        <v>媒介宣传费</v>
      </c>
      <c r="S87" s="5" t="str">
        <v>线上媒介费</v>
      </c>
      <c r="T87" s="1" t="str">
        <v>品牌运营中心</v>
      </c>
      <c r="U87" s="1" t="str">
        <v>市场广告推广部</v>
      </c>
      <c r="V87" s="1" t="str">
        <v>广告投放部</v>
      </c>
      <c r="W87" s="3" t="str">
        <v>媒介组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>
      <c r="A88" s="7" t="str">
        <v>线上品宣</v>
      </c>
      <c r="B88" s="5" t="str">
        <v>YXHD93</v>
      </c>
      <c r="C88" s="4" t="str">
        <v>快手品牌信息流</v>
      </c>
      <c r="D88" s="1" t="str">
        <v>品牌媒介</v>
      </c>
      <c r="E88" s="1" t="str">
        <v>线上品宣媒介</v>
      </c>
      <c r="F88" s="5" t="str">
        <v>启用</v>
      </c>
      <c r="G88" s="5" t="str">
        <v>否</v>
      </c>
      <c r="H88" s="8"/>
      <c r="I88" s="8"/>
      <c r="J88" s="9"/>
      <c r="K88" s="8"/>
      <c r="L88" s="8"/>
      <c r="M88" s="5" t="str">
        <v>否</v>
      </c>
      <c r="N88" s="5" t="str">
        <v>否</v>
      </c>
      <c r="O88" s="5" t="str">
        <v>否</v>
      </c>
      <c r="P88" s="5" t="str">
        <v>否</v>
      </c>
      <c r="Q88" s="5" t="str">
        <v>营销费用</v>
      </c>
      <c r="R88" s="5" t="str">
        <v>媒介宣传费</v>
      </c>
      <c r="S88" s="5" t="str">
        <v>线上媒介费</v>
      </c>
      <c r="T88" s="1" t="str">
        <v>品牌运营中心</v>
      </c>
      <c r="U88" s="1" t="str">
        <v>市场广告推广部</v>
      </c>
      <c r="V88" s="1" t="str">
        <v>广告投放部</v>
      </c>
      <c r="W88" s="3" t="str">
        <v>媒介组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>
      <c r="A89" s="7" t="str">
        <v>线上品宣</v>
      </c>
      <c r="B89" s="5" t="str">
        <v>YXHD94</v>
      </c>
      <c r="C89" s="4" t="str">
        <v>商业化资源包合作</v>
      </c>
      <c r="D89" s="1" t="str">
        <v>品牌媒介</v>
      </c>
      <c r="E89" s="1" t="str">
        <v>线上品宣媒介</v>
      </c>
      <c r="F89" s="5" t="str">
        <v>启用</v>
      </c>
      <c r="G89" s="5" t="str">
        <v>否</v>
      </c>
      <c r="H89" s="8"/>
      <c r="I89" s="8"/>
      <c r="J89" s="9"/>
      <c r="K89" s="8"/>
      <c r="L89" s="8"/>
      <c r="M89" s="5" t="str">
        <v>否</v>
      </c>
      <c r="N89" s="5" t="str">
        <v>否</v>
      </c>
      <c r="O89" s="5" t="str">
        <v>否</v>
      </c>
      <c r="P89" s="5" t="str">
        <v>否</v>
      </c>
      <c r="Q89" s="5" t="str">
        <v>营销费用</v>
      </c>
      <c r="R89" s="5" t="str">
        <v>媒介宣传费</v>
      </c>
      <c r="S89" s="5" t="str">
        <v>线上媒介费</v>
      </c>
      <c r="T89" s="1" t="str">
        <v>品牌运营中心</v>
      </c>
      <c r="U89" s="1" t="str">
        <v>市场广告推广部</v>
      </c>
      <c r="V89" s="1" t="str">
        <v>广告投放部</v>
      </c>
      <c r="W89" s="3" t="str">
        <v>媒介组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>
      <c r="A90" s="7" t="str">
        <v>线上品宣</v>
      </c>
      <c r="B90" s="5" t="str">
        <v>YXHD95</v>
      </c>
      <c r="C90" s="4" t="str">
        <v>投放策略调研</v>
      </c>
      <c r="D90" s="1" t="str">
        <v>品牌媒介</v>
      </c>
      <c r="E90" s="1" t="str">
        <v>调研费（其他非标）</v>
      </c>
      <c r="F90" s="5" t="str">
        <v>启用</v>
      </c>
      <c r="G90" s="5" t="str">
        <v>否</v>
      </c>
      <c r="H90" s="8"/>
      <c r="I90" s="8"/>
      <c r="J90" s="9"/>
      <c r="K90" s="8"/>
      <c r="L90" s="8"/>
      <c r="M90" s="5" t="str">
        <v>否</v>
      </c>
      <c r="N90" s="5" t="str">
        <v>否</v>
      </c>
      <c r="O90" s="5" t="str">
        <v>否</v>
      </c>
      <c r="P90" s="5" t="str">
        <v>否</v>
      </c>
      <c r="Q90" s="5" t="str">
        <v>营销费用</v>
      </c>
      <c r="R90" s="5" t="str">
        <v>品牌宣传费</v>
      </c>
      <c r="S90" s="5" t="str">
        <v>市场调研费</v>
      </c>
      <c r="T90" s="1" t="str">
        <v>品牌运营中心</v>
      </c>
      <c r="U90" s="1" t="str">
        <v>市场广告推广部</v>
      </c>
      <c r="V90" s="1" t="str">
        <v>策略部</v>
      </c>
      <c r="W90" s="3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>
      <c r="A91" s="77" t="str">
        <v>IMC国妆</v>
      </c>
      <c r="B91" s="12" t="str">
        <v>YXHD96</v>
      </c>
      <c r="C91" s="13" t="str">
        <v>IMC国妆</v>
      </c>
      <c r="D91" s="13" t="str">
        <v>品牌项目</v>
      </c>
      <c r="E91" s="13" t="str">
        <v>IMC国妆</v>
      </c>
      <c r="F91" s="12" t="str">
        <v>禁用</v>
      </c>
      <c r="G91" s="12" t="str">
        <v>否</v>
      </c>
      <c r="H91" s="11"/>
      <c r="I91" s="11"/>
      <c r="J91" s="16"/>
      <c r="K91" s="11"/>
      <c r="L91" s="11"/>
      <c r="M91" s="12" t="str">
        <v>否</v>
      </c>
      <c r="N91" s="12" t="str">
        <v>否</v>
      </c>
      <c r="O91" s="12" t="str">
        <v>是</v>
      </c>
      <c r="P91" s="12" t="str">
        <v>是</v>
      </c>
      <c r="Q91" s="12" t="str">
        <v>营销费用</v>
      </c>
      <c r="R91" s="12" t="str">
        <v>内容制作费</v>
      </c>
      <c r="S91" s="12" t="str">
        <v>视频制作费</v>
      </c>
      <c r="T91" s="13" t="str">
        <v>品牌产品中心</v>
      </c>
      <c r="U91" s="13" t="str">
        <v>品牌营销部</v>
      </c>
      <c r="V91" s="13"/>
      <c r="W91" s="14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67" t="str">
        <v>IMC花养</v>
      </c>
      <c r="B92" s="12" t="str">
        <v>YXHD97</v>
      </c>
      <c r="C92" s="13" t="str">
        <v>IMC花养</v>
      </c>
      <c r="D92" s="13" t="str">
        <v>品牌项目</v>
      </c>
      <c r="E92" s="13" t="str">
        <v>IMC花养</v>
      </c>
      <c r="F92" s="12" t="str">
        <v>禁用</v>
      </c>
      <c r="G92" s="12" t="str">
        <v>否</v>
      </c>
      <c r="H92" s="11"/>
      <c r="I92" s="11"/>
      <c r="J92" s="16"/>
      <c r="K92" s="11"/>
      <c r="L92" s="11"/>
      <c r="M92" s="12" t="str">
        <v>否</v>
      </c>
      <c r="N92" s="12" t="str">
        <v>否</v>
      </c>
      <c r="O92" s="12" t="str">
        <v>是</v>
      </c>
      <c r="P92" s="12" t="str">
        <v>是</v>
      </c>
      <c r="Q92" s="12" t="str">
        <v>营销费用</v>
      </c>
      <c r="R92" s="12" t="str">
        <v>内容制作费</v>
      </c>
      <c r="S92" s="12" t="str">
        <v>视频制作费</v>
      </c>
      <c r="T92" s="13" t="str">
        <v>品牌产品中心</v>
      </c>
      <c r="U92" s="13" t="str">
        <v>品牌营销部</v>
      </c>
      <c r="V92" s="13"/>
      <c r="W92" s="14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67" t="str">
        <v>IMC文化</v>
      </c>
      <c r="B93" s="12" t="str">
        <v>YXHD98</v>
      </c>
      <c r="C93" s="13" t="str">
        <v>IMC文化</v>
      </c>
      <c r="D93" s="13" t="str">
        <v>品牌项目</v>
      </c>
      <c r="E93" s="13" t="str">
        <v>IMC文化</v>
      </c>
      <c r="F93" s="12" t="str">
        <v>禁用</v>
      </c>
      <c r="G93" s="12" t="str">
        <v>否</v>
      </c>
      <c r="H93" s="11"/>
      <c r="I93" s="11"/>
      <c r="J93" s="16"/>
      <c r="K93" s="11"/>
      <c r="L93" s="11"/>
      <c r="M93" s="12" t="str">
        <v>否</v>
      </c>
      <c r="N93" s="12" t="str">
        <v>否</v>
      </c>
      <c r="O93" s="12" t="str">
        <v>是</v>
      </c>
      <c r="P93" s="12" t="str">
        <v>是</v>
      </c>
      <c r="Q93" s="12" t="str">
        <v>营销费用</v>
      </c>
      <c r="R93" s="12" t="str">
        <v>内容制作费</v>
      </c>
      <c r="S93" s="12" t="str">
        <v>视频制作费</v>
      </c>
      <c r="T93" s="13" t="str">
        <v>品牌产品中心</v>
      </c>
      <c r="U93" s="13" t="str">
        <v>品牌营销部</v>
      </c>
      <c r="V93" s="13"/>
      <c r="W93" s="14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68" t="str">
        <v>日常-创意与物料</v>
      </c>
      <c r="B94" s="12" t="str">
        <v>YXHD99</v>
      </c>
      <c r="C94" s="67" t="str">
        <v>日常-创意与物料</v>
      </c>
      <c r="D94" s="13" t="str">
        <v>品牌项目</v>
      </c>
      <c r="E94" s="13" t="str">
        <v>日常-创意与物料</v>
      </c>
      <c r="F94" s="12" t="str">
        <v>禁用</v>
      </c>
      <c r="G94" s="12" t="str">
        <v>否</v>
      </c>
      <c r="H94" s="11"/>
      <c r="I94" s="11"/>
      <c r="J94" s="16"/>
      <c r="K94" s="11"/>
      <c r="L94" s="11"/>
      <c r="M94" s="12" t="str">
        <v>否</v>
      </c>
      <c r="N94" s="12" t="str">
        <v>否</v>
      </c>
      <c r="O94" s="12" t="str">
        <v>否</v>
      </c>
      <c r="P94" s="12" t="str">
        <v>否</v>
      </c>
      <c r="Q94" s="12" t="str">
        <v>营销费用</v>
      </c>
      <c r="R94" s="12" t="str">
        <v>品牌宣传费</v>
      </c>
      <c r="S94" s="12" t="str">
        <v>明星合作费</v>
      </c>
      <c r="T94" s="13" t="str">
        <v>品牌产品中心</v>
      </c>
      <c r="U94" s="13" t="str">
        <v>品牌营销部</v>
      </c>
      <c r="V94" s="13"/>
      <c r="W94" s="14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5" t="str">
        <v>调研费</v>
      </c>
      <c r="B95" s="12" t="str">
        <v>YXHD100</v>
      </c>
      <c r="C95" s="13" t="str">
        <v>数据采买和调研费</v>
      </c>
      <c r="D95" s="13" t="str">
        <v>品牌项目</v>
      </c>
      <c r="E95" s="13" t="str">
        <v>日常-测试</v>
      </c>
      <c r="F95" s="12" t="str">
        <v>禁用</v>
      </c>
      <c r="G95" s="12" t="str">
        <v>否</v>
      </c>
      <c r="H95" s="11"/>
      <c r="I95" s="11"/>
      <c r="J95" s="16"/>
      <c r="K95" s="11"/>
      <c r="L95" s="11"/>
      <c r="M95" s="12" t="str">
        <v>否</v>
      </c>
      <c r="N95" s="12" t="str">
        <v>否</v>
      </c>
      <c r="O95" s="12" t="str">
        <v>否</v>
      </c>
      <c r="P95" s="12" t="str">
        <v>否</v>
      </c>
      <c r="Q95" s="12" t="str">
        <v>营销费用</v>
      </c>
      <c r="R95" s="12" t="str">
        <v>品牌宣传费</v>
      </c>
      <c r="S95" s="12" t="str">
        <v>市场调研费</v>
      </c>
      <c r="T95" s="13" t="str">
        <v>品牌产品中心</v>
      </c>
      <c r="U95" s="13" t="str">
        <v>品牌营销部</v>
      </c>
      <c r="V95" s="13"/>
      <c r="W95" s="14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5" t="str">
        <v>新媒体费用</v>
      </c>
      <c r="B96" s="12" t="str">
        <v>YXHD101</v>
      </c>
      <c r="C96" s="13" t="str">
        <v>私域代运营费用</v>
      </c>
      <c r="D96" s="13" t="str">
        <v>品牌项目</v>
      </c>
      <c r="E96" s="13" t="str">
        <v>日常-私域</v>
      </c>
      <c r="F96" s="12" t="str">
        <v>禁用</v>
      </c>
      <c r="G96" s="12" t="str">
        <v>否</v>
      </c>
      <c r="H96" s="11"/>
      <c r="I96" s="11"/>
      <c r="J96" s="16"/>
      <c r="K96" s="11"/>
      <c r="L96" s="11"/>
      <c r="M96" s="12" t="str">
        <v>否</v>
      </c>
      <c r="N96" s="12" t="str">
        <v>否</v>
      </c>
      <c r="O96" s="12" t="str">
        <v>否</v>
      </c>
      <c r="P96" s="12" t="str">
        <v>否</v>
      </c>
      <c r="Q96" s="12" t="str">
        <v>营销费用</v>
      </c>
      <c r="R96" s="12" t="str">
        <v>渠道推广费</v>
      </c>
      <c r="S96" s="12" t="str">
        <v>代运营服务费</v>
      </c>
      <c r="T96" s="13" t="str">
        <v>品牌产品中心</v>
      </c>
      <c r="U96" s="13" t="str">
        <v>品牌营销部</v>
      </c>
      <c r="V96" s="13"/>
      <c r="W96" s="14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5" t="str">
        <v>新媒体费用</v>
      </c>
      <c r="B97" s="12" t="str">
        <v>YXHD102</v>
      </c>
      <c r="C97" s="13" t="str">
        <v>私域视频制作</v>
      </c>
      <c r="D97" s="13" t="str">
        <v>品牌项目</v>
      </c>
      <c r="E97" s="13" t="str">
        <v>日常-私域</v>
      </c>
      <c r="F97" s="12" t="str">
        <v>禁用</v>
      </c>
      <c r="G97" s="12" t="str">
        <v>否</v>
      </c>
      <c r="H97" s="11"/>
      <c r="I97" s="11"/>
      <c r="J97" s="16"/>
      <c r="K97" s="11"/>
      <c r="L97" s="11"/>
      <c r="M97" s="12" t="str">
        <v>否</v>
      </c>
      <c r="N97" s="12" t="str">
        <v>否</v>
      </c>
      <c r="O97" s="12" t="str">
        <v>否</v>
      </c>
      <c r="P97" s="12" t="str">
        <v>否</v>
      </c>
      <c r="Q97" s="12" t="str">
        <v>营销费用</v>
      </c>
      <c r="R97" s="12" t="str">
        <v>内容制作费</v>
      </c>
      <c r="S97" s="12" t="str">
        <v>视频制作费</v>
      </c>
      <c r="T97" s="13" t="str">
        <v>品牌产品中心</v>
      </c>
      <c r="U97" s="13" t="str">
        <v>品牌营销部</v>
      </c>
      <c r="V97" s="13"/>
      <c r="W97" s="14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5" t="str">
        <v>新媒体费用</v>
      </c>
      <c r="B98" s="12" t="str">
        <v>YXHD103</v>
      </c>
      <c r="C98" s="13" t="str">
        <v>私域图文制作费</v>
      </c>
      <c r="D98" s="13" t="str">
        <v>品牌项目</v>
      </c>
      <c r="E98" s="13" t="str">
        <v>日常-私域</v>
      </c>
      <c r="F98" s="12" t="str">
        <v>禁用</v>
      </c>
      <c r="G98" s="12" t="str">
        <v>否</v>
      </c>
      <c r="H98" s="11"/>
      <c r="I98" s="11"/>
      <c r="J98" s="16"/>
      <c r="K98" s="11"/>
      <c r="L98" s="11"/>
      <c r="M98" s="12" t="str">
        <v>否</v>
      </c>
      <c r="N98" s="12" t="str">
        <v>否</v>
      </c>
      <c r="O98" s="12" t="str">
        <v>否</v>
      </c>
      <c r="P98" s="12" t="str">
        <v>否</v>
      </c>
      <c r="Q98" s="12" t="str">
        <v>营销费用</v>
      </c>
      <c r="R98" s="12" t="str">
        <v>内容制作费</v>
      </c>
      <c r="S98" s="12" t="str">
        <v>图文平面制作费</v>
      </c>
      <c r="T98" s="13" t="str">
        <v>品牌产品中心</v>
      </c>
      <c r="U98" s="13" t="str">
        <v>品牌营销部</v>
      </c>
      <c r="V98" s="13"/>
      <c r="W98" s="14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5" t="str">
        <v>新媒体费用</v>
      </c>
      <c r="B99" s="12" t="str">
        <v>YXHD104</v>
      </c>
      <c r="C99" s="13" t="str">
        <v>私域账号运营费</v>
      </c>
      <c r="D99" s="13" t="str">
        <v>品牌项目</v>
      </c>
      <c r="E99" s="13" t="str">
        <v>日常-私域</v>
      </c>
      <c r="F99" s="12" t="str">
        <v>禁用</v>
      </c>
      <c r="G99" s="12" t="str">
        <v>否</v>
      </c>
      <c r="H99" s="11"/>
      <c r="I99" s="11"/>
      <c r="J99" s="16"/>
      <c r="K99" s="11"/>
      <c r="L99" s="11"/>
      <c r="M99" s="12" t="str">
        <v>否</v>
      </c>
      <c r="N99" s="12" t="str">
        <v>否</v>
      </c>
      <c r="O99" s="12" t="str">
        <v>否</v>
      </c>
      <c r="P99" s="12" t="str">
        <v>否</v>
      </c>
      <c r="Q99" s="12" t="str">
        <v>营销费用</v>
      </c>
      <c r="R99" s="12" t="str">
        <v>其他费用</v>
      </c>
      <c r="S99" s="12" t="str">
        <v>日常营运费用</v>
      </c>
      <c r="T99" s="13" t="str">
        <v>品牌产品中心</v>
      </c>
      <c r="U99" s="13" t="str">
        <v>品牌营销部</v>
      </c>
      <c r="V99" s="13"/>
      <c r="W99" s="14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7" t="str">
        <v>李佳琦全案</v>
      </c>
      <c r="B100" s="5" t="str">
        <v>YXHD105</v>
      </c>
      <c r="C100" s="4" t="str">
        <v>佳琦全案-服务费</v>
      </c>
      <c r="D100" s="1" t="str">
        <v>品牌营销直播专项</v>
      </c>
      <c r="E100" s="1" t="str">
        <v>佳琦全案</v>
      </c>
      <c r="F100" s="5" t="str">
        <v>启用</v>
      </c>
      <c r="G100" s="5" t="str">
        <v>否</v>
      </c>
      <c r="H100" s="8"/>
      <c r="I100" s="8"/>
      <c r="J100" s="9"/>
      <c r="K100" s="8"/>
      <c r="L100" s="8"/>
      <c r="M100" s="5" t="str">
        <v>否</v>
      </c>
      <c r="N100" s="5" t="str">
        <v>否</v>
      </c>
      <c r="O100" s="5" t="str">
        <v>否</v>
      </c>
      <c r="P100" s="5" t="str">
        <v>否</v>
      </c>
      <c r="Q100" s="5" t="str">
        <v>营销费用</v>
      </c>
      <c r="R100" s="5" t="str">
        <v>内容制作费</v>
      </c>
      <c r="S100" s="5" t="str">
        <v>拍摄服务费</v>
      </c>
      <c r="T100" s="1" t="str">
        <v>品牌运营中心</v>
      </c>
      <c r="U100" s="1" t="str">
        <v>直播运营部</v>
      </c>
      <c r="V100" s="1" t="str">
        <v>SKA达播部</v>
      </c>
      <c r="W100" s="3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A101" s="7" t="str">
        <v>李佳琦全案</v>
      </c>
      <c r="B101" s="5" t="str">
        <v>YXHD106</v>
      </c>
      <c r="C101" s="4" t="str">
        <v>佳琦全案-设计费</v>
      </c>
      <c r="D101" s="1" t="str">
        <v>品牌营销直播专项</v>
      </c>
      <c r="E101" s="1" t="str">
        <v>佳琦全案</v>
      </c>
      <c r="F101" s="5" t="str">
        <v>启用</v>
      </c>
      <c r="G101" s="5" t="str">
        <v>否</v>
      </c>
      <c r="H101" s="8"/>
      <c r="I101" s="8"/>
      <c r="J101" s="9"/>
      <c r="K101" s="8"/>
      <c r="L101" s="8"/>
      <c r="M101" s="5" t="str">
        <v>否</v>
      </c>
      <c r="N101" s="5" t="str">
        <v>否</v>
      </c>
      <c r="O101" s="5" t="str">
        <v>否</v>
      </c>
      <c r="P101" s="5" t="str">
        <v>否</v>
      </c>
      <c r="Q101" s="5" t="str">
        <v>营销费用</v>
      </c>
      <c r="R101" s="5" t="str">
        <v>内容制作费</v>
      </c>
      <c r="S101" s="5" t="str">
        <v>视频制作费</v>
      </c>
      <c r="T101" s="1" t="str">
        <v>品牌运营中心</v>
      </c>
      <c r="U101" s="30" t="str">
        <v>直播运营部</v>
      </c>
      <c r="V101" s="30" t="str">
        <v>SKA达播部</v>
      </c>
      <c r="W101" s="3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A102" s="7" t="str">
        <v>直播公关费</v>
      </c>
      <c r="B102" s="5" t="str">
        <v>YXHD107</v>
      </c>
      <c r="C102" s="4" t="str">
        <v>李佳琦公关礼</v>
      </c>
      <c r="D102" s="1" t="str">
        <v>品牌营销直播专项</v>
      </c>
      <c r="E102" s="1" t="str">
        <v>BD公关费-李佳琦专项</v>
      </c>
      <c r="F102" s="5" t="str">
        <v>启用</v>
      </c>
      <c r="G102" s="5" t="str">
        <v>否</v>
      </c>
      <c r="H102" s="8"/>
      <c r="I102" s="8"/>
      <c r="J102" s="9"/>
      <c r="K102" s="8"/>
      <c r="L102" s="8"/>
      <c r="M102" s="5" t="str">
        <v>否</v>
      </c>
      <c r="N102" s="5" t="str">
        <v>否</v>
      </c>
      <c r="O102" s="5" t="str">
        <v>是</v>
      </c>
      <c r="P102" s="5" t="str">
        <v>是</v>
      </c>
      <c r="Q102" s="5" t="str">
        <v>营销费用</v>
      </c>
      <c r="R102" s="5" t="str">
        <v>其他费用</v>
      </c>
      <c r="S102" s="5" t="str">
        <v>公关礼品费</v>
      </c>
      <c r="T102" s="1" t="str">
        <v>品牌运营中心</v>
      </c>
      <c r="U102" s="30" t="str">
        <v>直播运营部</v>
      </c>
      <c r="V102" s="30" t="str">
        <v>SKA达播部</v>
      </c>
      <c r="W102" s="3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A103" s="7" t="str">
        <v>直播公关费</v>
      </c>
      <c r="B103" s="5" t="str">
        <v>YXHD108</v>
      </c>
      <c r="C103" s="4" t="str">
        <v>直播公关礼-外采-达播二部</v>
      </c>
      <c r="D103" s="1" t="str">
        <v>品牌营销直播专项</v>
      </c>
      <c r="E103" s="1" t="str">
        <v>BD公关费-达播二部</v>
      </c>
      <c r="F103" s="5" t="str">
        <v>启用</v>
      </c>
      <c r="G103" s="5" t="str">
        <v>否</v>
      </c>
      <c r="H103" s="8"/>
      <c r="I103" s="8"/>
      <c r="J103" s="9"/>
      <c r="K103" s="8"/>
      <c r="L103" s="8"/>
      <c r="M103" s="5" t="str">
        <v>否</v>
      </c>
      <c r="N103" s="5" t="str">
        <v>否</v>
      </c>
      <c r="O103" s="5" t="str">
        <v>是</v>
      </c>
      <c r="P103" s="5" t="str">
        <v>是</v>
      </c>
      <c r="Q103" s="5" t="str">
        <v>营销费用</v>
      </c>
      <c r="R103" s="5" t="str">
        <v>其他费用</v>
      </c>
      <c r="S103" s="5" t="str">
        <v>公关礼品费</v>
      </c>
      <c r="T103" s="1" t="str">
        <v>品牌运营中心</v>
      </c>
      <c r="U103" s="1" t="str">
        <v>市场广告推广部</v>
      </c>
      <c r="V103" s="1" t="str">
        <v>达播2部</v>
      </c>
      <c r="W103" s="3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A104" s="7" t="str">
        <v>直播公关费</v>
      </c>
      <c r="B104" s="5" t="str">
        <v>YXHD109</v>
      </c>
      <c r="C104" s="4" t="str">
        <v>直播公关礼-外采-淘宝其他</v>
      </c>
      <c r="D104" s="1" t="str">
        <v>品牌营销直播专项</v>
      </c>
      <c r="E104" s="1" t="str">
        <v>BD公关费-淘宝其他</v>
      </c>
      <c r="F104" s="5" t="str">
        <v>启用</v>
      </c>
      <c r="G104" s="5" t="str">
        <v>否</v>
      </c>
      <c r="H104" s="8"/>
      <c r="I104" s="8"/>
      <c r="J104" s="9"/>
      <c r="K104" s="8"/>
      <c r="L104" s="8"/>
      <c r="M104" s="5" t="str">
        <v>否</v>
      </c>
      <c r="N104" s="5" t="str">
        <v>否</v>
      </c>
      <c r="O104" s="5" t="str">
        <v>是</v>
      </c>
      <c r="P104" s="5" t="str">
        <v>是</v>
      </c>
      <c r="Q104" s="5" t="str">
        <v>营销费用</v>
      </c>
      <c r="R104" s="5" t="str">
        <v>其他费用</v>
      </c>
      <c r="S104" s="5" t="str">
        <v>公关礼品费</v>
      </c>
      <c r="T104" s="1" t="str">
        <v>品牌运营中心</v>
      </c>
      <c r="U104" s="1" t="str">
        <v>市场广告推广部</v>
      </c>
      <c r="V104" s="1" t="str">
        <v>达播2部</v>
      </c>
      <c r="W104" s="3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A105" s="7" t="str">
        <v>直播公关费</v>
      </c>
      <c r="B105" s="5" t="str">
        <v>YXHD110</v>
      </c>
      <c r="C105" s="4" t="str">
        <v>直播公关礼-外采-田恬</v>
      </c>
      <c r="D105" s="1" t="str">
        <v>品牌营销直播专项</v>
      </c>
      <c r="E105" s="1" t="str">
        <v>BD公关费-田恬</v>
      </c>
      <c r="F105" s="5" t="str">
        <v>启用</v>
      </c>
      <c r="G105" s="5" t="str">
        <v>否</v>
      </c>
      <c r="H105" s="8"/>
      <c r="I105" s="8"/>
      <c r="J105" s="9"/>
      <c r="K105" s="8"/>
      <c r="L105" s="8"/>
      <c r="M105" s="5" t="str">
        <v>否</v>
      </c>
      <c r="N105" s="5" t="str">
        <v>否</v>
      </c>
      <c r="O105" s="5" t="str">
        <v>是</v>
      </c>
      <c r="P105" s="5" t="str">
        <v>是</v>
      </c>
      <c r="Q105" s="5" t="str">
        <v>营销费用</v>
      </c>
      <c r="R105" s="5" t="str">
        <v>其他费用</v>
      </c>
      <c r="S105" s="5" t="str">
        <v>公关礼品费</v>
      </c>
      <c r="T105" s="1" t="str">
        <v>品牌运营中心</v>
      </c>
      <c r="U105" s="30" t="str">
        <v>直播运营部</v>
      </c>
      <c r="V105" s="30" t="str">
        <v>SKA达播部</v>
      </c>
      <c r="W105" s="3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A106" s="7" t="str">
        <v>直播公关费</v>
      </c>
      <c r="B106" s="5" t="str">
        <v>YXHD111</v>
      </c>
      <c r="C106" s="4" t="str">
        <v>直播公关礼-自有-达播二部</v>
      </c>
      <c r="D106" s="1" t="str">
        <v>品牌营销直播专项</v>
      </c>
      <c r="E106" s="1" t="str">
        <v>BD公关费-达播二部</v>
      </c>
      <c r="F106" s="5" t="str">
        <v>启用</v>
      </c>
      <c r="G106" s="5" t="str">
        <v>否</v>
      </c>
      <c r="H106" s="8"/>
      <c r="I106" s="8"/>
      <c r="J106" s="9"/>
      <c r="K106" s="8"/>
      <c r="L106" s="8"/>
      <c r="M106" s="5" t="str">
        <v>否</v>
      </c>
      <c r="N106" s="5" t="str">
        <v>否</v>
      </c>
      <c r="O106" s="5" t="str">
        <v>是</v>
      </c>
      <c r="P106" s="5" t="str">
        <v>是</v>
      </c>
      <c r="Q106" s="5" t="str">
        <v>营销费用</v>
      </c>
      <c r="R106" s="5" t="str">
        <v>其他费用</v>
      </c>
      <c r="S106" s="5" t="str">
        <v>公关礼品费</v>
      </c>
      <c r="T106" s="1" t="str">
        <v>品牌运营中心</v>
      </c>
      <c r="U106" s="1" t="str">
        <v>市场广告推广部</v>
      </c>
      <c r="V106" s="1" t="str">
        <v>达播2部</v>
      </c>
      <c r="W106" s="3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A107" s="7" t="str">
        <v>直播公关费</v>
      </c>
      <c r="B107" s="5" t="str">
        <v>YXHD112</v>
      </c>
      <c r="C107" s="4" t="str">
        <v>直播公关礼-自有-淘宝其他</v>
      </c>
      <c r="D107" s="1" t="str">
        <v>品牌营销直播专项</v>
      </c>
      <c r="E107" s="1" t="str">
        <v>BD公关费-淘宝其他</v>
      </c>
      <c r="F107" s="5" t="str">
        <v>启用</v>
      </c>
      <c r="G107" s="5" t="str">
        <v>否</v>
      </c>
      <c r="H107" s="8"/>
      <c r="I107" s="8"/>
      <c r="J107" s="9"/>
      <c r="K107" s="8"/>
      <c r="L107" s="8"/>
      <c r="M107" s="5" t="str">
        <v>否</v>
      </c>
      <c r="N107" s="5" t="str">
        <v>否</v>
      </c>
      <c r="O107" s="5" t="str">
        <v>是</v>
      </c>
      <c r="P107" s="5" t="str">
        <v>是</v>
      </c>
      <c r="Q107" s="5" t="str">
        <v>营销费用</v>
      </c>
      <c r="R107" s="5" t="str">
        <v>其他费用</v>
      </c>
      <c r="S107" s="5" t="str">
        <v>公关礼品费</v>
      </c>
      <c r="T107" s="1" t="str">
        <v>品牌运营中心</v>
      </c>
      <c r="U107" s="1" t="str">
        <v>市场广告推广部</v>
      </c>
      <c r="V107" s="1" t="str">
        <v>达播2部</v>
      </c>
      <c r="W107" s="3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A108" s="7" t="str">
        <v>直播公关费</v>
      </c>
      <c r="B108" s="5" t="str">
        <v>YXHD113</v>
      </c>
      <c r="C108" s="4" t="str">
        <v>直播公关礼-自有-田恬</v>
      </c>
      <c r="D108" s="1" t="str">
        <v>品牌营销直播专项</v>
      </c>
      <c r="E108" s="1" t="str">
        <v>BD公关费-田恬</v>
      </c>
      <c r="F108" s="5" t="str">
        <v>启用</v>
      </c>
      <c r="G108" s="5" t="str">
        <v>否</v>
      </c>
      <c r="H108" s="8"/>
      <c r="I108" s="8"/>
      <c r="J108" s="9"/>
      <c r="K108" s="8"/>
      <c r="L108" s="8"/>
      <c r="M108" s="5" t="str">
        <v>否</v>
      </c>
      <c r="N108" s="5" t="str">
        <v>否</v>
      </c>
      <c r="O108" s="5" t="str">
        <v>是</v>
      </c>
      <c r="P108" s="5" t="str">
        <v>是</v>
      </c>
      <c r="Q108" s="5" t="str">
        <v>营销费用</v>
      </c>
      <c r="R108" s="5" t="str">
        <v>其他费用</v>
      </c>
      <c r="S108" s="5" t="str">
        <v>公关礼品费</v>
      </c>
      <c r="T108" s="1" t="str">
        <v>品牌运营中心</v>
      </c>
      <c r="U108" s="30" t="str">
        <v>直播运营部</v>
      </c>
      <c r="V108" s="30" t="str">
        <v>SKA达播部</v>
      </c>
      <c r="W108" s="3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A109" s="84" t="str">
        <v>品牌营销-跨中心协同</v>
      </c>
      <c r="B109" s="80" t="str">
        <v>YXHD114</v>
      </c>
      <c r="C109" s="82" t="str">
        <v>项目推广协同</v>
      </c>
      <c r="D109" s="83" t="str">
        <v>品牌运营其他</v>
      </c>
      <c r="E109" s="83" t="str">
        <v>市场价值营销</v>
      </c>
      <c r="F109" s="5" t="str">
        <v>启用</v>
      </c>
      <c r="G109" s="80" t="str">
        <v>否</v>
      </c>
      <c r="H109" s="42"/>
      <c r="I109" s="42"/>
      <c r="J109" s="48"/>
      <c r="K109" s="42"/>
      <c r="L109" s="42"/>
      <c r="M109" s="80" t="str">
        <v>否</v>
      </c>
      <c r="N109" s="80" t="str">
        <v>否</v>
      </c>
      <c r="O109" s="80" t="str">
        <v>否</v>
      </c>
      <c r="P109" s="80" t="str">
        <v>否</v>
      </c>
      <c r="Q109" s="80" t="str">
        <v>营销费用</v>
      </c>
      <c r="R109" s="12" t="str">
        <v>内容制作费</v>
      </c>
      <c r="S109" s="12" t="str">
        <v>视频制作费</v>
      </c>
      <c r="T109" s="83" t="str">
        <v>品牌运营中心</v>
      </c>
      <c r="U109" s="83" t="str">
        <v>市场广告推广部</v>
      </c>
      <c r="V109" s="83" t="str">
        <v>市场推广部</v>
      </c>
      <c r="W109" s="81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</row>
    <row r="110">
      <c r="A110" s="18" t="str">
        <v>天猫站外推广</v>
      </c>
      <c r="B110" s="5" t="str">
        <v>YXHD115</v>
      </c>
      <c r="C110" s="1" t="str">
        <v>AD信息流</v>
      </c>
      <c r="D110" s="1" t="str">
        <v>平台电商推广</v>
      </c>
      <c r="E110" s="1" t="str">
        <v>竞价信息流-天猫</v>
      </c>
      <c r="F110" s="5" t="str">
        <v>启用</v>
      </c>
      <c r="G110" s="5" t="str">
        <v>是</v>
      </c>
      <c r="H110" s="8" t="str">
        <v>天猫花西子旗舰店</v>
      </c>
      <c r="I110" s="8" t="str">
        <v>DP015</v>
      </c>
      <c r="J110" s="9" t="str">
        <v>天猫</v>
      </c>
      <c r="K110" s="8" t="str">
        <v>天猫货架</v>
      </c>
      <c r="L110" s="8" t="str">
        <v>天猫货架</v>
      </c>
      <c r="M110" s="5" t="str">
        <v>是</v>
      </c>
      <c r="N110" s="5" t="str">
        <v>否</v>
      </c>
      <c r="O110" s="5" t="str">
        <v>否</v>
      </c>
      <c r="P110" s="5" t="str">
        <v>否</v>
      </c>
      <c r="Q110" s="5" t="str">
        <v>营销费用</v>
      </c>
      <c r="R110" s="5" t="str">
        <v>渠道推广费</v>
      </c>
      <c r="S110" s="5" t="str">
        <v>站外推广费</v>
      </c>
      <c r="T110" s="1" t="str">
        <v>品牌运营中心</v>
      </c>
      <c r="U110" s="1" t="str">
        <v>天猫运营部</v>
      </c>
      <c r="V110" s="1" t="str">
        <v>推广中心组</v>
      </c>
      <c r="W110" s="3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A111" s="4" t="str">
        <v>天猫站外推广</v>
      </c>
      <c r="B111" s="5" t="str">
        <v>YXHD116</v>
      </c>
      <c r="C111" s="1" t="str">
        <v>UD信息流</v>
      </c>
      <c r="D111" s="1" t="str">
        <v>平台电商推广</v>
      </c>
      <c r="E111" s="1" t="str">
        <v>竞价信息流-天猫</v>
      </c>
      <c r="F111" s="5" t="str">
        <v>启用</v>
      </c>
      <c r="G111" s="5" t="str">
        <v>是</v>
      </c>
      <c r="H111" s="8" t="str">
        <v>天猫花西子旗舰店</v>
      </c>
      <c r="I111" s="8" t="str">
        <v>DP015</v>
      </c>
      <c r="J111" s="9" t="str">
        <v>天猫</v>
      </c>
      <c r="K111" s="8" t="str">
        <v>天猫货架</v>
      </c>
      <c r="L111" s="8" t="str">
        <v>天猫货架</v>
      </c>
      <c r="M111" s="5" t="str">
        <v>是</v>
      </c>
      <c r="N111" s="5" t="str">
        <v>否</v>
      </c>
      <c r="O111" s="5" t="str">
        <v>否</v>
      </c>
      <c r="P111" s="5" t="str">
        <v>否</v>
      </c>
      <c r="Q111" s="5" t="str">
        <v>营销费用</v>
      </c>
      <c r="R111" s="5" t="str">
        <v>渠道推广费</v>
      </c>
      <c r="S111" s="5" t="str">
        <v>站外推广费</v>
      </c>
      <c r="T111" s="1" t="str">
        <v>品牌运营中心</v>
      </c>
      <c r="U111" s="1" t="str">
        <v>天猫运营部</v>
      </c>
      <c r="V111" s="1" t="str">
        <v>推广中心组</v>
      </c>
      <c r="W111" s="3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customHeight="true" ht="20" r="112">
      <c r="A112" s="4" t="str">
        <v>天猫站外推广</v>
      </c>
      <c r="B112" s="5" t="str">
        <v>YXHD154</v>
      </c>
      <c r="C112" s="78" t="str">
        <v>微信-ADQ推广</v>
      </c>
      <c r="D112" s="1" t="str">
        <v>平台电商推广</v>
      </c>
      <c r="E112" s="1" t="str">
        <v>竞价信息流-天猫</v>
      </c>
      <c r="F112" s="5" t="str">
        <v>启用</v>
      </c>
      <c r="G112" s="5" t="str">
        <v>是</v>
      </c>
      <c r="H112" s="8" t="str">
        <v>天猫花西子旗舰店</v>
      </c>
      <c r="I112" s="8" t="str">
        <v>DP015</v>
      </c>
      <c r="J112" s="9" t="str">
        <v>天猫</v>
      </c>
      <c r="K112" s="8" t="str">
        <v>天猫货架</v>
      </c>
      <c r="L112" s="8" t="str">
        <v>天猫货架</v>
      </c>
      <c r="M112" s="5" t="str">
        <v>是</v>
      </c>
      <c r="N112" s="5" t="str">
        <v>否</v>
      </c>
      <c r="O112" s="5" t="str">
        <v>否</v>
      </c>
      <c r="P112" s="5" t="str">
        <v>否</v>
      </c>
      <c r="Q112" s="5" t="str">
        <v>营销费用</v>
      </c>
      <c r="R112" s="5" t="str">
        <v>渠道推广费</v>
      </c>
      <c r="S112" s="5" t="str">
        <v>站外推广费</v>
      </c>
      <c r="T112" s="1" t="str">
        <v>品牌运营中心</v>
      </c>
      <c r="U112" s="1" t="str">
        <v>天猫运营部</v>
      </c>
      <c r="V112" s="1" t="str">
        <v>推广中心组</v>
      </c>
      <c r="W112" s="3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A113" s="7" t="str">
        <v>天猫站外推广</v>
      </c>
      <c r="B113" s="5" t="str">
        <v>YXHD117</v>
      </c>
      <c r="C113" s="4" t="str">
        <v>百度SEO竞价广告</v>
      </c>
      <c r="D113" s="1" t="str">
        <v>平台电商推广</v>
      </c>
      <c r="E113" s="1" t="str">
        <v>竞价信息流-天猫</v>
      </c>
      <c r="F113" s="5" t="str">
        <v>启用</v>
      </c>
      <c r="G113" s="5" t="str">
        <v>是</v>
      </c>
      <c r="H113" s="8" t="str">
        <v>天猫花西子旗舰店</v>
      </c>
      <c r="I113" s="8" t="str">
        <v>DP015</v>
      </c>
      <c r="J113" s="9" t="str">
        <v>天猫</v>
      </c>
      <c r="K113" s="8" t="str">
        <v>天猫货架</v>
      </c>
      <c r="L113" s="8" t="str">
        <v>天猫货架</v>
      </c>
      <c r="M113" s="5" t="str">
        <v>否</v>
      </c>
      <c r="N113" s="5" t="str">
        <v>否</v>
      </c>
      <c r="O113" s="5" t="str">
        <v>否</v>
      </c>
      <c r="P113" s="5" t="str">
        <v>否</v>
      </c>
      <c r="Q113" s="5" t="str">
        <v>营销费用</v>
      </c>
      <c r="R113" s="5" t="str">
        <v>渠道推广费</v>
      </c>
      <c r="S113" s="5" t="str">
        <v>站外推广费</v>
      </c>
      <c r="T113" s="1" t="str">
        <v>品牌运营中心</v>
      </c>
      <c r="U113" s="1" t="str">
        <v>天猫运营部</v>
      </c>
      <c r="V113" s="1" t="str">
        <v>推广中心组</v>
      </c>
      <c r="W113" s="3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>
      <c r="A114" s="7" t="str">
        <v>天猫站外推广</v>
      </c>
      <c r="B114" s="5" t="str">
        <v>YXHD118</v>
      </c>
      <c r="C114" s="4" t="str">
        <v>百度SEO搜索广告</v>
      </c>
      <c r="D114" s="1" t="str">
        <v>平台电商推广</v>
      </c>
      <c r="E114" s="1" t="str">
        <v>竞价信息流-天猫</v>
      </c>
      <c r="F114" s="5" t="str">
        <v>启用</v>
      </c>
      <c r="G114" s="5" t="str">
        <v>是</v>
      </c>
      <c r="H114" s="8" t="str">
        <v>天猫花西子旗舰店</v>
      </c>
      <c r="I114" s="8" t="str">
        <v>DP015</v>
      </c>
      <c r="J114" s="9" t="str">
        <v>天猫</v>
      </c>
      <c r="K114" s="8" t="str">
        <v>天猫货架</v>
      </c>
      <c r="L114" s="8" t="str">
        <v>天猫货架</v>
      </c>
      <c r="M114" s="5" t="str">
        <v>否</v>
      </c>
      <c r="N114" s="5" t="str">
        <v>否</v>
      </c>
      <c r="O114" s="5" t="str">
        <v>否</v>
      </c>
      <c r="P114" s="5" t="str">
        <v>否</v>
      </c>
      <c r="Q114" s="5" t="str">
        <v>营销费用</v>
      </c>
      <c r="R114" s="5" t="str">
        <v>渠道推广费</v>
      </c>
      <c r="S114" s="5" t="str">
        <v>站外推广费</v>
      </c>
      <c r="T114" s="1" t="str">
        <v>品牌运营中心</v>
      </c>
      <c r="U114" s="1" t="str">
        <v>天猫运营部</v>
      </c>
      <c r="V114" s="1" t="str">
        <v>推广中心组</v>
      </c>
      <c r="W114" s="3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A115" s="18" t="str">
        <v>天猫站外推广</v>
      </c>
      <c r="B115" s="5" t="str">
        <v>YXHD119</v>
      </c>
      <c r="C115" s="1" t="str">
        <v>磁力引擎</v>
      </c>
      <c r="D115" s="1" t="str">
        <v>平台电商推广</v>
      </c>
      <c r="E115" s="1" t="str">
        <v>竞价信息流-天猫</v>
      </c>
      <c r="F115" s="5" t="str">
        <v>启用</v>
      </c>
      <c r="G115" s="5" t="str">
        <v>是</v>
      </c>
      <c r="H115" s="8" t="str">
        <v>天猫花西子旗舰店</v>
      </c>
      <c r="I115" s="8" t="str">
        <v>DP015</v>
      </c>
      <c r="J115" s="9" t="str">
        <v>天猫</v>
      </c>
      <c r="K115" s="8" t="str">
        <v>天猫货架</v>
      </c>
      <c r="L115" s="8" t="str">
        <v>天猫货架</v>
      </c>
      <c r="M115" s="5" t="str">
        <v>是</v>
      </c>
      <c r="N115" s="5" t="str">
        <v>否</v>
      </c>
      <c r="O115" s="5" t="str">
        <v>否</v>
      </c>
      <c r="P115" s="5" t="str">
        <v>否</v>
      </c>
      <c r="Q115" s="5" t="str">
        <v>营销费用</v>
      </c>
      <c r="R115" s="5" t="str">
        <v>渠道推广费</v>
      </c>
      <c r="S115" s="5" t="str">
        <v>站外推广费</v>
      </c>
      <c r="T115" s="1" t="str">
        <v>品牌运营中心</v>
      </c>
      <c r="U115" s="1" t="str">
        <v>天猫运营部</v>
      </c>
      <c r="V115" s="1" t="str">
        <v>推广中心组</v>
      </c>
      <c r="W115" s="3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A116" s="7" t="str">
        <v>京东渠道推广-POP</v>
      </c>
      <c r="B116" s="5" t="str">
        <v>YXHD120</v>
      </c>
      <c r="C116" s="4" t="str">
        <v>京东POP-合约展位</v>
      </c>
      <c r="D116" s="1" t="str">
        <v>平台电商推广</v>
      </c>
      <c r="E116" s="1" t="str">
        <v>京东渠道推广（POP）</v>
      </c>
      <c r="F116" s="5" t="str">
        <v>启用</v>
      </c>
      <c r="G116" s="5" t="str">
        <v>是</v>
      </c>
      <c r="H116" s="8" t="str">
        <v>京东花西子旗舰店</v>
      </c>
      <c r="I116" s="8" t="str">
        <v>DP002</v>
      </c>
      <c r="J116" s="9" t="str">
        <v>京东</v>
      </c>
      <c r="K116" s="8" t="str">
        <v>京东花西子旗舰店</v>
      </c>
      <c r="L116" s="8" t="str">
        <v>京东花西子旗舰店</v>
      </c>
      <c r="M116" s="5" t="str">
        <v>否</v>
      </c>
      <c r="N116" s="5" t="str">
        <v>否</v>
      </c>
      <c r="O116" s="5" t="str">
        <v>否</v>
      </c>
      <c r="P116" s="5" t="str">
        <v>否</v>
      </c>
      <c r="Q116" s="5" t="str">
        <v>营销费用</v>
      </c>
      <c r="R116" s="5" t="str">
        <v>渠道推广费</v>
      </c>
      <c r="S116" s="5" t="str">
        <v>站内推广费</v>
      </c>
      <c r="T116" s="1" t="str">
        <v>品牌运营中心</v>
      </c>
      <c r="U116" s="1" t="str">
        <v>京东部</v>
      </c>
      <c r="V116" s="1" t="str">
        <v>京东推广部</v>
      </c>
      <c r="W116" s="3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A117" s="7" t="str">
        <v>京东渠道推广-POP</v>
      </c>
      <c r="B117" s="5" t="str">
        <v>YXHD121</v>
      </c>
      <c r="C117" s="4" t="str">
        <v>京东POP-京桥</v>
      </c>
      <c r="D117" s="1" t="str">
        <v>平台电商推广</v>
      </c>
      <c r="E117" s="1" t="str">
        <v>京东渠道推广（POP）</v>
      </c>
      <c r="F117" s="5" t="str">
        <v>启用</v>
      </c>
      <c r="G117" s="5" t="str">
        <v>是</v>
      </c>
      <c r="H117" s="8" t="str">
        <v>京东花西子旗舰店</v>
      </c>
      <c r="I117" s="8" t="str">
        <v>DP002</v>
      </c>
      <c r="J117" s="9" t="str">
        <v>京东</v>
      </c>
      <c r="K117" s="8" t="str">
        <v>京东花西子旗舰店</v>
      </c>
      <c r="L117" s="8" t="str">
        <v>京东花西子旗舰店</v>
      </c>
      <c r="M117" s="5" t="str">
        <v>否</v>
      </c>
      <c r="N117" s="5" t="str">
        <v>否</v>
      </c>
      <c r="O117" s="5" t="str">
        <v>否</v>
      </c>
      <c r="P117" s="5" t="str">
        <v>否</v>
      </c>
      <c r="Q117" s="5" t="str">
        <v>营销费用</v>
      </c>
      <c r="R117" s="5" t="str">
        <v>渠道推广费</v>
      </c>
      <c r="S117" s="5" t="str">
        <v>站内推广费</v>
      </c>
      <c r="T117" s="1" t="str">
        <v>品牌运营中心</v>
      </c>
      <c r="U117" s="1" t="str">
        <v>京东部</v>
      </c>
      <c r="V117" s="1" t="str">
        <v>京东推广部</v>
      </c>
      <c r="W117" s="3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A118" s="7" t="str">
        <v>京东渠道推广-POP</v>
      </c>
      <c r="B118" s="5" t="str">
        <v>YXHD122</v>
      </c>
      <c r="C118" s="4" t="str">
        <v>京东POP-京任务</v>
      </c>
      <c r="D118" s="1" t="str">
        <v>平台电商推广</v>
      </c>
      <c r="E118" s="1" t="str">
        <v>京东渠道推广（POP）</v>
      </c>
      <c r="F118" s="5" t="str">
        <v>启用</v>
      </c>
      <c r="G118" s="5" t="str">
        <v>是</v>
      </c>
      <c r="H118" s="8" t="str">
        <v>京东花西子旗舰店</v>
      </c>
      <c r="I118" s="8" t="str">
        <v>DP002</v>
      </c>
      <c r="J118" s="9" t="str">
        <v>京东</v>
      </c>
      <c r="K118" s="8" t="str">
        <v>京东花西子旗舰店</v>
      </c>
      <c r="L118" s="8" t="str">
        <v>京东花西子旗舰店</v>
      </c>
      <c r="M118" s="5" t="str">
        <v>否</v>
      </c>
      <c r="N118" s="5" t="str">
        <v>否</v>
      </c>
      <c r="O118" s="5" t="str">
        <v>否</v>
      </c>
      <c r="P118" s="5" t="str">
        <v>否</v>
      </c>
      <c r="Q118" s="5" t="str">
        <v>营销费用</v>
      </c>
      <c r="R118" s="5" t="str">
        <v>渠道推广费</v>
      </c>
      <c r="S118" s="5" t="str">
        <v>站内推广费</v>
      </c>
      <c r="T118" s="1" t="str">
        <v>品牌运营中心</v>
      </c>
      <c r="U118" s="1" t="str">
        <v>京东部</v>
      </c>
      <c r="V118" s="1" t="str">
        <v>京东推广部</v>
      </c>
      <c r="W118" s="3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A119" s="7" t="str">
        <v>京东渠道推广-POP</v>
      </c>
      <c r="B119" s="5" t="str">
        <v>YXHD123</v>
      </c>
      <c r="C119" s="4" t="str">
        <v>京东POP-京挑客</v>
      </c>
      <c r="D119" s="1" t="str">
        <v>平台电商推广</v>
      </c>
      <c r="E119" s="1" t="str">
        <v>京东渠道推广（POP）</v>
      </c>
      <c r="F119" s="5" t="str">
        <v>启用</v>
      </c>
      <c r="G119" s="5" t="str">
        <v>是</v>
      </c>
      <c r="H119" s="8" t="str">
        <v>京东花西子旗舰店</v>
      </c>
      <c r="I119" s="8" t="str">
        <v>DP002</v>
      </c>
      <c r="J119" s="9" t="str">
        <v>京东</v>
      </c>
      <c r="K119" s="8" t="str">
        <v>京东花西子旗舰店</v>
      </c>
      <c r="L119" s="8" t="str">
        <v>京东花西子旗舰店</v>
      </c>
      <c r="M119" s="5" t="str">
        <v>是</v>
      </c>
      <c r="N119" s="5" t="str">
        <v>是</v>
      </c>
      <c r="O119" s="5" t="str">
        <v>否</v>
      </c>
      <c r="P119" s="5" t="str">
        <v>否</v>
      </c>
      <c r="Q119" s="5" t="str">
        <v>营销费用</v>
      </c>
      <c r="R119" s="5" t="str">
        <v>渠道推广费</v>
      </c>
      <c r="S119" s="5" t="str">
        <v>站内推广费</v>
      </c>
      <c r="T119" s="1" t="str">
        <v>品牌运营中心</v>
      </c>
      <c r="U119" s="1" t="str">
        <v>京东部</v>
      </c>
      <c r="V119" s="1" t="str">
        <v>京东推广部</v>
      </c>
      <c r="W119" s="3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A120" s="7" t="str">
        <v>京东渠道推广-POP</v>
      </c>
      <c r="B120" s="5" t="str">
        <v>YXHD124</v>
      </c>
      <c r="C120" s="4" t="str">
        <v>京东POP-京准通常规投放</v>
      </c>
      <c r="D120" s="1" t="str">
        <v>平台电商推广</v>
      </c>
      <c r="E120" s="1" t="str">
        <v>京东渠道推广（POP）</v>
      </c>
      <c r="F120" s="5" t="str">
        <v>启用</v>
      </c>
      <c r="G120" s="5" t="str">
        <v>是</v>
      </c>
      <c r="H120" s="8" t="str">
        <v>京东花西子旗舰店</v>
      </c>
      <c r="I120" s="8" t="str">
        <v>DP002</v>
      </c>
      <c r="J120" s="9" t="str">
        <v>京东</v>
      </c>
      <c r="K120" s="8" t="str">
        <v>京东花西子旗舰店</v>
      </c>
      <c r="L120" s="8" t="str">
        <v>京东花西子旗舰店</v>
      </c>
      <c r="M120" s="5" t="str">
        <v>是</v>
      </c>
      <c r="N120" s="5" t="str">
        <v>是</v>
      </c>
      <c r="O120" s="5" t="str">
        <v>否</v>
      </c>
      <c r="P120" s="5" t="str">
        <v>否</v>
      </c>
      <c r="Q120" s="5" t="str">
        <v>营销费用</v>
      </c>
      <c r="R120" s="5" t="str">
        <v>渠道推广费</v>
      </c>
      <c r="S120" s="5" t="str">
        <v>站内推广费</v>
      </c>
      <c r="T120" s="1" t="str">
        <v>品牌运营中心</v>
      </c>
      <c r="U120" s="1" t="str">
        <v>京东部</v>
      </c>
      <c r="V120" s="1" t="str">
        <v>京东推广部</v>
      </c>
      <c r="W120" s="3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A121" s="7" t="str">
        <v>京东渠道推广-POP</v>
      </c>
      <c r="B121" s="5" t="str">
        <v>YXHD125</v>
      </c>
      <c r="C121" s="4" t="str">
        <v>京东POP-联合活动</v>
      </c>
      <c r="D121" s="1" t="str">
        <v>平台电商推广</v>
      </c>
      <c r="E121" s="1" t="str">
        <v>京东渠道推广（POP）</v>
      </c>
      <c r="F121" s="5" t="str">
        <v>启用</v>
      </c>
      <c r="G121" s="5" t="str">
        <v>是</v>
      </c>
      <c r="H121" s="8" t="str">
        <v>京东花西子旗舰店</v>
      </c>
      <c r="I121" s="8" t="str">
        <v>DP002</v>
      </c>
      <c r="J121" s="9" t="str">
        <v>京东</v>
      </c>
      <c r="K121" s="8" t="str">
        <v>京东花西子旗舰店</v>
      </c>
      <c r="L121" s="8" t="str">
        <v>京东花西子旗舰店</v>
      </c>
      <c r="M121" s="5" t="str">
        <v>否</v>
      </c>
      <c r="N121" s="5" t="str">
        <v>否</v>
      </c>
      <c r="O121" s="5" t="str">
        <v>否</v>
      </c>
      <c r="P121" s="5" t="str">
        <v>否</v>
      </c>
      <c r="Q121" s="5" t="str">
        <v>营销费用</v>
      </c>
      <c r="R121" s="5" t="str">
        <v>渠道推广费</v>
      </c>
      <c r="S121" s="5" t="str">
        <v>站内推广费</v>
      </c>
      <c r="T121" s="1" t="str">
        <v>品牌运营中心</v>
      </c>
      <c r="U121" s="1" t="str">
        <v>京东部</v>
      </c>
      <c r="V121" s="1" t="str">
        <v>京东推广部</v>
      </c>
      <c r="W121" s="3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A122" s="7" t="str">
        <v>京东渠道推广-自营</v>
      </c>
      <c r="B122" s="5" t="str">
        <v>YXHD126</v>
      </c>
      <c r="C122" s="4" t="str">
        <v>京东自播服务</v>
      </c>
      <c r="D122" s="1" t="str">
        <v>平台电商推广</v>
      </c>
      <c r="E122" s="1" t="str">
        <v>京东自播服务费</v>
      </c>
      <c r="F122" s="5" t="str">
        <v>启用</v>
      </c>
      <c r="G122" s="5" t="str">
        <v>是</v>
      </c>
      <c r="H122" s="8" t="str">
        <v>京东花西子自营店</v>
      </c>
      <c r="I122" s="8" t="str">
        <v>DP033</v>
      </c>
      <c r="J122" s="9" t="str">
        <v>京东</v>
      </c>
      <c r="K122" s="8" t="str">
        <v>京东花西子自营店</v>
      </c>
      <c r="L122" s="8" t="str">
        <v>京东花西子自营店</v>
      </c>
      <c r="M122" s="5" t="str">
        <v>否</v>
      </c>
      <c r="N122" s="5" t="str">
        <v>否</v>
      </c>
      <c r="O122" s="5" t="str">
        <v>否</v>
      </c>
      <c r="P122" s="5" t="str">
        <v>否</v>
      </c>
      <c r="Q122" s="5" t="str">
        <v>营销费用</v>
      </c>
      <c r="R122" s="5" t="str">
        <v>渠道推广费</v>
      </c>
      <c r="S122" s="5" t="str">
        <v>直播服务费</v>
      </c>
      <c r="T122" s="1" t="str">
        <v>品牌运营中心</v>
      </c>
      <c r="U122" s="1" t="str">
        <v>京东部</v>
      </c>
      <c r="V122" s="1" t="str">
        <v>京东推广部</v>
      </c>
      <c r="W122" s="3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A123" s="7" t="str">
        <v>京东渠道推广-自营</v>
      </c>
      <c r="B123" s="5" t="str">
        <v>YXHD127</v>
      </c>
      <c r="C123" s="4" t="str">
        <v>京东自营-合约展位</v>
      </c>
      <c r="D123" s="1" t="str">
        <v>平台电商推广</v>
      </c>
      <c r="E123" s="1" t="str">
        <v>京东渠道推广（自营）</v>
      </c>
      <c r="F123" s="5" t="str">
        <v>启用</v>
      </c>
      <c r="G123" s="5" t="str">
        <v>是</v>
      </c>
      <c r="H123" s="8" t="str">
        <v>京东花西子自营店</v>
      </c>
      <c r="I123" s="8" t="str">
        <v>DP033</v>
      </c>
      <c r="J123" s="9" t="str">
        <v>京东</v>
      </c>
      <c r="K123" s="8" t="str">
        <v>京东花西子自营店</v>
      </c>
      <c r="L123" s="8" t="str">
        <v>京东花西子自营店</v>
      </c>
      <c r="M123" s="5" t="str">
        <v>否</v>
      </c>
      <c r="N123" s="5" t="str">
        <v>否</v>
      </c>
      <c r="O123" s="5" t="str">
        <v>否</v>
      </c>
      <c r="P123" s="5" t="str">
        <v>否</v>
      </c>
      <c r="Q123" s="5" t="str">
        <v>营销费用</v>
      </c>
      <c r="R123" s="5" t="str">
        <v>渠道推广费</v>
      </c>
      <c r="S123" s="5" t="str">
        <v>站内推广费</v>
      </c>
      <c r="T123" s="1" t="str">
        <v>品牌运营中心</v>
      </c>
      <c r="U123" s="1" t="str">
        <v>京东部</v>
      </c>
      <c r="V123" s="1" t="str">
        <v>京东推广部</v>
      </c>
      <c r="W123" s="3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A124" s="7" t="str">
        <v>京东渠道推广-自营</v>
      </c>
      <c r="B124" s="5" t="str">
        <v>YXHD128</v>
      </c>
      <c r="C124" s="4" t="str">
        <v>京东自营-京桥</v>
      </c>
      <c r="D124" s="1" t="str">
        <v>平台电商推广</v>
      </c>
      <c r="E124" s="1" t="str">
        <v>京东渠道推广（自营）</v>
      </c>
      <c r="F124" s="5" t="str">
        <v>启用</v>
      </c>
      <c r="G124" s="5" t="str">
        <v>是</v>
      </c>
      <c r="H124" s="8" t="str">
        <v>京东花西子自营店</v>
      </c>
      <c r="I124" s="8" t="str">
        <v>DP033</v>
      </c>
      <c r="J124" s="9" t="str">
        <v>京东</v>
      </c>
      <c r="K124" s="8" t="str">
        <v>京东花西子自营店</v>
      </c>
      <c r="L124" s="8" t="str">
        <v>京东花西子自营店</v>
      </c>
      <c r="M124" s="5" t="str">
        <v>否</v>
      </c>
      <c r="N124" s="5" t="str">
        <v>否</v>
      </c>
      <c r="O124" s="5" t="str">
        <v>否</v>
      </c>
      <c r="P124" s="5" t="str">
        <v>否</v>
      </c>
      <c r="Q124" s="5" t="str">
        <v>营销费用</v>
      </c>
      <c r="R124" s="5" t="str">
        <v>渠道推广费</v>
      </c>
      <c r="S124" s="5" t="str">
        <v>站内推广费</v>
      </c>
      <c r="T124" s="1" t="str">
        <v>品牌运营中心</v>
      </c>
      <c r="U124" s="1" t="str">
        <v>京东部</v>
      </c>
      <c r="V124" s="1" t="str">
        <v>京东推广部</v>
      </c>
      <c r="W124" s="3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A125" s="7" t="str">
        <v>京东渠道推广-自营</v>
      </c>
      <c r="B125" s="5" t="str">
        <v>YXHD129</v>
      </c>
      <c r="C125" s="4" t="str">
        <v>京东自营-京任务</v>
      </c>
      <c r="D125" s="1" t="str">
        <v>平台电商推广</v>
      </c>
      <c r="E125" s="1" t="str">
        <v>京东渠道推广（自营）</v>
      </c>
      <c r="F125" s="5" t="str">
        <v>启用</v>
      </c>
      <c r="G125" s="5" t="str">
        <v>是</v>
      </c>
      <c r="H125" s="8" t="str">
        <v>京东花西子自营店</v>
      </c>
      <c r="I125" s="8" t="str">
        <v>DP033</v>
      </c>
      <c r="J125" s="9" t="str">
        <v>京东</v>
      </c>
      <c r="K125" s="8" t="str">
        <v>京东花西子自营店</v>
      </c>
      <c r="L125" s="8" t="str">
        <v>京东花西子自营店</v>
      </c>
      <c r="M125" s="5" t="str">
        <v>否</v>
      </c>
      <c r="N125" s="5" t="str">
        <v>否</v>
      </c>
      <c r="O125" s="5" t="str">
        <v>否</v>
      </c>
      <c r="P125" s="5" t="str">
        <v>否</v>
      </c>
      <c r="Q125" s="5" t="str">
        <v>营销费用</v>
      </c>
      <c r="R125" s="5" t="str">
        <v>渠道推广费</v>
      </c>
      <c r="S125" s="5" t="str">
        <v>站内推广费</v>
      </c>
      <c r="T125" s="1" t="str">
        <v>品牌运营中心</v>
      </c>
      <c r="U125" s="1" t="str">
        <v>京东部</v>
      </c>
      <c r="V125" s="1" t="str">
        <v>京东推广部</v>
      </c>
      <c r="W125" s="3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A126" s="7" t="str">
        <v>京东渠道推广-自营</v>
      </c>
      <c r="B126" s="5" t="str">
        <v>YXHD130</v>
      </c>
      <c r="C126" s="4" t="str">
        <v>京东自营-京挑客</v>
      </c>
      <c r="D126" s="1" t="str">
        <v>平台电商推广</v>
      </c>
      <c r="E126" s="1" t="str">
        <v>京东渠道推广（自营）</v>
      </c>
      <c r="F126" s="5" t="str">
        <v>启用</v>
      </c>
      <c r="G126" s="5" t="str">
        <v>是</v>
      </c>
      <c r="H126" s="8" t="str">
        <v>京东花西子自营店</v>
      </c>
      <c r="I126" s="8" t="str">
        <v>DP033</v>
      </c>
      <c r="J126" s="9" t="str">
        <v>京东</v>
      </c>
      <c r="K126" s="8" t="str">
        <v>京东花西子自营店</v>
      </c>
      <c r="L126" s="8" t="str">
        <v>京东花西子自营店</v>
      </c>
      <c r="M126" s="5" t="str">
        <v>是</v>
      </c>
      <c r="N126" s="5" t="str">
        <v>是</v>
      </c>
      <c r="O126" s="5" t="str">
        <v>否</v>
      </c>
      <c r="P126" s="5" t="str">
        <v>否</v>
      </c>
      <c r="Q126" s="5" t="str">
        <v>营销费用</v>
      </c>
      <c r="R126" s="5" t="str">
        <v>渠道推广费</v>
      </c>
      <c r="S126" s="5" t="str">
        <v>站内推广费</v>
      </c>
      <c r="T126" s="1" t="str">
        <v>品牌运营中心</v>
      </c>
      <c r="U126" s="1" t="str">
        <v>京东部</v>
      </c>
      <c r="V126" s="1" t="str">
        <v>京东推广部</v>
      </c>
      <c r="W126" s="3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A127" s="7" t="str">
        <v>京东渠道推广-自营</v>
      </c>
      <c r="B127" s="5" t="str">
        <v>YXHD131</v>
      </c>
      <c r="C127" s="4" t="str">
        <v>京东自营-京准通常规投放</v>
      </c>
      <c r="D127" s="1" t="str">
        <v>平台电商推广</v>
      </c>
      <c r="E127" s="1" t="str">
        <v>京东渠道推广（自营）</v>
      </c>
      <c r="F127" s="5" t="str">
        <v>启用</v>
      </c>
      <c r="G127" s="5" t="str">
        <v>是</v>
      </c>
      <c r="H127" s="8" t="str">
        <v>京东花西子自营店</v>
      </c>
      <c r="I127" s="8" t="str">
        <v>DP033</v>
      </c>
      <c r="J127" s="9" t="str">
        <v>京东</v>
      </c>
      <c r="K127" s="8" t="str">
        <v>京东花西子自营店</v>
      </c>
      <c r="L127" s="8" t="str">
        <v>京东花西子自营店</v>
      </c>
      <c r="M127" s="31" t="str">
        <v>是</v>
      </c>
      <c r="N127" s="31" t="str">
        <v>是</v>
      </c>
      <c r="O127" s="5" t="str">
        <v>否</v>
      </c>
      <c r="P127" s="5" t="str">
        <v>否</v>
      </c>
      <c r="Q127" s="5" t="str">
        <v>营销费用</v>
      </c>
      <c r="R127" s="5" t="str">
        <v>渠道推广费</v>
      </c>
      <c r="S127" s="5" t="str">
        <v>站内推广费</v>
      </c>
      <c r="T127" s="1" t="str">
        <v>品牌运营中心</v>
      </c>
      <c r="U127" s="1" t="str">
        <v>京东部</v>
      </c>
      <c r="V127" s="1" t="str">
        <v>京东推广部</v>
      </c>
      <c r="W127" s="3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A128" s="7" t="str">
        <v>京东渠道推广-自营</v>
      </c>
      <c r="B128" s="5" t="str">
        <v>YXHD132</v>
      </c>
      <c r="C128" s="4" t="str">
        <v>京东自营-联合活动</v>
      </c>
      <c r="D128" s="1" t="str">
        <v>平台电商推广</v>
      </c>
      <c r="E128" s="1" t="str">
        <v>京东渠道推广（自营）</v>
      </c>
      <c r="F128" s="5" t="str">
        <v>启用</v>
      </c>
      <c r="G128" s="5" t="str">
        <v>是</v>
      </c>
      <c r="H128" s="8" t="str">
        <v>京东花西子自营店</v>
      </c>
      <c r="I128" s="8" t="str">
        <v>DP033</v>
      </c>
      <c r="J128" s="9" t="str">
        <v>京东</v>
      </c>
      <c r="K128" s="8" t="str">
        <v>京东花西子自营店</v>
      </c>
      <c r="L128" s="8" t="str">
        <v>京东花西子自营店</v>
      </c>
      <c r="M128" s="5" t="str">
        <v>否</v>
      </c>
      <c r="N128" s="5" t="str">
        <v>否</v>
      </c>
      <c r="O128" s="5" t="str">
        <v>否</v>
      </c>
      <c r="P128" s="5" t="str">
        <v>否</v>
      </c>
      <c r="Q128" s="5" t="str">
        <v>营销费用</v>
      </c>
      <c r="R128" s="5" t="str">
        <v>渠道推广费</v>
      </c>
      <c r="S128" s="5" t="str">
        <v>站内推广费</v>
      </c>
      <c r="T128" s="1" t="str">
        <v>品牌运营中心</v>
      </c>
      <c r="U128" s="1" t="str">
        <v>京东部</v>
      </c>
      <c r="V128" s="1" t="str">
        <v>京东推广部</v>
      </c>
      <c r="W128" s="3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A129" s="7" t="str">
        <v>拼多多渠道推广</v>
      </c>
      <c r="B129" s="5" t="str">
        <v>YXHD133</v>
      </c>
      <c r="C129" s="4" t="str">
        <v>拼多多-联合投放</v>
      </c>
      <c r="D129" s="1" t="str">
        <v>平台电商推广</v>
      </c>
      <c r="E129" s="1" t="str">
        <v>拼多多渠道推广</v>
      </c>
      <c r="F129" s="5" t="str">
        <v>启用</v>
      </c>
      <c r="G129" s="5" t="str">
        <v>是</v>
      </c>
      <c r="H129" s="64" t="str">
        <v>拼多多花西子专卖店
 拼多多花西子匠泽店
 拼多多花西子美妆专卖店
 拼多多花西子美妆旗舰店</v>
      </c>
      <c r="I129" s="8"/>
      <c r="J129" s="65" t="str">
        <v>拼多多</v>
      </c>
      <c r="K129" s="64" t="str">
        <v>拼多多花西子专卖店
 拼多多花西子匠泽店
 拼多多花西子美妆专卖店
 拼多多花西子美妆旗舰店</v>
      </c>
      <c r="L129" s="64" t="str">
        <v>拼多多花西子专卖店
 拼多多花西子匠泽店
 拼多多花西子美妆专卖店
 拼多多花西子美妆旗舰店</v>
      </c>
      <c r="M129" s="31" t="str">
        <v>是</v>
      </c>
      <c r="N129" s="31" t="str">
        <v>是</v>
      </c>
      <c r="O129" s="5" t="str">
        <v>否</v>
      </c>
      <c r="P129" s="5" t="str">
        <v>否</v>
      </c>
      <c r="Q129" s="5" t="str">
        <v>营销费用</v>
      </c>
      <c r="R129" s="5" t="str">
        <v>渠道推广费</v>
      </c>
      <c r="S129" s="5" t="str">
        <v>站内推广费</v>
      </c>
      <c r="T129" s="1" t="str">
        <v>品牌运营中心</v>
      </c>
      <c r="U129" s="1" t="str">
        <v>综合渠道运营部</v>
      </c>
      <c r="V129" s="1" t="str">
        <v>拼多多部</v>
      </c>
      <c r="W129" s="3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A130" s="8" t="str">
        <v>拼多多渠道推广</v>
      </c>
      <c r="B130" s="5" t="str">
        <v>YXHD134</v>
      </c>
      <c r="C130" s="4" t="str">
        <v>拼多多-常规投放</v>
      </c>
      <c r="D130" s="1" t="str">
        <v>平台电商推广</v>
      </c>
      <c r="E130" s="1" t="str">
        <v>拼多多渠道推广</v>
      </c>
      <c r="F130" s="5" t="str">
        <v>启用</v>
      </c>
      <c r="G130" s="5" t="str">
        <v>是</v>
      </c>
      <c r="H130" s="64" t="str">
        <v>拼多多花西子专卖店
 拼多多花西子匠泽店
 拼多多花西子美妆专卖店
 拼多多花西子美妆旗舰店</v>
      </c>
      <c r="I130" s="8"/>
      <c r="J130" s="65" t="str">
        <v>拼多多</v>
      </c>
      <c r="K130" s="64" t="str">
        <v>拼多多花西子专卖店
 拼多多花西子匠泽店
 拼多多花西子美妆专卖店
 拼多多花西子美妆旗舰店</v>
      </c>
      <c r="L130" s="64" t="str">
        <v>拼多多花西子专卖店
 拼多多花西子匠泽店
 拼多多花西子美妆专卖店
 拼多多花西子美妆旗舰店</v>
      </c>
      <c r="M130" s="31" t="str">
        <v>是</v>
      </c>
      <c r="N130" s="31" t="str" xml:space="preserve">
        <v> 是</v>
      </c>
      <c r="O130" s="5" t="str">
        <v>否</v>
      </c>
      <c r="P130" s="5" t="str">
        <v>否</v>
      </c>
      <c r="Q130" s="5" t="str">
        <v>营销费用</v>
      </c>
      <c r="R130" s="5" t="str">
        <v>渠道推广费</v>
      </c>
      <c r="S130" s="5" t="str">
        <v>站内推广费</v>
      </c>
      <c r="T130" s="1" t="str">
        <v>品牌运营中心</v>
      </c>
      <c r="U130" s="1" t="str">
        <v>综合渠道运营部</v>
      </c>
      <c r="V130" s="1" t="str">
        <v>拼多多部</v>
      </c>
      <c r="W130" s="3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A131" s="20" t="str">
        <v>淘宝客</v>
      </c>
      <c r="B131" s="19" t="str">
        <v>YXHD135</v>
      </c>
      <c r="C131" s="23" t="str">
        <v>淘宝客-其他挂链</v>
      </c>
      <c r="D131" s="23" t="str">
        <v>平台电商推广</v>
      </c>
      <c r="E131" s="23" t="str">
        <v>淘内-淘宝客</v>
      </c>
      <c r="F131" s="5" t="str">
        <v>启用</v>
      </c>
      <c r="G131" s="19" t="str">
        <v>是</v>
      </c>
      <c r="H131" s="8" t="str">
        <v>天猫花西子旗舰店</v>
      </c>
      <c r="I131" s="8" t="str">
        <v>DP015</v>
      </c>
      <c r="J131" s="9" t="str">
        <v>天猫</v>
      </c>
      <c r="K131" s="8"/>
      <c r="L131" s="8"/>
      <c r="M131" s="19"/>
      <c r="N131" s="19"/>
      <c r="O131" s="19"/>
      <c r="P131" s="19"/>
      <c r="Q131" s="19" t="str">
        <v>营销费用</v>
      </c>
      <c r="R131" s="19" t="str">
        <v>渠道推广费</v>
      </c>
      <c r="S131" s="19" t="str">
        <v>站内推广费</v>
      </c>
      <c r="T131" s="23" t="str">
        <v>品牌运营中心</v>
      </c>
      <c r="U131" s="23"/>
      <c r="V131" s="23"/>
      <c r="W131" s="21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</row>
    <row r="132">
      <c r="A132" s="7" t="str">
        <v>天猫站内推广</v>
      </c>
      <c r="B132" s="5" t="str">
        <v>YXHD136</v>
      </c>
      <c r="C132" s="4" t="str">
        <v>天猫-超级互动城</v>
      </c>
      <c r="D132" s="1" t="str">
        <v>平台电商推广</v>
      </c>
      <c r="E132" s="1" t="str">
        <v>淘内-推广</v>
      </c>
      <c r="F132" s="5" t="str">
        <v>启用</v>
      </c>
      <c r="G132" s="5" t="str">
        <v>是</v>
      </c>
      <c r="H132" s="8" t="str">
        <v>天猫花西子旗舰店</v>
      </c>
      <c r="I132" s="8" t="str">
        <v>DP015</v>
      </c>
      <c r="J132" s="9" t="str">
        <v>天猫</v>
      </c>
      <c r="K132" s="8" t="str">
        <v>天猫货架</v>
      </c>
      <c r="L132" s="8" t="str">
        <v>天猫货架</v>
      </c>
      <c r="M132" s="5" t="str">
        <v>否</v>
      </c>
      <c r="N132" s="5" t="str">
        <v>否</v>
      </c>
      <c r="O132" s="5" t="str">
        <v>否</v>
      </c>
      <c r="P132" s="5" t="str">
        <v>否</v>
      </c>
      <c r="Q132" s="5" t="str">
        <v>营销费用</v>
      </c>
      <c r="R132" s="5" t="str">
        <v>渠道推广费</v>
      </c>
      <c r="S132" s="5" t="str">
        <v>站内推广费</v>
      </c>
      <c r="T132" s="1" t="str">
        <v>品牌运营中心</v>
      </c>
      <c r="U132" s="1" t="str">
        <v>天猫运营部</v>
      </c>
      <c r="V132" s="1" t="str">
        <v>推广中心组</v>
      </c>
      <c r="W132" s="3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A133" s="7" t="str">
        <v>天猫站内推广</v>
      </c>
      <c r="B133" s="5" t="str">
        <v>YXHD137</v>
      </c>
      <c r="C133" s="4" t="str">
        <v>天猫-互动城</v>
      </c>
      <c r="D133" s="1" t="str">
        <v>平台电商推广</v>
      </c>
      <c r="E133" s="1" t="str">
        <v>淘内-推广</v>
      </c>
      <c r="F133" s="5" t="str">
        <v>启用</v>
      </c>
      <c r="G133" s="5" t="str">
        <v>是</v>
      </c>
      <c r="H133" s="8" t="str">
        <v>天猫花西子旗舰店</v>
      </c>
      <c r="I133" s="8" t="str">
        <v>DP015</v>
      </c>
      <c r="J133" s="9" t="str">
        <v>天猫</v>
      </c>
      <c r="K133" s="8" t="str">
        <v>天猫货架</v>
      </c>
      <c r="L133" s="8" t="str">
        <v>天猫货架</v>
      </c>
      <c r="M133" s="5" t="str">
        <v>否</v>
      </c>
      <c r="N133" s="5" t="str">
        <v>否</v>
      </c>
      <c r="O133" s="5" t="str">
        <v>否</v>
      </c>
      <c r="P133" s="5" t="str">
        <v>否</v>
      </c>
      <c r="Q133" s="5" t="str">
        <v>营销费用</v>
      </c>
      <c r="R133" s="5" t="str">
        <v>渠道推广费</v>
      </c>
      <c r="S133" s="5" t="str">
        <v>站内推广费</v>
      </c>
      <c r="T133" s="1" t="str">
        <v>品牌运营中心</v>
      </c>
      <c r="U133" s="1" t="str">
        <v>天猫运营部</v>
      </c>
      <c r="V133" s="1" t="str">
        <v>推广中心组</v>
      </c>
      <c r="W133" s="3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A134" s="7" t="str">
        <v>天猫站内推广</v>
      </c>
      <c r="B134" s="5" t="str">
        <v>YXHD138</v>
      </c>
      <c r="C134" s="4" t="str">
        <v>天猫-极速推</v>
      </c>
      <c r="D134" s="1" t="str">
        <v>平台电商推广</v>
      </c>
      <c r="E134" s="1" t="str">
        <v>淘内-推广</v>
      </c>
      <c r="F134" s="5" t="str">
        <v>启用</v>
      </c>
      <c r="G134" s="5" t="str">
        <v>是</v>
      </c>
      <c r="H134" s="8" t="str">
        <v>天猫花西子旗舰店</v>
      </c>
      <c r="I134" s="8" t="str">
        <v>DP015</v>
      </c>
      <c r="J134" s="9" t="str">
        <v>天猫</v>
      </c>
      <c r="K134" s="8" t="str">
        <v>天猫货架</v>
      </c>
      <c r="L134" s="8" t="str">
        <v>天猫货架</v>
      </c>
      <c r="M134" s="5" t="str">
        <v>否</v>
      </c>
      <c r="N134" s="5" t="str">
        <v>否</v>
      </c>
      <c r="O134" s="5" t="str">
        <v>否</v>
      </c>
      <c r="P134" s="5" t="str">
        <v>否</v>
      </c>
      <c r="Q134" s="5" t="str">
        <v>营销费用</v>
      </c>
      <c r="R134" s="5" t="str">
        <v>渠道推广费</v>
      </c>
      <c r="S134" s="5" t="str">
        <v>站内推广费</v>
      </c>
      <c r="T134" s="1" t="str">
        <v>品牌运营中心</v>
      </c>
      <c r="U134" s="1" t="str">
        <v>天猫运营部</v>
      </c>
      <c r="V134" s="1" t="str">
        <v>推广中心组</v>
      </c>
      <c r="W134" s="3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A135" s="7" t="str">
        <v>天猫站内推广</v>
      </c>
      <c r="B135" s="5" t="str">
        <v>YXHD139</v>
      </c>
      <c r="C135" s="4" t="str">
        <v>天猫-妈妈Club</v>
      </c>
      <c r="D135" s="1" t="str">
        <v>平台电商推广</v>
      </c>
      <c r="E135" s="1" t="str">
        <v>淘内-推广</v>
      </c>
      <c r="F135" s="5" t="str">
        <v>启用</v>
      </c>
      <c r="G135" s="5" t="str">
        <v>是</v>
      </c>
      <c r="H135" s="8" t="str">
        <v>天猫花西子旗舰店</v>
      </c>
      <c r="I135" s="8" t="str">
        <v>DP015</v>
      </c>
      <c r="J135" s="9" t="str">
        <v>天猫</v>
      </c>
      <c r="K135" s="8" t="str">
        <v>天猫货架</v>
      </c>
      <c r="L135" s="8" t="str">
        <v>天猫货架</v>
      </c>
      <c r="M135" s="5" t="str">
        <v>否</v>
      </c>
      <c r="N135" s="5" t="str">
        <v>否</v>
      </c>
      <c r="O135" s="5" t="str">
        <v>否</v>
      </c>
      <c r="P135" s="5" t="str">
        <v>否</v>
      </c>
      <c r="Q135" s="5" t="str">
        <v>营销费用</v>
      </c>
      <c r="R135" s="5" t="str">
        <v>渠道推广费</v>
      </c>
      <c r="S135" s="5" t="str">
        <v>站内推广费</v>
      </c>
      <c r="T135" s="1" t="str">
        <v>品牌运营中心</v>
      </c>
      <c r="U135" s="1" t="str">
        <v>天猫运营部</v>
      </c>
      <c r="V135" s="1" t="str">
        <v>推广中心组</v>
      </c>
      <c r="W135" s="3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A136" s="7" t="str">
        <v>天猫站内推广</v>
      </c>
      <c r="B136" s="5" t="str">
        <v>YXHD140</v>
      </c>
      <c r="C136" s="4" t="str">
        <v>天猫-明星店铺</v>
      </c>
      <c r="D136" s="1" t="str">
        <v>平台电商推广</v>
      </c>
      <c r="E136" s="1" t="str">
        <v>淘内-推广</v>
      </c>
      <c r="F136" s="5" t="str">
        <v>启用</v>
      </c>
      <c r="G136" s="5" t="str">
        <v>是</v>
      </c>
      <c r="H136" s="8" t="str">
        <v>天猫花西子旗舰店</v>
      </c>
      <c r="I136" s="8" t="str">
        <v>DP015</v>
      </c>
      <c r="J136" s="9" t="str">
        <v>天猫</v>
      </c>
      <c r="K136" s="8" t="str">
        <v>天猫货架</v>
      </c>
      <c r="L136" s="8" t="str">
        <v>天猫货架</v>
      </c>
      <c r="M136" s="5" t="str">
        <v>否</v>
      </c>
      <c r="N136" s="5" t="str">
        <v>否</v>
      </c>
      <c r="O136" s="5" t="str">
        <v>否</v>
      </c>
      <c r="P136" s="5" t="str">
        <v>否</v>
      </c>
      <c r="Q136" s="5" t="str">
        <v>营销费用</v>
      </c>
      <c r="R136" s="5" t="str">
        <v>渠道推广费</v>
      </c>
      <c r="S136" s="5" t="str">
        <v>站内推广费</v>
      </c>
      <c r="T136" s="1" t="str">
        <v>品牌运营中心</v>
      </c>
      <c r="U136" s="1" t="str">
        <v>天猫运营部</v>
      </c>
      <c r="V136" s="1" t="str">
        <v>推广中心组</v>
      </c>
      <c r="W136" s="3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A137" s="7" t="str">
        <v>天猫站内推广</v>
      </c>
      <c r="B137" s="5" t="str">
        <v>YXHD141</v>
      </c>
      <c r="C137" s="4" t="str">
        <v>天猫-品牌专区</v>
      </c>
      <c r="D137" s="1" t="str">
        <v>平台电商推广</v>
      </c>
      <c r="E137" s="1" t="str">
        <v>淘内-品专</v>
      </c>
      <c r="F137" s="5" t="str">
        <v>启用</v>
      </c>
      <c r="G137" s="5" t="str">
        <v>是</v>
      </c>
      <c r="H137" s="8" t="str">
        <v>天猫花西子旗舰店</v>
      </c>
      <c r="I137" s="8" t="str">
        <v>DP015</v>
      </c>
      <c r="J137" s="9" t="str">
        <v>天猫</v>
      </c>
      <c r="K137" s="8" t="str">
        <v>天猫货架</v>
      </c>
      <c r="L137" s="8" t="str">
        <v>天猫货架</v>
      </c>
      <c r="M137" s="5" t="str">
        <v>否</v>
      </c>
      <c r="N137" s="5" t="str">
        <v>否</v>
      </c>
      <c r="O137" s="5" t="str">
        <v>否</v>
      </c>
      <c r="P137" s="5" t="str">
        <v>否</v>
      </c>
      <c r="Q137" s="5" t="str">
        <v>营销费用</v>
      </c>
      <c r="R137" s="5" t="str">
        <v>渠道推广费</v>
      </c>
      <c r="S137" s="5" t="str">
        <v>站内推广费</v>
      </c>
      <c r="T137" s="1" t="str">
        <v>品牌运营中心</v>
      </c>
      <c r="U137" s="1" t="str">
        <v>天猫运营部</v>
      </c>
      <c r="V137" s="1" t="str">
        <v>推广中心组</v>
      </c>
      <c r="W137" s="3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A138" s="7" t="str">
        <v>天猫站内推广</v>
      </c>
      <c r="B138" s="5" t="str">
        <v>YXHD142</v>
      </c>
      <c r="C138" s="4" t="str">
        <v>天猫-万相台-超级短视频</v>
      </c>
      <c r="D138" s="1" t="str">
        <v>平台电商推广</v>
      </c>
      <c r="E138" s="1" t="str">
        <v>淘内-推广</v>
      </c>
      <c r="F138" s="5" t="str">
        <v>启用</v>
      </c>
      <c r="G138" s="5" t="str">
        <v>是</v>
      </c>
      <c r="H138" s="8" t="str">
        <v>天猫花西子旗舰店</v>
      </c>
      <c r="I138" s="8" t="str">
        <v>DP015</v>
      </c>
      <c r="J138" s="9" t="str">
        <v>天猫</v>
      </c>
      <c r="K138" s="8" t="str">
        <v>天猫货架</v>
      </c>
      <c r="L138" s="8" t="str">
        <v>天猫货架</v>
      </c>
      <c r="M138" s="5" t="str">
        <v>否</v>
      </c>
      <c r="N138" s="5" t="str">
        <v>否</v>
      </c>
      <c r="O138" s="5" t="str">
        <v>否</v>
      </c>
      <c r="P138" s="5" t="str">
        <v>否</v>
      </c>
      <c r="Q138" s="5" t="str">
        <v>营销费用</v>
      </c>
      <c r="R138" s="5" t="str">
        <v>渠道推广费</v>
      </c>
      <c r="S138" s="5" t="str">
        <v>站内推广费</v>
      </c>
      <c r="T138" s="1" t="str">
        <v>品牌运营中心</v>
      </c>
      <c r="U138" s="1" t="str">
        <v>天猫运营部</v>
      </c>
      <c r="V138" s="1" t="str">
        <v>推广中心组</v>
      </c>
      <c r="W138" s="3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7" t="str">
        <v>天猫站内推广</v>
      </c>
      <c r="B139" s="5" t="str">
        <v>YXHD143</v>
      </c>
      <c r="C139" s="4" t="str">
        <v>天猫-万相台-超级直播</v>
      </c>
      <c r="D139" s="1" t="str">
        <v>平台电商推广</v>
      </c>
      <c r="E139" s="1" t="str">
        <v>淘内-推广</v>
      </c>
      <c r="F139" s="5" t="str">
        <v>启用</v>
      </c>
      <c r="G139" s="5" t="str">
        <v>是</v>
      </c>
      <c r="H139" s="8" t="str">
        <v>天猫花西子旗舰店</v>
      </c>
      <c r="I139" s="8" t="str">
        <v>DP015</v>
      </c>
      <c r="J139" s="9" t="str">
        <v>天猫</v>
      </c>
      <c r="K139" s="8" t="str">
        <v>天猫自播</v>
      </c>
      <c r="L139" s="8" t="str">
        <v>天猫自播</v>
      </c>
      <c r="M139" s="5" t="str">
        <v>否</v>
      </c>
      <c r="N139" s="5" t="str">
        <v>否</v>
      </c>
      <c r="O139" s="5" t="str">
        <v>否</v>
      </c>
      <c r="P139" s="5" t="str">
        <v>否</v>
      </c>
      <c r="Q139" s="5" t="str">
        <v>营销费用</v>
      </c>
      <c r="R139" s="5" t="str">
        <v>渠道推广费</v>
      </c>
      <c r="S139" s="5" t="str">
        <v>站内推广费</v>
      </c>
      <c r="T139" s="1" t="str">
        <v>品牌运营中心</v>
      </c>
      <c r="U139" s="1" t="str">
        <v>天猫运营部</v>
      </c>
      <c r="V139" s="1" t="str">
        <v>推广中心组</v>
      </c>
      <c r="W139" s="3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A140" s="7" t="str">
        <v>天猫站内推广</v>
      </c>
      <c r="B140" s="5" t="str">
        <v>YXHD144</v>
      </c>
      <c r="C140" s="4" t="str">
        <v>天猫-万相台-常规投放</v>
      </c>
      <c r="D140" s="1" t="str">
        <v>平台电商推广</v>
      </c>
      <c r="E140" s="1" t="str">
        <v>淘内-推广</v>
      </c>
      <c r="F140" s="5" t="str">
        <v>启用</v>
      </c>
      <c r="G140" s="5" t="str">
        <v>是</v>
      </c>
      <c r="H140" s="8" t="str">
        <v>天猫花西子旗舰店</v>
      </c>
      <c r="I140" s="8" t="str">
        <v>DP015</v>
      </c>
      <c r="J140" s="9" t="str">
        <v>天猫</v>
      </c>
      <c r="K140" s="8" t="str">
        <v>天猫自播</v>
      </c>
      <c r="L140" s="8" t="str">
        <v>天猫自播</v>
      </c>
      <c r="M140" s="5" t="str">
        <v>否</v>
      </c>
      <c r="N140" s="5" t="str">
        <v>否</v>
      </c>
      <c r="O140" s="5" t="str">
        <v>否</v>
      </c>
      <c r="P140" s="5" t="str">
        <v>否</v>
      </c>
      <c r="Q140" s="5" t="str">
        <v>营销费用</v>
      </c>
      <c r="R140" s="5" t="str">
        <v>渠道推广费</v>
      </c>
      <c r="S140" s="5" t="str">
        <v>站内推广费</v>
      </c>
      <c r="T140" s="1" t="str">
        <v>品牌运营中心</v>
      </c>
      <c r="U140" s="1" t="str">
        <v>天猫运营部</v>
      </c>
      <c r="V140" s="1" t="str">
        <v>推广中心组</v>
      </c>
      <c r="W140" s="3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A141" s="7" t="str">
        <v>天猫站内推广</v>
      </c>
      <c r="B141" s="5" t="str">
        <v>YXHD145</v>
      </c>
      <c r="C141" s="4" t="str">
        <v>天猫-引力魔方</v>
      </c>
      <c r="D141" s="1" t="str">
        <v>平台电商推广</v>
      </c>
      <c r="E141" s="1" t="str">
        <v>淘内-推广</v>
      </c>
      <c r="F141" s="5" t="str">
        <v>启用</v>
      </c>
      <c r="G141" s="5" t="str">
        <v>是</v>
      </c>
      <c r="H141" s="8" t="str">
        <v>天猫花西子旗舰店</v>
      </c>
      <c r="I141" s="8" t="str">
        <v>DP015</v>
      </c>
      <c r="J141" s="9" t="str">
        <v>天猫</v>
      </c>
      <c r="K141" s="8" t="str">
        <v>天猫货架</v>
      </c>
      <c r="L141" s="8" t="str">
        <v>天猫货架</v>
      </c>
      <c r="M141" s="5" t="str">
        <v>是</v>
      </c>
      <c r="N141" s="5" t="str">
        <v>是</v>
      </c>
      <c r="O141" s="5" t="str">
        <v>否</v>
      </c>
      <c r="P141" s="5" t="str">
        <v>否</v>
      </c>
      <c r="Q141" s="5" t="str">
        <v>营销费用</v>
      </c>
      <c r="R141" s="5" t="str">
        <v>渠道推广费</v>
      </c>
      <c r="S141" s="5" t="str">
        <v>站内推广费</v>
      </c>
      <c r="T141" s="1" t="str">
        <v>品牌运营中心</v>
      </c>
      <c r="U141" s="1" t="str">
        <v>天猫运营部</v>
      </c>
      <c r="V141" s="1" t="str">
        <v>推广中心组</v>
      </c>
      <c r="W141" s="3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A142" s="7" t="str">
        <v>天猫站内推广</v>
      </c>
      <c r="B142" s="5" t="str">
        <v>YXHD146</v>
      </c>
      <c r="C142" s="4" t="str">
        <v>天猫-直通车</v>
      </c>
      <c r="D142" s="1" t="str">
        <v>平台电商推广</v>
      </c>
      <c r="E142" s="1" t="str">
        <v>淘内-推广</v>
      </c>
      <c r="F142" s="5" t="str">
        <v>启用</v>
      </c>
      <c r="G142" s="5" t="str">
        <v>是</v>
      </c>
      <c r="H142" s="8" t="str">
        <v>天猫花西子旗舰店</v>
      </c>
      <c r="I142" s="8" t="str">
        <v>DP015</v>
      </c>
      <c r="J142" s="9" t="str">
        <v>天猫</v>
      </c>
      <c r="K142" s="8" t="str">
        <v>天猫货架</v>
      </c>
      <c r="L142" s="8" t="str">
        <v>天猫货架</v>
      </c>
      <c r="M142" s="5" t="str">
        <v>是</v>
      </c>
      <c r="N142" s="5" t="str">
        <v>是</v>
      </c>
      <c r="O142" s="5" t="str">
        <v>否</v>
      </c>
      <c r="P142" s="5" t="str">
        <v>否</v>
      </c>
      <c r="Q142" s="5" t="str">
        <v>营销费用</v>
      </c>
      <c r="R142" s="5" t="str">
        <v>渠道推广费</v>
      </c>
      <c r="S142" s="5" t="str">
        <v>站内推广费</v>
      </c>
      <c r="T142" s="1" t="str">
        <v>品牌运营中心</v>
      </c>
      <c r="U142" s="1" t="str">
        <v>天猫运营部</v>
      </c>
      <c r="V142" s="1" t="str">
        <v>推广中心组</v>
      </c>
      <c r="W142" s="3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A143" s="7" t="str">
        <v>唯品会渠道推广</v>
      </c>
      <c r="B143" s="5" t="str">
        <v>YXHD147</v>
      </c>
      <c r="C143" s="4" t="str">
        <v>唯品会-达人卖货</v>
      </c>
      <c r="D143" s="1" t="str">
        <v>平台电商推广</v>
      </c>
      <c r="E143" s="1" t="str">
        <v>唯品渠道推广</v>
      </c>
      <c r="F143" s="5" t="str">
        <v>启用</v>
      </c>
      <c r="G143" s="5" t="str">
        <v>是</v>
      </c>
      <c r="H143" s="8" t="str">
        <v>唯品会自营花西子旗舰店</v>
      </c>
      <c r="I143" s="8" t="str">
        <v>DP029</v>
      </c>
      <c r="J143" s="9" t="str">
        <v>唯品会</v>
      </c>
      <c r="K143" s="8" t="str">
        <v>唯品会花西子自营店</v>
      </c>
      <c r="L143" s="8" t="str">
        <v>唯品会花西子自营店</v>
      </c>
      <c r="M143" s="31" t="str">
        <v>是</v>
      </c>
      <c r="N143" s="31" t="str">
        <v>是</v>
      </c>
      <c r="O143" s="5" t="str">
        <v>否</v>
      </c>
      <c r="P143" s="5" t="str">
        <v>否</v>
      </c>
      <c r="Q143" s="5" t="str">
        <v>营销费用</v>
      </c>
      <c r="R143" s="5" t="str">
        <v>渠道推广费</v>
      </c>
      <c r="S143" s="5" t="str">
        <v>站内推广费</v>
      </c>
      <c r="T143" s="1" t="str">
        <v>品牌运营中心</v>
      </c>
      <c r="U143" s="1" t="str">
        <v>唯品部</v>
      </c>
      <c r="V143" s="1"/>
      <c r="W143" s="3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A144" s="7" t="str">
        <v>唯品会渠道推广</v>
      </c>
      <c r="B144" s="5" t="str">
        <v>YXHD148</v>
      </c>
      <c r="C144" s="4" t="str">
        <v>唯品会-唯品常规投放</v>
      </c>
      <c r="D144" s="1" t="str">
        <v>平台电商推广</v>
      </c>
      <c r="E144" s="1" t="str">
        <v>唯品渠道推广</v>
      </c>
      <c r="F144" s="5" t="str">
        <v>启用</v>
      </c>
      <c r="G144" s="5" t="str">
        <v>是</v>
      </c>
      <c r="H144" s="8" t="str">
        <v>唯品会自营花西子旗舰店</v>
      </c>
      <c r="I144" s="8" t="str">
        <v>DP029</v>
      </c>
      <c r="J144" s="9" t="str">
        <v>唯品会</v>
      </c>
      <c r="K144" s="8" t="str">
        <v>唯品会花西子自营店</v>
      </c>
      <c r="L144" s="8" t="str">
        <v>唯品会花西子自营店</v>
      </c>
      <c r="M144" s="31" t="str">
        <v>是</v>
      </c>
      <c r="N144" s="31" t="str">
        <v>否</v>
      </c>
      <c r="O144" s="5" t="str">
        <v>否</v>
      </c>
      <c r="P144" s="5" t="str">
        <v>否</v>
      </c>
      <c r="Q144" s="5" t="str">
        <v>营销费用</v>
      </c>
      <c r="R144" s="5" t="str">
        <v>渠道推广费</v>
      </c>
      <c r="S144" s="5" t="str">
        <v>站内推广费</v>
      </c>
      <c r="T144" s="1" t="str">
        <v>品牌运营中心</v>
      </c>
      <c r="U144" s="1" t="str">
        <v>唯品部</v>
      </c>
      <c r="V144" s="1"/>
      <c r="W144" s="3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s="36" t="str">
        <v>唯品会渠道推广</v>
      </c>
      <c r="B145" s="38" t="str">
        <v>YXHD149</v>
      </c>
      <c r="C145" s="39" t="str">
        <v>唯享客</v>
      </c>
      <c r="D145" s="37" t="str">
        <v>平台电商推广</v>
      </c>
      <c r="E145" s="37" t="str">
        <v>唯享客</v>
      </c>
      <c r="F145" s="12" t="str">
        <v>禁用</v>
      </c>
      <c r="G145" s="38" t="str">
        <v>是</v>
      </c>
      <c r="H145" s="11" t="str">
        <v>唯品会自营花西子旗舰店</v>
      </c>
      <c r="I145" s="11" t="str">
        <v>DP029</v>
      </c>
      <c r="J145" s="16" t="str">
        <v>唯品会</v>
      </c>
      <c r="K145" s="11" t="str">
        <v>唯品会花西子自营店</v>
      </c>
      <c r="L145" s="11" t="str">
        <v>唯品会花西子自营店</v>
      </c>
      <c r="M145" s="51" t="str">
        <v>否</v>
      </c>
      <c r="N145" s="51" t="str">
        <v>否</v>
      </c>
      <c r="O145" s="38" t="str">
        <v>否</v>
      </c>
      <c r="P145" s="38" t="str">
        <v>否</v>
      </c>
      <c r="Q145" s="38" t="str">
        <v>营销费用</v>
      </c>
      <c r="R145" s="38" t="str">
        <v>渠道推广费</v>
      </c>
      <c r="S145" s="38" t="str">
        <v>站内推广费</v>
      </c>
      <c r="T145" s="37" t="str">
        <v>品牌运营中心</v>
      </c>
      <c r="U145" s="37" t="str">
        <v>唯品部</v>
      </c>
      <c r="V145" s="37"/>
      <c r="W145" s="52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</row>
    <row r="146">
      <c r="A146" s="58" t="str">
        <v>考拉渠道推广</v>
      </c>
      <c r="B146" s="53" t="str">
        <v>YXHD150</v>
      </c>
      <c r="C146" s="55" t="str">
        <v>考拉-常规投放</v>
      </c>
      <c r="D146" s="56" t="str">
        <v>平台电商推广</v>
      </c>
      <c r="E146" s="56" t="str">
        <v>自营其他渠道推广</v>
      </c>
      <c r="F146" s="5" t="str">
        <v>启用</v>
      </c>
      <c r="G146" s="53" t="str">
        <v>是</v>
      </c>
      <c r="H146" s="8" t="str">
        <v>考拉花西子旗舰店</v>
      </c>
      <c r="I146" s="8" t="str">
        <v>DP004</v>
      </c>
      <c r="J146" s="9" t="str">
        <v>考拉</v>
      </c>
      <c r="K146" s="8" t="str">
        <v>考拉花西子旗舰店</v>
      </c>
      <c r="L146" s="8" t="str">
        <v>考拉花西子旗舰店</v>
      </c>
      <c r="M146" s="53" t="str">
        <v>否</v>
      </c>
      <c r="N146" s="53" t="str">
        <v>否</v>
      </c>
      <c r="O146" s="53" t="str">
        <v>否</v>
      </c>
      <c r="P146" s="53" t="str">
        <v>否</v>
      </c>
      <c r="Q146" s="53" t="str">
        <v>营销费用</v>
      </c>
      <c r="R146" s="53" t="str">
        <v>渠道推广费</v>
      </c>
      <c r="S146" s="53" t="str">
        <v>站内推广费</v>
      </c>
      <c r="T146" s="56" t="str">
        <v>品牌运营中心</v>
      </c>
      <c r="U146" s="56"/>
      <c r="V146" s="56"/>
      <c r="W146" s="57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</row>
    <row r="147">
      <c r="A147" s="58" t="str">
        <v>匠泽店渠道推广</v>
      </c>
      <c r="B147" s="53" t="str">
        <v>YXHD151</v>
      </c>
      <c r="C147" s="55" t="str">
        <v>淘宝匠泽-引力魔方</v>
      </c>
      <c r="D147" s="56" t="str">
        <v>平台电商推广</v>
      </c>
      <c r="E147" s="56" t="str">
        <v>自营其他渠道推广</v>
      </c>
      <c r="F147" s="5" t="str">
        <v>启用</v>
      </c>
      <c r="G147" s="53" t="str">
        <v>是</v>
      </c>
      <c r="H147" s="8" t="str">
        <v>天猫花西子匠泽店</v>
      </c>
      <c r="I147" s="8" t="str">
        <v>DP001</v>
      </c>
      <c r="J147" s="9" t="str">
        <v>天猫</v>
      </c>
      <c r="K147" s="8" t="str">
        <v>天猫花西子匠泽店</v>
      </c>
      <c r="L147" s="8" t="str">
        <v>天猫花西子匠泽店</v>
      </c>
      <c r="M147" s="53" t="str">
        <v>是</v>
      </c>
      <c r="N147" s="53" t="str">
        <v>是</v>
      </c>
      <c r="O147" s="53" t="str">
        <v>否</v>
      </c>
      <c r="P147" s="53" t="str">
        <v>否</v>
      </c>
      <c r="Q147" s="53" t="str">
        <v>营销费用</v>
      </c>
      <c r="R147" s="53" t="str">
        <v>渠道推广费</v>
      </c>
      <c r="S147" s="53" t="str">
        <v>站内推广费</v>
      </c>
      <c r="T147" s="56" t="str">
        <v>品牌运营中心</v>
      </c>
      <c r="U147" s="56"/>
      <c r="V147" s="56"/>
      <c r="W147" s="57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</row>
    <row r="148">
      <c r="A148" s="58" t="str">
        <v>匠泽店渠道推广</v>
      </c>
      <c r="B148" s="53" t="str">
        <v>YXHD152</v>
      </c>
      <c r="C148" s="55" t="str">
        <v>淘宝匠泽-直通车</v>
      </c>
      <c r="D148" s="56" t="str">
        <v>平台电商推广</v>
      </c>
      <c r="E148" s="27" t="str">
        <v>淘内-推广</v>
      </c>
      <c r="F148" s="5" t="str">
        <v>启用</v>
      </c>
      <c r="G148" s="53" t="str">
        <v>是</v>
      </c>
      <c r="H148" s="8" t="str">
        <v>天猫花西子匠泽店</v>
      </c>
      <c r="I148" s="8" t="str">
        <v>DP001</v>
      </c>
      <c r="J148" s="9" t="str">
        <v>天猫</v>
      </c>
      <c r="K148" s="8" t="str">
        <v>天猫花西子匠泽店</v>
      </c>
      <c r="L148" s="8" t="str">
        <v>天猫花西子匠泽店</v>
      </c>
      <c r="M148" s="53" t="str">
        <v>是</v>
      </c>
      <c r="N148" s="53" t="str">
        <v>是</v>
      </c>
      <c r="O148" s="53" t="str">
        <v>否</v>
      </c>
      <c r="P148" s="53" t="str">
        <v>否</v>
      </c>
      <c r="Q148" s="53" t="str">
        <v>营销费用</v>
      </c>
      <c r="R148" s="53" t="str">
        <v>渠道推广费</v>
      </c>
      <c r="S148" s="53" t="str">
        <v>站内推广费</v>
      </c>
      <c r="T148" s="56" t="str">
        <v>品牌运营中心</v>
      </c>
      <c r="U148" s="56"/>
      <c r="V148" s="56"/>
      <c r="W148" s="57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</row>
    <row r="149">
      <c r="A149" s="7" t="str">
        <v>京东到家渠道推广</v>
      </c>
      <c r="B149" s="5" t="str">
        <v>YXHD153</v>
      </c>
      <c r="C149" s="4" t="str">
        <v>京东到家-常规投放</v>
      </c>
      <c r="D149" s="1" t="str">
        <v>平台电商推广</v>
      </c>
      <c r="E149" s="1" t="str">
        <v>自营其他渠道推广</v>
      </c>
      <c r="F149" s="5" t="str">
        <v>启用</v>
      </c>
      <c r="G149" s="5" t="str">
        <v>是</v>
      </c>
      <c r="H149" s="8" t="str">
        <v>京东到家</v>
      </c>
      <c r="I149" s="8" t="str">
        <v>DP052</v>
      </c>
      <c r="J149" s="9" t="str">
        <v>京东到家</v>
      </c>
      <c r="K149" s="8" t="str">
        <v>京东到家</v>
      </c>
      <c r="L149" s="8" t="str">
        <v>京东到家</v>
      </c>
      <c r="M149" s="5" t="str">
        <v>否</v>
      </c>
      <c r="N149" s="5" t="str">
        <v>否</v>
      </c>
      <c r="O149" s="5" t="str">
        <v>否</v>
      </c>
      <c r="P149" s="5" t="str">
        <v>否</v>
      </c>
      <c r="Q149" s="5" t="str">
        <v>营销费用</v>
      </c>
      <c r="R149" s="5" t="str">
        <v>渠道推广费</v>
      </c>
      <c r="S149" s="5" t="str">
        <v>站内推广费</v>
      </c>
      <c r="T149" s="1" t="str">
        <v>品牌运营中心</v>
      </c>
      <c r="U149" s="1" t="str">
        <v>京东部</v>
      </c>
      <c r="V149" s="1" t="str">
        <v>京东推广部</v>
      </c>
      <c r="W149" s="3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A150" s="7" t="str">
        <v>微信渠道推广</v>
      </c>
      <c r="B150" s="5" t="str">
        <v>YXHD154</v>
      </c>
      <c r="C150" s="4" t="str">
        <v>微信-ADQ推广</v>
      </c>
      <c r="D150" s="1" t="str">
        <v>社交电商推广</v>
      </c>
      <c r="E150" s="27" t="str">
        <v>微信-直播间</v>
      </c>
      <c r="F150" s="5" t="str">
        <v>启用</v>
      </c>
      <c r="G150" s="5" t="str">
        <v>是</v>
      </c>
      <c r="H150" s="8" t="str">
        <v>有赞花西子旗舰店</v>
      </c>
      <c r="I150" s="8" t="str">
        <v>DP006</v>
      </c>
      <c r="J150" s="9" t="str">
        <v>微信</v>
      </c>
      <c r="K150" s="8" t="str">
        <v>有赞花西子旗舰店</v>
      </c>
      <c r="L150" s="8" t="str">
        <v>有赞花西子旗舰店</v>
      </c>
      <c r="M150" s="5"/>
      <c r="N150" s="5"/>
      <c r="O150" s="5"/>
      <c r="P150" s="5"/>
      <c r="Q150" s="5" t="str">
        <v>营销费用</v>
      </c>
      <c r="R150" s="5" t="str">
        <v>渠道推广费</v>
      </c>
      <c r="S150" s="5" t="str">
        <v>站内推广费</v>
      </c>
      <c r="T150" s="1" t="str">
        <v>品牌运营中心</v>
      </c>
      <c r="U150" s="1" t="str">
        <v>内容电商部</v>
      </c>
      <c r="V150" s="1" t="str">
        <v>微信运营部</v>
      </c>
      <c r="W150" s="3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A151" s="7" t="str">
        <v>微信渠道推广</v>
      </c>
      <c r="B151" s="5" t="str">
        <v>YXHD155</v>
      </c>
      <c r="C151" s="4" t="str">
        <v>微信-微信豆充值</v>
      </c>
      <c r="D151" s="1" t="str">
        <v>社交电商推广</v>
      </c>
      <c r="E151" s="27" t="str">
        <v>微信-直播间</v>
      </c>
      <c r="F151" s="5" t="str">
        <v>启用</v>
      </c>
      <c r="G151" s="5" t="str">
        <v>是</v>
      </c>
      <c r="H151" s="8" t="str">
        <v>有赞花西子旗舰店</v>
      </c>
      <c r="I151" s="8" t="str">
        <v>DP006</v>
      </c>
      <c r="J151" s="9" t="str">
        <v>微信</v>
      </c>
      <c r="K151" s="8" t="str">
        <v>有赞花西子旗舰店</v>
      </c>
      <c r="L151" s="8" t="str">
        <v>有赞花西子旗舰店</v>
      </c>
      <c r="M151" s="5"/>
      <c r="N151" s="5"/>
      <c r="O151" s="5"/>
      <c r="P151" s="5"/>
      <c r="Q151" s="5" t="str">
        <v>营销费用</v>
      </c>
      <c r="R151" s="5" t="str">
        <v>渠道推广费</v>
      </c>
      <c r="S151" s="5" t="str">
        <v>站内推广费</v>
      </c>
      <c r="T151" s="1" t="str">
        <v>品牌运营中心</v>
      </c>
      <c r="U151" s="1" t="str">
        <v>内容电商部</v>
      </c>
      <c r="V151" s="1" t="str">
        <v>微信运营部</v>
      </c>
      <c r="W151" s="3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7" t="str">
        <v>微信渠道推广</v>
      </c>
      <c r="B152" s="5" t="str">
        <v>YXHD156</v>
      </c>
      <c r="C152" s="4" t="str">
        <v>微信号服务费</v>
      </c>
      <c r="D152" s="1" t="str">
        <v>社交电商推广</v>
      </c>
      <c r="E152" s="27" t="str">
        <v>微信-直播间</v>
      </c>
      <c r="F152" s="5" t="str">
        <v>启用</v>
      </c>
      <c r="G152" s="5" t="str">
        <v>是</v>
      </c>
      <c r="H152" s="8" t="str">
        <v>有赞花西子旗舰店</v>
      </c>
      <c r="I152" s="8" t="str">
        <v>DP006</v>
      </c>
      <c r="J152" s="9" t="str">
        <v>微信</v>
      </c>
      <c r="K152" s="8" t="str">
        <v>有赞花西子旗舰店</v>
      </c>
      <c r="L152" s="8" t="str">
        <v>有赞花西子旗舰店</v>
      </c>
      <c r="M152" s="5"/>
      <c r="N152" s="5"/>
      <c r="O152" s="5"/>
      <c r="P152" s="5"/>
      <c r="Q152" s="5" t="str">
        <v>营销费用</v>
      </c>
      <c r="R152" s="5" t="str">
        <v>渠道推广费</v>
      </c>
      <c r="S152" s="5" t="str">
        <v>代运营服务费</v>
      </c>
      <c r="T152" s="1" t="str">
        <v>品牌运营中心</v>
      </c>
      <c r="U152" s="1" t="str">
        <v>内容电商部</v>
      </c>
      <c r="V152" s="1" t="str">
        <v>微信运营部</v>
      </c>
      <c r="W152" s="3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>
      <c r="A153" s="7" t="str">
        <v>微信渠道推广</v>
      </c>
      <c r="B153" s="5" t="str">
        <v>YXHD157</v>
      </c>
      <c r="C153" s="4" t="str">
        <v>微信号佣金</v>
      </c>
      <c r="D153" s="1" t="str">
        <v>社交电商推广</v>
      </c>
      <c r="E153" s="27" t="str">
        <v>微信-直播间</v>
      </c>
      <c r="F153" s="5" t="str">
        <v>启用</v>
      </c>
      <c r="G153" s="5" t="str">
        <v>是</v>
      </c>
      <c r="H153" s="8" t="str">
        <v>有赞花西子旗舰店</v>
      </c>
      <c r="I153" s="8" t="str">
        <v>DP006</v>
      </c>
      <c r="J153" s="9" t="str">
        <v>微信</v>
      </c>
      <c r="K153" s="8" t="str">
        <v>有赞花西子旗舰店</v>
      </c>
      <c r="L153" s="8" t="str">
        <v>有赞花西子旗舰店</v>
      </c>
      <c r="M153" s="5"/>
      <c r="N153" s="5"/>
      <c r="O153" s="5"/>
      <c r="P153" s="5"/>
      <c r="Q153" s="5" t="str">
        <v>营销费用</v>
      </c>
      <c r="R153" s="5" t="str">
        <v>渠道推广费</v>
      </c>
      <c r="S153" s="5" t="str">
        <v>代运营佣金</v>
      </c>
      <c r="T153" s="1" t="str">
        <v>品牌运营中心</v>
      </c>
      <c r="U153" s="1" t="str">
        <v>内容电商部</v>
      </c>
      <c r="V153" s="1" t="str">
        <v>微信运营部</v>
      </c>
      <c r="W153" s="3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A154" s="36" t="str">
        <v>微信渠道推广</v>
      </c>
      <c r="B154" s="38" t="str">
        <v>YXHD158</v>
      </c>
      <c r="C154" s="39" t="str">
        <v>微信号代投费</v>
      </c>
      <c r="D154" s="37" t="str">
        <v>社交电商推广</v>
      </c>
      <c r="E154" s="37" t="str">
        <v>微信-店铺</v>
      </c>
      <c r="F154" s="12" t="str">
        <v>禁用</v>
      </c>
      <c r="G154" s="38" t="str">
        <v>是</v>
      </c>
      <c r="H154" s="8" t="str">
        <v>有赞花西子旗舰店</v>
      </c>
      <c r="I154" s="8" t="str">
        <v>DP006</v>
      </c>
      <c r="J154" s="9" t="str">
        <v>微信</v>
      </c>
      <c r="K154" s="8" t="str">
        <v>有赞花西子旗舰店</v>
      </c>
      <c r="L154" s="8" t="str">
        <v>有赞花西子旗舰店</v>
      </c>
      <c r="M154" s="38"/>
      <c r="N154" s="38"/>
      <c r="O154" s="38"/>
      <c r="P154" s="38"/>
      <c r="Q154" s="38" t="str">
        <v>营销费用</v>
      </c>
      <c r="R154" s="38" t="str">
        <v>渠道推广费</v>
      </c>
      <c r="S154" s="38" t="str">
        <v>站内推广费</v>
      </c>
      <c r="T154" s="37" t="str">
        <v>品牌运营中心</v>
      </c>
      <c r="U154" s="37"/>
      <c r="V154" s="37"/>
      <c r="W154" s="40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</row>
    <row r="155">
      <c r="A155" s="7" t="str">
        <v>达人推广</v>
      </c>
      <c r="B155" s="5" t="str">
        <v>YXHD159</v>
      </c>
      <c r="C155" s="4" t="str">
        <v>达人合作</v>
      </c>
      <c r="D155" s="1" t="str">
        <v>市场达人推广</v>
      </c>
      <c r="E155" s="1" t="str">
        <v>达人推广</v>
      </c>
      <c r="F155" s="5" t="str">
        <v>启用</v>
      </c>
      <c r="G155" s="5" t="str">
        <v>否</v>
      </c>
      <c r="H155" s="8"/>
      <c r="I155" s="8"/>
      <c r="J155" s="9"/>
      <c r="K155" s="8"/>
      <c r="L155" s="8"/>
      <c r="M155" s="5" t="str">
        <v>否</v>
      </c>
      <c r="N155" s="5" t="str">
        <v>否</v>
      </c>
      <c r="O155" s="5" t="str">
        <v>否</v>
      </c>
      <c r="P155" s="5" t="str">
        <v>否</v>
      </c>
      <c r="Q155" s="5" t="str">
        <v>营销费用</v>
      </c>
      <c r="R155" s="5" t="str">
        <v>达人推广费</v>
      </c>
      <c r="S155" s="5" t="str">
        <v>达人合作费</v>
      </c>
      <c r="T155" s="1" t="str">
        <v>品牌运营中心</v>
      </c>
      <c r="U155" s="1" t="str">
        <v>市场广告推广部</v>
      </c>
      <c r="V155" s="1" t="str">
        <v>市场推广部</v>
      </c>
      <c r="W155" s="3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>
      <c r="A156" s="7" t="str">
        <v>达人推广</v>
      </c>
      <c r="B156" s="5" t="str">
        <v>YXHD160</v>
      </c>
      <c r="C156" s="4" t="str">
        <v>达人佣金</v>
      </c>
      <c r="D156" s="1" t="str">
        <v>市场达人推广</v>
      </c>
      <c r="E156" s="1" t="str">
        <v>达人推广</v>
      </c>
      <c r="F156" s="5" t="str">
        <v>启用</v>
      </c>
      <c r="G156" s="5" t="str">
        <v>否</v>
      </c>
      <c r="H156" s="8"/>
      <c r="I156" s="8"/>
      <c r="J156" s="9"/>
      <c r="K156" s="8"/>
      <c r="L156" s="8"/>
      <c r="M156" s="5" t="str">
        <v>否</v>
      </c>
      <c r="N156" s="5" t="str">
        <v>否</v>
      </c>
      <c r="O156" s="5" t="str">
        <v>否</v>
      </c>
      <c r="P156" s="5" t="str">
        <v>否</v>
      </c>
      <c r="Q156" s="5" t="str">
        <v>营销费用</v>
      </c>
      <c r="R156" s="5" t="str">
        <v>达人推广费</v>
      </c>
      <c r="S156" s="5" t="str">
        <v>达人推广佣金</v>
      </c>
      <c r="T156" s="1" t="str">
        <v>品牌运营中心</v>
      </c>
      <c r="U156" s="1" t="str">
        <v>市场广告推广部</v>
      </c>
      <c r="V156" s="1" t="str">
        <v>市场推广部</v>
      </c>
      <c r="W156" s="3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>
      <c r="A157" s="25" t="str">
        <v>市场公关费</v>
      </c>
      <c r="B157" s="24" t="str">
        <v>YXHD161</v>
      </c>
      <c r="C157" s="26" t="str">
        <v>公关礼策划服务</v>
      </c>
      <c r="D157" s="1" t="str">
        <v>市场公关</v>
      </c>
      <c r="E157" s="1" t="str">
        <v>市场公关运营</v>
      </c>
      <c r="F157" s="5" t="str">
        <v>启用</v>
      </c>
      <c r="G157" s="5" t="str">
        <v>否</v>
      </c>
      <c r="H157" s="8"/>
      <c r="I157" s="8"/>
      <c r="J157" s="9"/>
      <c r="K157" s="8"/>
      <c r="L157" s="8"/>
      <c r="M157" s="5" t="str">
        <v>否</v>
      </c>
      <c r="N157" s="5" t="str">
        <v>否</v>
      </c>
      <c r="O157" s="5" t="str">
        <v>否</v>
      </c>
      <c r="P157" s="5" t="str">
        <v>否</v>
      </c>
      <c r="Q157" s="5" t="str">
        <v>营销费用</v>
      </c>
      <c r="R157" s="5" t="str">
        <v>品牌宣传费</v>
      </c>
      <c r="S157" s="5" t="str">
        <v>创意策划服务费</v>
      </c>
      <c r="T157" s="1" t="str">
        <v>品牌运营中心</v>
      </c>
      <c r="U157" s="1" t="str">
        <v>市场广告推广部</v>
      </c>
      <c r="V157" s="1" t="str">
        <v>市场推广部</v>
      </c>
      <c r="W157" s="3" t="str">
        <v>市场PR组</v>
      </c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A158" s="25" t="str">
        <v>市场公关费</v>
      </c>
      <c r="B158" s="24" t="str">
        <v>YXHD162</v>
      </c>
      <c r="C158" s="26" t="str">
        <v>公关舆情服务</v>
      </c>
      <c r="D158" s="1" t="str">
        <v>市场公关</v>
      </c>
      <c r="E158" s="1" t="str">
        <v>市场公关运营</v>
      </c>
      <c r="F158" s="5" t="str">
        <v>启用</v>
      </c>
      <c r="G158" s="5" t="str">
        <v>否</v>
      </c>
      <c r="H158" s="8"/>
      <c r="I158" s="8"/>
      <c r="J158" s="9"/>
      <c r="K158" s="8"/>
      <c r="L158" s="8"/>
      <c r="M158" s="5" t="str">
        <v>否</v>
      </c>
      <c r="N158" s="5" t="str">
        <v>否</v>
      </c>
      <c r="O158" s="5" t="str">
        <v>否</v>
      </c>
      <c r="P158" s="5" t="str">
        <v>否</v>
      </c>
      <c r="Q158" s="5" t="str">
        <v>营销费用</v>
      </c>
      <c r="R158" s="5" t="str">
        <v>品牌宣传费</v>
      </c>
      <c r="S158" s="5" t="str">
        <v>公关服务费</v>
      </c>
      <c r="T158" s="1" t="str">
        <v>品牌运营中心</v>
      </c>
      <c r="U158" s="1" t="str">
        <v>市场广告推广部</v>
      </c>
      <c r="V158" s="1" t="str">
        <v>市场推广部</v>
      </c>
      <c r="W158" s="3" t="str">
        <v>市场PR组</v>
      </c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>
      <c r="A159" s="25" t="str">
        <v>市场公关费</v>
      </c>
      <c r="B159" s="24" t="str">
        <v>YXHD163</v>
      </c>
      <c r="C159" s="26" t="str">
        <v>市场公关整合营销</v>
      </c>
      <c r="D159" s="1" t="str">
        <v>市场公关</v>
      </c>
      <c r="E159" s="1" t="str">
        <v>市场公关运营</v>
      </c>
      <c r="F159" s="5" t="str">
        <v>启用</v>
      </c>
      <c r="G159" s="5" t="str">
        <v>否</v>
      </c>
      <c r="H159" s="8"/>
      <c r="I159" s="8"/>
      <c r="J159" s="9"/>
      <c r="K159" s="8"/>
      <c r="L159" s="8"/>
      <c r="M159" s="5" t="str">
        <v>否</v>
      </c>
      <c r="N159" s="5" t="str">
        <v>否</v>
      </c>
      <c r="O159" s="5" t="str">
        <v>否</v>
      </c>
      <c r="P159" s="5" t="str">
        <v>否</v>
      </c>
      <c r="Q159" s="34" t="str">
        <v>营销费用</v>
      </c>
      <c r="R159" s="34" t="str">
        <v>品牌宣传费</v>
      </c>
      <c r="S159" s="34" t="str">
        <v>创意策划服务费</v>
      </c>
      <c r="T159" s="1" t="str">
        <v>品牌运营中心</v>
      </c>
      <c r="U159" s="1" t="str">
        <v>市场广告推广部</v>
      </c>
      <c r="V159" s="1" t="str">
        <v>市场推广部</v>
      </c>
      <c r="W159" s="3" t="str">
        <v>市场PR组</v>
      </c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>
      <c r="A160" s="25" t="str">
        <v>市场公关费</v>
      </c>
      <c r="B160" s="24" t="str">
        <v>YXHD164</v>
      </c>
      <c r="C160" s="26" t="str">
        <v>市场公关礼-外采</v>
      </c>
      <c r="D160" s="1" t="str">
        <v>市场公关</v>
      </c>
      <c r="E160" s="1" t="str">
        <v>市场公关运营</v>
      </c>
      <c r="F160" s="5" t="str">
        <v>启用</v>
      </c>
      <c r="G160" s="5" t="str">
        <v>否</v>
      </c>
      <c r="H160" s="8"/>
      <c r="I160" s="8"/>
      <c r="J160" s="9"/>
      <c r="K160" s="8"/>
      <c r="L160" s="8"/>
      <c r="M160" s="5" t="str">
        <v>否</v>
      </c>
      <c r="N160" s="5" t="str">
        <v>否</v>
      </c>
      <c r="O160" s="5" t="str">
        <v>是</v>
      </c>
      <c r="P160" s="5" t="str">
        <v>是</v>
      </c>
      <c r="Q160" s="5" t="str">
        <v>营销费用</v>
      </c>
      <c r="R160" s="5" t="str">
        <v>其他费用</v>
      </c>
      <c r="S160" s="5" t="str">
        <v>公关礼品费</v>
      </c>
      <c r="T160" s="1" t="str">
        <v>品牌运营中心</v>
      </c>
      <c r="U160" s="1" t="str">
        <v>市场广告推广部</v>
      </c>
      <c r="V160" s="1" t="str">
        <v>市场推广部</v>
      </c>
      <c r="W160" s="3" t="str">
        <v>市场PR组</v>
      </c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>
      <c r="A161" s="25" t="str">
        <v>市场公关费</v>
      </c>
      <c r="B161" s="24" t="str">
        <v>YXHD165</v>
      </c>
      <c r="C161" s="26" t="str">
        <v>市场公关礼-自有</v>
      </c>
      <c r="D161" s="1" t="str">
        <v>市场公关</v>
      </c>
      <c r="E161" s="1" t="str">
        <v>市场公关运营</v>
      </c>
      <c r="F161" s="5" t="str">
        <v>启用</v>
      </c>
      <c r="G161" s="5" t="str">
        <v>否</v>
      </c>
      <c r="H161" s="8"/>
      <c r="I161" s="8"/>
      <c r="J161" s="9"/>
      <c r="K161" s="8"/>
      <c r="L161" s="8"/>
      <c r="M161" s="5" t="str">
        <v>否</v>
      </c>
      <c r="N161" s="5" t="str">
        <v>否</v>
      </c>
      <c r="O161" s="5" t="str">
        <v>是</v>
      </c>
      <c r="P161" s="5" t="str">
        <v>是</v>
      </c>
      <c r="Q161" s="5" t="str">
        <v>营销费用</v>
      </c>
      <c r="R161" s="5" t="str">
        <v>其他费用</v>
      </c>
      <c r="S161" s="5" t="str">
        <v>公关礼品费</v>
      </c>
      <c r="T161" s="1" t="str">
        <v>品牌运营中心</v>
      </c>
      <c r="U161" s="1" t="str">
        <v>市场广告推广部</v>
      </c>
      <c r="V161" s="1" t="str">
        <v>市场推广部</v>
      </c>
      <c r="W161" s="3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>
      <c r="A162" s="25" t="str">
        <v>市场公关费</v>
      </c>
      <c r="B162" s="24" t="str">
        <v>YXHD166</v>
      </c>
      <c r="C162" s="26" t="str">
        <v>市场公关线下活动</v>
      </c>
      <c r="D162" s="1" t="str">
        <v>市场公关</v>
      </c>
      <c r="E162" s="1" t="str">
        <v>市场公关运营</v>
      </c>
      <c r="F162" s="5" t="str">
        <v>启用</v>
      </c>
      <c r="G162" s="5" t="str">
        <v>否</v>
      </c>
      <c r="H162" s="8"/>
      <c r="I162" s="8"/>
      <c r="J162" s="9"/>
      <c r="K162" s="8"/>
      <c r="L162" s="8"/>
      <c r="M162" s="5" t="str">
        <v>否</v>
      </c>
      <c r="N162" s="5" t="str">
        <v>否</v>
      </c>
      <c r="O162" s="5" t="str">
        <v>是</v>
      </c>
      <c r="P162" s="5" t="str">
        <v>是</v>
      </c>
      <c r="Q162" s="5" t="str">
        <v>营销费用</v>
      </c>
      <c r="R162" s="5" t="str">
        <v>品牌宣传费</v>
      </c>
      <c r="S162" s="5" t="str">
        <v>创意策划服务费</v>
      </c>
      <c r="T162" s="1" t="str">
        <v>品牌运营中心</v>
      </c>
      <c r="U162" s="1" t="str">
        <v>市场广告推广部</v>
      </c>
      <c r="V162" s="1" t="str">
        <v>市场推广部</v>
      </c>
      <c r="W162" s="3" t="str">
        <v>市场PR组</v>
      </c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>
      <c r="A163" s="25" t="str">
        <v>特殊渠道推广</v>
      </c>
      <c r="B163" s="24" t="str">
        <v>YXHD167</v>
      </c>
      <c r="C163" s="26" t="str">
        <v>特渠运营</v>
      </c>
      <c r="D163" s="1" t="str">
        <v>特殊渠道推广</v>
      </c>
      <c r="E163" s="1" t="str">
        <v>特殊渠道推广</v>
      </c>
      <c r="F163" s="5" t="str">
        <v>启用</v>
      </c>
      <c r="G163" s="5" t="str">
        <v>否</v>
      </c>
      <c r="H163" s="8"/>
      <c r="I163" s="8"/>
      <c r="J163" s="9"/>
      <c r="K163" s="8"/>
      <c r="L163" s="8"/>
      <c r="M163" s="5" t="str">
        <v>否</v>
      </c>
      <c r="N163" s="5" t="str">
        <v>否</v>
      </c>
      <c r="O163" s="5" t="str">
        <v>否</v>
      </c>
      <c r="P163" s="5" t="str">
        <v>否</v>
      </c>
      <c r="Q163" s="5" t="str">
        <v>营销费用</v>
      </c>
      <c r="R163" s="5" t="str">
        <v>渠道推广费</v>
      </c>
      <c r="S163" s="5" t="str">
        <v>线下推广费</v>
      </c>
      <c r="T163" s="1" t="str">
        <v>品牌运营中心</v>
      </c>
      <c r="U163" s="1" t="str">
        <v>特渠部</v>
      </c>
      <c r="V163" s="1"/>
      <c r="W163" s="3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A164" s="18" t="str">
        <v>快手渠道推广</v>
      </c>
      <c r="B164" s="5" t="str">
        <v>YXHD168</v>
      </c>
      <c r="C164" s="1" t="str">
        <v>磁力金牛</v>
      </c>
      <c r="D164" s="1" t="str">
        <v>直播电商推广</v>
      </c>
      <c r="E164" s="1" t="str">
        <v>快手电商渠道推广</v>
      </c>
      <c r="F164" s="5" t="str">
        <v>启用</v>
      </c>
      <c r="G164" s="5" t="str">
        <v>是</v>
      </c>
      <c r="H164" s="8" t="str">
        <v>快手花西子旗舰店</v>
      </c>
      <c r="I164" s="8" t="str">
        <v>DP031</v>
      </c>
      <c r="J164" s="9" t="str">
        <v>快手</v>
      </c>
      <c r="K164" s="8" t="str">
        <v>快手非达播</v>
      </c>
      <c r="L164" s="8" t="str">
        <v>快手非达播</v>
      </c>
      <c r="M164" s="5" t="str">
        <v>是</v>
      </c>
      <c r="N164" s="5" t="str">
        <v>否</v>
      </c>
      <c r="O164" s="5" t="str">
        <v>否</v>
      </c>
      <c r="P164" s="5" t="str">
        <v>否</v>
      </c>
      <c r="Q164" s="5" t="str">
        <v>营销费用</v>
      </c>
      <c r="R164" s="5" t="str">
        <v>渠道推广费</v>
      </c>
      <c r="S164" s="5" t="str">
        <v>站内推广费</v>
      </c>
      <c r="T164" s="1" t="str">
        <v>品牌运营中心</v>
      </c>
      <c r="U164" s="1" t="str">
        <v>内容电商部</v>
      </c>
      <c r="V164" s="1" t="str">
        <v>快手部</v>
      </c>
      <c r="W164" s="3" t="str">
        <v>快手运营推广部</v>
      </c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>
      <c r="A165" s="7" t="str">
        <v>内容加热</v>
      </c>
      <c r="B165" s="5" t="str">
        <v>YXHD169</v>
      </c>
      <c r="C165" s="4" t="str">
        <v>抖音官号DOU+</v>
      </c>
      <c r="D165" s="1" t="str">
        <v>直播电商推广</v>
      </c>
      <c r="E165" s="1" t="str">
        <v>抖音电商渠道推广</v>
      </c>
      <c r="F165" s="5" t="str">
        <v>启用</v>
      </c>
      <c r="G165" s="5" t="str">
        <v>是</v>
      </c>
      <c r="H165" s="8" t="str">
        <v>抖音花西子旗舰店</v>
      </c>
      <c r="I165" s="8" t="str">
        <v>DP007</v>
      </c>
      <c r="J165" s="9" t="str">
        <v>抖音</v>
      </c>
      <c r="K165" s="8"/>
      <c r="L165" s="8"/>
      <c r="M165" s="5" t="str">
        <v>否</v>
      </c>
      <c r="N165" s="5" t="str">
        <v>否</v>
      </c>
      <c r="O165" s="5" t="str">
        <v>否</v>
      </c>
      <c r="P165" s="5" t="str">
        <v>否</v>
      </c>
      <c r="Q165" s="5" t="str">
        <v>营销费用</v>
      </c>
      <c r="R165" s="5" t="str">
        <v>达人推广费</v>
      </c>
      <c r="S165" s="5" t="str">
        <v>内容推广费</v>
      </c>
      <c r="T165" s="1" t="str">
        <v>品牌运营中心</v>
      </c>
      <c r="U165" s="1" t="str">
        <v>内容电商部</v>
      </c>
      <c r="V165" s="1" t="str">
        <v>抖音部</v>
      </c>
      <c r="W165" s="3" t="str">
        <v>抖音推广部</v>
      </c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>
      <c r="A166" s="7" t="str">
        <v>矩阵代运营</v>
      </c>
      <c r="B166" s="5" t="str">
        <v>YXHD170</v>
      </c>
      <c r="C166" s="4" t="str">
        <v>矩阵号服务费</v>
      </c>
      <c r="D166" s="1" t="str">
        <v>直播电商推广</v>
      </c>
      <c r="E166" s="1" t="str">
        <v>抖音矩阵号直播佣金服务费</v>
      </c>
      <c r="F166" s="5" t="str">
        <v>启用</v>
      </c>
      <c r="G166" s="5" t="str">
        <v>是</v>
      </c>
      <c r="H166" s="8" t="str">
        <v>抖音花西子旗舰店</v>
      </c>
      <c r="I166" s="8" t="str">
        <v>DP007</v>
      </c>
      <c r="J166" s="9" t="str">
        <v>抖音</v>
      </c>
      <c r="K166" s="8" t="str">
        <v>抖音矩阵号</v>
      </c>
      <c r="L166" s="8"/>
      <c r="M166" s="5" t="str">
        <v>否</v>
      </c>
      <c r="N166" s="5" t="str">
        <v>否</v>
      </c>
      <c r="O166" s="5" t="str">
        <v>否</v>
      </c>
      <c r="P166" s="5" t="str">
        <v>否</v>
      </c>
      <c r="Q166" s="5" t="str">
        <v>营销费用</v>
      </c>
      <c r="R166" s="5" t="str">
        <v>渠道推广费</v>
      </c>
      <c r="S166" s="5" t="str">
        <v>代运营服务费</v>
      </c>
      <c r="T166" s="1" t="str">
        <v>品牌运营中心</v>
      </c>
      <c r="U166" s="1" t="str">
        <v>内容电商部</v>
      </c>
      <c r="V166" s="1" t="str">
        <v>抖音部</v>
      </c>
      <c r="W166" s="17" t="str">
        <v>矩阵运营部</v>
      </c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A167" s="18" t="str">
        <v>矩阵号千川信息流</v>
      </c>
      <c r="B167" s="5" t="str">
        <v>YXHD171</v>
      </c>
      <c r="C167" s="1" t="str">
        <v>矩阵号千川信息流</v>
      </c>
      <c r="D167" s="1" t="str">
        <v>直播电商推广</v>
      </c>
      <c r="E167" s="1" t="str">
        <v>抖音矩阵号渠道推广</v>
      </c>
      <c r="F167" s="5" t="str">
        <v>启用</v>
      </c>
      <c r="G167" s="5" t="str">
        <v>是</v>
      </c>
      <c r="H167" s="8" t="str">
        <v>抖音花西子旗舰店</v>
      </c>
      <c r="I167" s="8" t="str">
        <v>DP007</v>
      </c>
      <c r="J167" s="9" t="str">
        <v>抖音</v>
      </c>
      <c r="K167" s="8" t="str">
        <v>抖音矩阵号</v>
      </c>
      <c r="L167" s="8"/>
      <c r="M167" s="5" t="str">
        <v>否</v>
      </c>
      <c r="N167" s="5" t="str">
        <v>否</v>
      </c>
      <c r="O167" s="5" t="str">
        <v>否</v>
      </c>
      <c r="P167" s="5" t="str">
        <v>否</v>
      </c>
      <c r="Q167" s="5" t="str">
        <v>营销费用</v>
      </c>
      <c r="R167" s="5" t="str">
        <v>渠道推广费</v>
      </c>
      <c r="S167" s="5" t="str">
        <v>站内推广费</v>
      </c>
      <c r="T167" s="1" t="str">
        <v>品牌运营中心</v>
      </c>
      <c r="U167" s="1" t="str">
        <v>内容电商部</v>
      </c>
      <c r="V167" s="1" t="str">
        <v>抖音部</v>
      </c>
      <c r="W167" s="17" t="str">
        <v>矩阵运营部</v>
      </c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>
      <c r="A168" s="7" t="str">
        <v>矩阵代运营</v>
      </c>
      <c r="B168" s="5" t="str">
        <v>YXHD172</v>
      </c>
      <c r="C168" s="4" t="str">
        <v>矩阵号佣金</v>
      </c>
      <c r="D168" s="1" t="str">
        <v>直播电商推广</v>
      </c>
      <c r="E168" s="1" t="str">
        <v>抖音矩阵号直播佣金服务费</v>
      </c>
      <c r="F168" s="5" t="str">
        <v>启用</v>
      </c>
      <c r="G168" s="5" t="str">
        <v>是</v>
      </c>
      <c r="H168" s="8" t="str">
        <v>抖音花西子旗舰店</v>
      </c>
      <c r="I168" s="8" t="str">
        <v>DP007</v>
      </c>
      <c r="J168" s="9" t="str">
        <v>抖音</v>
      </c>
      <c r="K168" s="8" t="str">
        <v>抖音矩阵号</v>
      </c>
      <c r="L168" s="8"/>
      <c r="M168" s="5" t="str">
        <v>是</v>
      </c>
      <c r="N168" s="5" t="str">
        <v>是</v>
      </c>
      <c r="O168" s="5" t="str">
        <v>否</v>
      </c>
      <c r="P168" s="5" t="str">
        <v>否</v>
      </c>
      <c r="Q168" s="5" t="str">
        <v>营销费用</v>
      </c>
      <c r="R168" s="5" t="str">
        <v>渠道推广费</v>
      </c>
      <c r="S168" s="5" t="str">
        <v>代运营佣金</v>
      </c>
      <c r="T168" s="1" t="str">
        <v>品牌运营中心</v>
      </c>
      <c r="U168" s="1" t="str">
        <v>内容电商部</v>
      </c>
      <c r="V168" s="1" t="str">
        <v>抖音部</v>
      </c>
      <c r="W168" s="17" t="str">
        <v>矩阵运营部</v>
      </c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customHeight="true" ht="20" r="169">
      <c r="A169" s="7" t="str">
        <v>快手人设号</v>
      </c>
      <c r="B169" s="5" t="str">
        <v>YXHD173</v>
      </c>
      <c r="C169" s="4" t="str">
        <v>快手人设号-服务费</v>
      </c>
      <c r="D169" s="1" t="str">
        <v>直播电商推广</v>
      </c>
      <c r="E169" s="1" t="str">
        <v>快手人设号</v>
      </c>
      <c r="F169" s="5" t="str">
        <v>启用</v>
      </c>
      <c r="G169" s="5" t="str">
        <v>是</v>
      </c>
      <c r="H169" s="6" t="str">
        <v>快手花西子宜格企业店</v>
      </c>
      <c r="I169" s="6" t="str">
        <v>DP080</v>
      </c>
      <c r="J169" s="9" t="str">
        <v>快手</v>
      </c>
      <c r="K169" s="8" t="str">
        <v>快手人设号</v>
      </c>
      <c r="L169" s="8" t="str">
        <v>快手人设号</v>
      </c>
      <c r="M169" s="5" t="str">
        <v>否</v>
      </c>
      <c r="N169" s="5" t="str">
        <v>否</v>
      </c>
      <c r="O169" s="5" t="str">
        <v>否</v>
      </c>
      <c r="P169" s="5" t="str">
        <v>否</v>
      </c>
      <c r="Q169" s="5" t="str">
        <v>营销费用</v>
      </c>
      <c r="R169" s="5" t="str">
        <v>渠道推广费</v>
      </c>
      <c r="S169" s="43" t="str">
        <v>代运营服务费</v>
      </c>
      <c r="T169" s="1" t="str">
        <v>品牌运营中心</v>
      </c>
      <c r="U169" s="29" t="str">
        <v>内容电商部</v>
      </c>
      <c r="V169" s="1" t="str">
        <v>快手部</v>
      </c>
      <c r="W169" s="3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A170" s="7" t="str">
        <v>快手人设号</v>
      </c>
      <c r="B170" s="5" t="str">
        <v>YXHD174</v>
      </c>
      <c r="C170" s="4" t="str">
        <v>快手人设号-内容制作</v>
      </c>
      <c r="D170" s="1" t="str">
        <v>直播电商推广</v>
      </c>
      <c r="E170" s="1" t="str">
        <v>快手人设号</v>
      </c>
      <c r="F170" s="5" t="str">
        <v>启用</v>
      </c>
      <c r="G170" s="5" t="str">
        <v>是</v>
      </c>
      <c r="H170" s="6" t="str">
        <v>快手花西子宜格企业店</v>
      </c>
      <c r="I170" s="6" t="str">
        <v>DP080</v>
      </c>
      <c r="J170" s="9" t="str">
        <v>快手</v>
      </c>
      <c r="K170" s="8" t="str">
        <v>快手人设号</v>
      </c>
      <c r="L170" s="8" t="str">
        <v>快手人设号</v>
      </c>
      <c r="M170" s="5" t="str">
        <v>否</v>
      </c>
      <c r="N170" s="5" t="str">
        <v>否</v>
      </c>
      <c r="O170" s="5" t="str">
        <v>否</v>
      </c>
      <c r="P170" s="5" t="str">
        <v>否</v>
      </c>
      <c r="Q170" s="5" t="str">
        <v>营销费用</v>
      </c>
      <c r="R170" s="5" t="str">
        <v>内容制作费</v>
      </c>
      <c r="S170" s="5" t="str">
        <v>内容制作费</v>
      </c>
      <c r="T170" s="1" t="str">
        <v>品牌运营中心</v>
      </c>
      <c r="U170" s="29" t="str">
        <v>内容电商部</v>
      </c>
      <c r="V170" s="1" t="str">
        <v>快手部</v>
      </c>
      <c r="W170" s="3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>
      <c r="A171" s="7" t="str">
        <v>快手人设号</v>
      </c>
      <c r="B171" s="5" t="str">
        <v>YXHD175</v>
      </c>
      <c r="C171" s="4" t="str">
        <v>快手人设号-视频制作</v>
      </c>
      <c r="D171" s="1" t="str">
        <v>直播电商推广</v>
      </c>
      <c r="E171" s="1" t="str">
        <v>快手人设号</v>
      </c>
      <c r="F171" s="5" t="str">
        <v>启用</v>
      </c>
      <c r="G171" s="5" t="str">
        <v>是</v>
      </c>
      <c r="H171" s="6" t="str">
        <v>快手花西子宜格企业店</v>
      </c>
      <c r="I171" s="6" t="str">
        <v>DP080</v>
      </c>
      <c r="J171" s="9" t="str">
        <v>快手</v>
      </c>
      <c r="K171" s="8" t="str">
        <v>快手人设号</v>
      </c>
      <c r="L171" s="8" t="str">
        <v>快手人设号</v>
      </c>
      <c r="M171" s="5" t="str">
        <v>否</v>
      </c>
      <c r="N171" s="5" t="str">
        <v>否</v>
      </c>
      <c r="O171" s="5" t="str">
        <v>否</v>
      </c>
      <c r="P171" s="5" t="str">
        <v>否</v>
      </c>
      <c r="Q171" s="5" t="str">
        <v>营销费用</v>
      </c>
      <c r="R171" s="5" t="str">
        <v>内容制作费</v>
      </c>
      <c r="S171" s="5" t="str">
        <v>视频制作费</v>
      </c>
      <c r="T171" s="1" t="str">
        <v>品牌运营中心</v>
      </c>
      <c r="U171" s="29" t="str">
        <v>内容电商部</v>
      </c>
      <c r="V171" s="1" t="str">
        <v>快手部</v>
      </c>
      <c r="W171" s="3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>
      <c r="A172" s="7" t="str">
        <v>快手人设号</v>
      </c>
      <c r="B172" s="5" t="str">
        <v>YXHD176</v>
      </c>
      <c r="C172" s="4" t="str">
        <v>快手人设号-图文平面制作</v>
      </c>
      <c r="D172" s="1" t="str">
        <v>直播电商推广</v>
      </c>
      <c r="E172" s="1" t="str">
        <v>快手人设号</v>
      </c>
      <c r="F172" s="5" t="str">
        <v>启用</v>
      </c>
      <c r="G172" s="5" t="str">
        <v>是</v>
      </c>
      <c r="H172" s="6" t="str">
        <v>快手花西子宜格企业店</v>
      </c>
      <c r="I172" s="6" t="str">
        <v>DP080</v>
      </c>
      <c r="J172" s="9" t="str">
        <v>快手</v>
      </c>
      <c r="K172" s="8" t="str">
        <v>快手人设号</v>
      </c>
      <c r="L172" s="8" t="str">
        <v>快手人设号</v>
      </c>
      <c r="M172" s="5" t="str">
        <v>否</v>
      </c>
      <c r="N172" s="5" t="str">
        <v>否</v>
      </c>
      <c r="O172" s="5" t="str">
        <v>否</v>
      </c>
      <c r="P172" s="5" t="str">
        <v>否</v>
      </c>
      <c r="Q172" s="5" t="str">
        <v>营销费用</v>
      </c>
      <c r="R172" s="5" t="str">
        <v>内容制作费</v>
      </c>
      <c r="S172" s="5" t="str">
        <v>图文平面制作费</v>
      </c>
      <c r="T172" s="1" t="str">
        <v>品牌运营中心</v>
      </c>
      <c r="U172" s="29" t="str">
        <v>内容电商部</v>
      </c>
      <c r="V172" s="1" t="str">
        <v>快手部</v>
      </c>
      <c r="W172" s="3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>
      <c r="A173" s="18" t="str">
        <v>千川信息流</v>
      </c>
      <c r="B173" s="5" t="str">
        <v>YXHD177</v>
      </c>
      <c r="C173" s="30" t="str">
        <v>千川信息流</v>
      </c>
      <c r="D173" s="1" t="str">
        <v>直播电商推广</v>
      </c>
      <c r="E173" s="1" t="str">
        <v>抖音电商渠道推广</v>
      </c>
      <c r="F173" s="5" t="str">
        <v>启用</v>
      </c>
      <c r="G173" s="5" t="str">
        <v>是</v>
      </c>
      <c r="H173" s="8" t="str">
        <v>抖音花西子旗舰店</v>
      </c>
      <c r="I173" s="8" t="str">
        <v>DP007</v>
      </c>
      <c r="J173" s="9" t="str">
        <v>抖音</v>
      </c>
      <c r="K173" s="8" t="str">
        <v>抖音自播</v>
      </c>
      <c r="L173" s="8" t="str">
        <v>抖音自播</v>
      </c>
      <c r="M173" s="5" t="str">
        <v>否</v>
      </c>
      <c r="N173" s="5" t="str">
        <v>否</v>
      </c>
      <c r="O173" s="5" t="str">
        <v>否</v>
      </c>
      <c r="P173" s="5" t="str">
        <v>否</v>
      </c>
      <c r="Q173" s="5" t="str">
        <v>营销费用</v>
      </c>
      <c r="R173" s="5" t="str">
        <v>渠道推广费</v>
      </c>
      <c r="S173" s="5" t="str">
        <v>站内推广费</v>
      </c>
      <c r="T173" s="1" t="str">
        <v>品牌运营中心</v>
      </c>
      <c r="U173" s="1" t="str">
        <v>内容电商部</v>
      </c>
      <c r="V173" s="1" t="str">
        <v>抖音部</v>
      </c>
      <c r="W173" s="3" t="str">
        <v>抖音推广部</v>
      </c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customHeight="true" ht="24" r="174">
      <c r="A174" s="7" t="str">
        <v>直播间物料制作</v>
      </c>
      <c r="B174" s="5" t="str">
        <v>YXHD178</v>
      </c>
      <c r="C174" s="4" t="str">
        <v>抖音其他/快手直播间道具及搭建</v>
      </c>
      <c r="D174" s="1" t="str">
        <v>直播间运营费</v>
      </c>
      <c r="E174" s="1" t="str">
        <v>达播道具及搭建 - 抖音其他/快手</v>
      </c>
      <c r="F174" s="5" t="str">
        <v>启用</v>
      </c>
      <c r="G174" s="5" t="str">
        <v>是</v>
      </c>
      <c r="H174" s="8" t="str">
        <v>抖音花西子旗舰店</v>
      </c>
      <c r="I174" s="8" t="str">
        <v>DP007</v>
      </c>
      <c r="J174" s="9" t="str">
        <v>抖音</v>
      </c>
      <c r="K174" s="6" t="str">
        <v>达播-其他</v>
      </c>
      <c r="L174" s="6" t="str">
        <v>达播-其他</v>
      </c>
      <c r="M174" s="5" t="str">
        <v>否</v>
      </c>
      <c r="N174" s="5" t="str">
        <v>否</v>
      </c>
      <c r="O174" s="5" t="str">
        <v>是</v>
      </c>
      <c r="P174" s="5" t="str">
        <v>是</v>
      </c>
      <c r="Q174" s="5" t="str">
        <v>营销费用</v>
      </c>
      <c r="R174" s="5" t="str">
        <v>渠道推广费</v>
      </c>
      <c r="S174" s="5" t="str">
        <v>直播间物料费</v>
      </c>
      <c r="T174" s="1" t="str">
        <v>品牌运营中心</v>
      </c>
      <c r="U174" s="1" t="str">
        <v>市场广告推广部</v>
      </c>
      <c r="V174" s="1" t="str">
        <v>达播2部</v>
      </c>
      <c r="W174" s="3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>
      <c r="A175" s="7" t="str">
        <v>李佳琦</v>
      </c>
      <c r="B175" s="5" t="str">
        <v>YXHD179</v>
      </c>
      <c r="C175" s="4" t="str">
        <v>佳琦直播间场景搭建</v>
      </c>
      <c r="D175" s="1" t="str">
        <v>直播间运营费</v>
      </c>
      <c r="E175" s="1" t="str">
        <v>佳琦道具及搭建</v>
      </c>
      <c r="F175" s="5" t="str">
        <v>启用</v>
      </c>
      <c r="G175" s="5" t="str">
        <v>是</v>
      </c>
      <c r="H175" s="8" t="str">
        <v>天猫花西子旗舰店</v>
      </c>
      <c r="I175" s="8" t="str">
        <v>DP015</v>
      </c>
      <c r="J175" s="9" t="str">
        <v>天猫</v>
      </c>
      <c r="K175" s="6" t="str">
        <v>天猫达播-LJQ</v>
      </c>
      <c r="L175" s="6" t="str">
        <v>天猫达播-LJQ</v>
      </c>
      <c r="M175" s="5" t="str">
        <v>否</v>
      </c>
      <c r="N175" s="5" t="str">
        <v>否</v>
      </c>
      <c r="O175" s="5" t="str">
        <v>是</v>
      </c>
      <c r="P175" s="5" t="str">
        <v>是</v>
      </c>
      <c r="Q175" s="5" t="str">
        <v>营销费用</v>
      </c>
      <c r="R175" s="5" t="str">
        <v>渠道推广费</v>
      </c>
      <c r="S175" s="5" t="str">
        <v>直播间物料费</v>
      </c>
      <c r="T175" s="1" t="str">
        <v>品牌运营中心</v>
      </c>
      <c r="U175" s="30" t="str">
        <v>直播运营部</v>
      </c>
      <c r="V175" s="30" t="str">
        <v>SKA达播部</v>
      </c>
      <c r="W175" s="3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A176" s="7" t="str">
        <v>田恬</v>
      </c>
      <c r="B176" s="5" t="str">
        <v>YXHD180</v>
      </c>
      <c r="C176" s="4" t="str">
        <v>田恬直播间场景搭建</v>
      </c>
      <c r="D176" s="1" t="str">
        <v>直播间运营费</v>
      </c>
      <c r="E176" s="1" t="str">
        <v>达播道具及搭建-田恬</v>
      </c>
      <c r="F176" s="5" t="str">
        <v>启用</v>
      </c>
      <c r="G176" s="5" t="str">
        <v>是</v>
      </c>
      <c r="H176" s="8" t="str">
        <v>抖音花西子旗舰店</v>
      </c>
      <c r="I176" s="8" t="str">
        <v>DP007</v>
      </c>
      <c r="J176" s="9" t="str">
        <v>抖音</v>
      </c>
      <c r="K176" s="6" t="str">
        <v>达播-田恬</v>
      </c>
      <c r="L176" s="6" t="str">
        <v>达播-田恬</v>
      </c>
      <c r="M176" s="5" t="str">
        <v>否</v>
      </c>
      <c r="N176" s="5" t="str">
        <v>否</v>
      </c>
      <c r="O176" s="5" t="str">
        <v>是</v>
      </c>
      <c r="P176" s="5" t="str">
        <v>是</v>
      </c>
      <c r="Q176" s="5" t="str">
        <v>营销费用</v>
      </c>
      <c r="R176" s="5" t="str">
        <v>渠道推广费</v>
      </c>
      <c r="S176" s="5" t="str">
        <v>直播间物料费</v>
      </c>
      <c r="T176" s="1" t="str">
        <v>品牌运营中心</v>
      </c>
      <c r="U176" s="30" t="str">
        <v>直播运营部</v>
      </c>
      <c r="V176" s="30" t="str">
        <v>SKA达播部</v>
      </c>
      <c r="W176" s="3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>
      <c r="A177" s="7" t="str">
        <v>直播间物料制作</v>
      </c>
      <c r="B177" s="5" t="str">
        <v>YXHD181</v>
      </c>
      <c r="C177" s="4" t="str">
        <v>直播间场景道具</v>
      </c>
      <c r="D177" s="1" t="str">
        <v>直播间运营费</v>
      </c>
      <c r="E177" s="1" t="str">
        <v>直播间物料</v>
      </c>
      <c r="F177" s="5" t="str">
        <v>启用</v>
      </c>
      <c r="G177" s="5" t="str">
        <v>否</v>
      </c>
      <c r="H177" s="8"/>
      <c r="I177" s="8"/>
      <c r="J177" s="9"/>
      <c r="K177" s="8"/>
      <c r="L177" s="8"/>
      <c r="M177" s="5" t="str">
        <v>否</v>
      </c>
      <c r="N177" s="5" t="str">
        <v>否</v>
      </c>
      <c r="O177" s="5" t="str">
        <v>是</v>
      </c>
      <c r="P177" s="5" t="str">
        <v>是</v>
      </c>
      <c r="Q177" s="5" t="str">
        <v>营销费用</v>
      </c>
      <c r="R177" s="5" t="str">
        <v>渠道推广费</v>
      </c>
      <c r="S177" s="5" t="str">
        <v>直播间物料费</v>
      </c>
      <c r="T177" s="1" t="str">
        <v>品牌运营中心</v>
      </c>
      <c r="U177" s="1" t="str">
        <v>直播运营部</v>
      </c>
      <c r="V177" s="1" t="str">
        <v>直播中台部</v>
      </c>
      <c r="W177" s="3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>
      <c r="A178" s="36" t="str">
        <v>直播间奖品</v>
      </c>
      <c r="B178" s="38" t="str">
        <v>YXHD182</v>
      </c>
      <c r="C178" s="39" t="str">
        <v>直播间奖品-抖音</v>
      </c>
      <c r="D178" s="37" t="str">
        <v>直播间运营费</v>
      </c>
      <c r="E178" s="37" t="str">
        <v>直播间奖品</v>
      </c>
      <c r="F178" s="12" t="str">
        <v>禁用</v>
      </c>
      <c r="G178" s="38" t="str">
        <v>是</v>
      </c>
      <c r="H178" s="8" t="str">
        <v>抖音花西子旗舰店</v>
      </c>
      <c r="I178" s="8" t="str">
        <v>DP007</v>
      </c>
      <c r="J178" s="9" t="str">
        <v>抖音</v>
      </c>
      <c r="K178" s="8" t="str">
        <v>抖音自播</v>
      </c>
      <c r="L178" s="8" t="str">
        <v>抖音自播</v>
      </c>
      <c r="M178" s="38" t="str">
        <v>否</v>
      </c>
      <c r="N178" s="38" t="str">
        <v>否</v>
      </c>
      <c r="O178" s="38" t="str">
        <v>是</v>
      </c>
      <c r="P178" s="38" t="str">
        <v>是</v>
      </c>
      <c r="Q178" s="38" t="str">
        <v>营销费用</v>
      </c>
      <c r="R178" s="38" t="str">
        <v>渠道推广费</v>
      </c>
      <c r="S178" s="38" t="str">
        <v>直播间活动费</v>
      </c>
      <c r="T178" s="37" t="str">
        <v>品牌运营中心</v>
      </c>
      <c r="U178" s="37" t="str">
        <v>直播运营部</v>
      </c>
      <c r="V178" s="37" t="str">
        <v>直播运营部</v>
      </c>
      <c r="W178" s="40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</row>
    <row r="179">
      <c r="A179" s="36" t="str">
        <v>直播间奖品</v>
      </c>
      <c r="B179" s="38" t="str">
        <v>YXHD183</v>
      </c>
      <c r="C179" s="39" t="str">
        <v>直播间奖品-京东</v>
      </c>
      <c r="D179" s="37" t="str">
        <v>直播间运营费</v>
      </c>
      <c r="E179" s="37" t="str">
        <v>直播间奖品</v>
      </c>
      <c r="F179" s="12" t="str">
        <v>禁用</v>
      </c>
      <c r="G179" s="38" t="str">
        <v>是</v>
      </c>
      <c r="H179" s="8" t="str">
        <v>京东花西子旗舰店</v>
      </c>
      <c r="I179" s="8" t="str">
        <v>DP002</v>
      </c>
      <c r="J179" s="9" t="str">
        <v>京东</v>
      </c>
      <c r="K179" s="8" t="str">
        <v>京东花西子自营店</v>
      </c>
      <c r="L179" s="8" t="str">
        <v>京东花西子自营店</v>
      </c>
      <c r="M179" s="38" t="str">
        <v>否</v>
      </c>
      <c r="N179" s="38" t="str">
        <v>否</v>
      </c>
      <c r="O179" s="38" t="str">
        <v>是</v>
      </c>
      <c r="P179" s="38" t="str">
        <v>是</v>
      </c>
      <c r="Q179" s="38" t="str">
        <v>营销费用</v>
      </c>
      <c r="R179" s="38" t="str">
        <v>渠道推广费</v>
      </c>
      <c r="S179" s="38" t="str">
        <v>直播间活动费</v>
      </c>
      <c r="T179" s="37" t="str">
        <v>品牌运营中心</v>
      </c>
      <c r="U179" s="37" t="str">
        <v>直播运营部</v>
      </c>
      <c r="V179" s="37" t="str">
        <v>直播运营部</v>
      </c>
      <c r="W179" s="40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</row>
    <row r="180">
      <c r="A180" s="36" t="str">
        <v>直播间奖品</v>
      </c>
      <c r="B180" s="38" t="str">
        <v>YXHD184</v>
      </c>
      <c r="C180" s="39" t="str">
        <v>直播间奖品-快手</v>
      </c>
      <c r="D180" s="37" t="str">
        <v>直播间运营费</v>
      </c>
      <c r="E180" s="37" t="str">
        <v>直播间奖品</v>
      </c>
      <c r="F180" s="12" t="str">
        <v>禁用</v>
      </c>
      <c r="G180" s="38" t="str">
        <v>是</v>
      </c>
      <c r="H180" s="8" t="str">
        <v>快手花西子旗舰店</v>
      </c>
      <c r="I180" s="8" t="str">
        <v>DP031</v>
      </c>
      <c r="J180" s="9" t="str">
        <v>快手</v>
      </c>
      <c r="K180" s="8" t="str">
        <v>快手达播</v>
      </c>
      <c r="L180" s="8" t="str">
        <v>快手达播</v>
      </c>
      <c r="M180" s="38" t="str">
        <v>否</v>
      </c>
      <c r="N180" s="38" t="str">
        <v>否</v>
      </c>
      <c r="O180" s="38" t="str">
        <v>是</v>
      </c>
      <c r="P180" s="38" t="str">
        <v>是</v>
      </c>
      <c r="Q180" s="38" t="str">
        <v>营销费用</v>
      </c>
      <c r="R180" s="38" t="str">
        <v>渠道推广费</v>
      </c>
      <c r="S180" s="38" t="str">
        <v>直播间活动费</v>
      </c>
      <c r="T180" s="37" t="str">
        <v>品牌运营中心</v>
      </c>
      <c r="U180" s="37" t="str">
        <v>直播运营部</v>
      </c>
      <c r="V180" s="37" t="str">
        <v>直播运营部</v>
      </c>
      <c r="W180" s="40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</row>
    <row r="181">
      <c r="A181" s="36" t="str">
        <v>直播间奖品</v>
      </c>
      <c r="B181" s="38" t="str">
        <v>YXHD185</v>
      </c>
      <c r="C181" s="39" t="str">
        <v>直播间奖品-天猫</v>
      </c>
      <c r="D181" s="37" t="str">
        <v>直播间运营费</v>
      </c>
      <c r="E181" s="37" t="str">
        <v>直播间奖品</v>
      </c>
      <c r="F181" s="12" t="str">
        <v>禁用</v>
      </c>
      <c r="G181" s="38" t="str">
        <v>是</v>
      </c>
      <c r="H181" s="8" t="str">
        <v>天猫花西子旗舰店</v>
      </c>
      <c r="I181" s="8" t="str">
        <v>DP015</v>
      </c>
      <c r="J181" s="9" t="str">
        <v>天猫</v>
      </c>
      <c r="K181" s="8" t="str">
        <v>天猫自播</v>
      </c>
      <c r="L181" s="8" t="str">
        <v>天猫自播</v>
      </c>
      <c r="M181" s="38" t="str">
        <v>否</v>
      </c>
      <c r="N181" s="38" t="str">
        <v>否</v>
      </c>
      <c r="O181" s="38" t="str">
        <v>是</v>
      </c>
      <c r="P181" s="38" t="str">
        <v>是</v>
      </c>
      <c r="Q181" s="38" t="str">
        <v>营销费用</v>
      </c>
      <c r="R181" s="38" t="str">
        <v>渠道推广费</v>
      </c>
      <c r="S181" s="38" t="str">
        <v>直播间活动费</v>
      </c>
      <c r="T181" s="37" t="str">
        <v>品牌运营中心</v>
      </c>
      <c r="U181" s="37" t="str">
        <v>直播运营部</v>
      </c>
      <c r="V181" s="37" t="str">
        <v>直播运营部</v>
      </c>
      <c r="W181" s="40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</row>
    <row r="182">
      <c r="A182" s="36" t="str">
        <v>直播间奖品</v>
      </c>
      <c r="B182" s="38" t="str">
        <v>YXHD186</v>
      </c>
      <c r="C182" s="39" t="str">
        <v>直播间奖品-唯品</v>
      </c>
      <c r="D182" s="37" t="str">
        <v>直播间运营费</v>
      </c>
      <c r="E182" s="37" t="str">
        <v>直播间奖品</v>
      </c>
      <c r="F182" s="12" t="str">
        <v>禁用</v>
      </c>
      <c r="G182" s="38" t="str">
        <v>是</v>
      </c>
      <c r="H182" s="8" t="str">
        <v>唯品会自营花西子旗舰店</v>
      </c>
      <c r="I182" s="8" t="str">
        <v>DP029</v>
      </c>
      <c r="J182" s="9" t="str">
        <v>唯品会</v>
      </c>
      <c r="K182" s="8" t="str">
        <v>唯品会花西子自营店</v>
      </c>
      <c r="L182" s="8" t="str">
        <v>唯品会花西子自营店</v>
      </c>
      <c r="M182" s="38" t="str">
        <v>否</v>
      </c>
      <c r="N182" s="38" t="str">
        <v>否</v>
      </c>
      <c r="O182" s="38" t="str">
        <v>是</v>
      </c>
      <c r="P182" s="38" t="str">
        <v>是</v>
      </c>
      <c r="Q182" s="38" t="str">
        <v>营销费用</v>
      </c>
      <c r="R182" s="38" t="str">
        <v>渠道推广费</v>
      </c>
      <c r="S182" s="38" t="str">
        <v>直播间活动费</v>
      </c>
      <c r="T182" s="37" t="str">
        <v>品牌运营中心</v>
      </c>
      <c r="U182" s="37" t="str">
        <v>直播运营部</v>
      </c>
      <c r="V182" s="37" t="str">
        <v>直播运营部</v>
      </c>
      <c r="W182" s="40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</row>
    <row r="183">
      <c r="A183" s="7" t="str">
        <v>直播间物料制作</v>
      </c>
      <c r="B183" s="5" t="str">
        <v>YXHD187</v>
      </c>
      <c r="C183" s="4" t="str">
        <v>直播间其他用品</v>
      </c>
      <c r="D183" s="1" t="str">
        <v>直播间运营费</v>
      </c>
      <c r="E183" s="1" t="str">
        <v>直播间奖品</v>
      </c>
      <c r="F183" s="5" t="str">
        <v>启用</v>
      </c>
      <c r="G183" s="5" t="str">
        <v>是</v>
      </c>
      <c r="H183" s="8" t="str">
        <v>全部店铺，报销时手动选择店铺</v>
      </c>
      <c r="I183" s="8"/>
      <c r="J183" s="9"/>
      <c r="K183" s="8"/>
      <c r="L183" s="8"/>
      <c r="M183" s="5" t="str">
        <v>否</v>
      </c>
      <c r="N183" s="5" t="str">
        <v>否</v>
      </c>
      <c r="O183" s="5" t="str">
        <v>是</v>
      </c>
      <c r="P183" s="5" t="str">
        <v>是</v>
      </c>
      <c r="Q183" s="5" t="str">
        <v>营销费用</v>
      </c>
      <c r="R183" s="5" t="str">
        <v>渠道推广费</v>
      </c>
      <c r="S183" s="5" t="str">
        <v>直播间活动费</v>
      </c>
      <c r="T183" s="1" t="str">
        <v>品牌运营中心</v>
      </c>
      <c r="U183" s="1" t="str">
        <v>直播运营部</v>
      </c>
      <c r="V183" s="1" t="str">
        <v>直播中台部</v>
      </c>
      <c r="W183" s="3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>
      <c r="A184" s="7" t="str">
        <v>直播间物料制作</v>
      </c>
      <c r="B184" s="5" t="str">
        <v>YXHD188</v>
      </c>
      <c r="C184" s="4" t="str">
        <v>主播部妆发造</v>
      </c>
      <c r="D184" s="1" t="str">
        <v>直播间运营费</v>
      </c>
      <c r="E184" s="1" t="str">
        <v>主播妆发造</v>
      </c>
      <c r="F184" s="5" t="str">
        <v>启用</v>
      </c>
      <c r="G184" s="5" t="str">
        <v>否</v>
      </c>
      <c r="H184" s="8"/>
      <c r="I184" s="8"/>
      <c r="J184" s="9"/>
      <c r="K184" s="8"/>
      <c r="L184" s="8"/>
      <c r="M184" s="5" t="str">
        <v>否</v>
      </c>
      <c r="N184" s="5" t="str">
        <v>否</v>
      </c>
      <c r="O184" s="5" t="str">
        <v>是</v>
      </c>
      <c r="P184" s="5" t="str">
        <v>是</v>
      </c>
      <c r="Q184" s="5" t="str">
        <v>营销费用</v>
      </c>
      <c r="R184" s="5" t="str">
        <v>内容制作费</v>
      </c>
      <c r="S184" s="5" t="str">
        <v>服化道费用</v>
      </c>
      <c r="T184" s="1" t="str">
        <v>品牌运营中心</v>
      </c>
      <c r="U184" s="1" t="str">
        <v>直播运营部</v>
      </c>
      <c r="V184" s="1" t="str">
        <v>主播部</v>
      </c>
      <c r="W184" s="3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>
      <c r="A185" s="7" t="str">
        <v>直播间物料制作</v>
      </c>
      <c r="B185" s="5" t="str">
        <v>YXHD189</v>
      </c>
      <c r="C185" s="4" t="str">
        <v>主播团队激励</v>
      </c>
      <c r="D185" s="1" t="str">
        <v>直播间运营费</v>
      </c>
      <c r="E185" s="1" t="str">
        <v>主播团队激励</v>
      </c>
      <c r="F185" s="5" t="str">
        <v>启用</v>
      </c>
      <c r="G185" s="5" t="str">
        <v>否</v>
      </c>
      <c r="H185" s="8"/>
      <c r="I185" s="8"/>
      <c r="J185" s="9"/>
      <c r="K185" s="8"/>
      <c r="L185" s="8"/>
      <c r="M185" s="5" t="str">
        <v>否</v>
      </c>
      <c r="N185" s="5" t="str">
        <v>否</v>
      </c>
      <c r="O185" s="5" t="str">
        <v>是</v>
      </c>
      <c r="P185" s="5" t="str">
        <v>是</v>
      </c>
      <c r="Q185" s="5" t="str">
        <v>营销费用</v>
      </c>
      <c r="R185" s="5" t="str">
        <v>其他费用</v>
      </c>
      <c r="S185" s="5" t="str">
        <v>主播团队激励</v>
      </c>
      <c r="T185" s="1" t="str">
        <v>品牌运营中心</v>
      </c>
      <c r="U185" s="1" t="str">
        <v>直播运营部</v>
      </c>
      <c r="V185" s="1" t="str">
        <v>主播部</v>
      </c>
      <c r="W185" s="3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customHeight="true" ht="19" r="186">
      <c r="A186" s="20" t="str">
        <v>淘宝客</v>
      </c>
      <c r="B186" s="19" t="str">
        <v>YXHD190</v>
      </c>
      <c r="C186" s="20" t="str">
        <v>淘宝客-佳琦</v>
      </c>
      <c r="D186" s="23" t="str">
        <v>平台电商推广</v>
      </c>
      <c r="E186" s="23" t="str">
        <v>淘内-淘宝客</v>
      </c>
      <c r="F186" s="5" t="str">
        <v>启用</v>
      </c>
      <c r="G186" s="19" t="str">
        <v>是</v>
      </c>
      <c r="H186" s="8" t="str">
        <v>天猫花西子旗舰店</v>
      </c>
      <c r="I186" s="8" t="str">
        <v>DP015</v>
      </c>
      <c r="J186" s="9" t="str">
        <v>天猫</v>
      </c>
      <c r="K186" s="8" t="str">
        <v>天猫达播</v>
      </c>
      <c r="L186" s="8" t="str">
        <v>天猫达播-LJQ</v>
      </c>
      <c r="M186" s="19" t="str">
        <v>是</v>
      </c>
      <c r="N186" s="19" t="str">
        <v>是</v>
      </c>
      <c r="O186" s="19" t="str">
        <v>否</v>
      </c>
      <c r="P186" s="19" t="str">
        <v>否</v>
      </c>
      <c r="Q186" s="19" t="str">
        <v>营销费用</v>
      </c>
      <c r="R186" s="19" t="str">
        <v>渠道推广费</v>
      </c>
      <c r="S186" s="19" t="str">
        <v>站内推广费</v>
      </c>
      <c r="T186" s="23" t="str">
        <v>品牌运营中心</v>
      </c>
      <c r="U186" s="23"/>
      <c r="V186" s="23"/>
      <c r="W186" s="21" t="str">
        <v>SKA</v>
      </c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</row>
    <row r="187">
      <c r="A187" s="25" t="str">
        <v>快手人设号</v>
      </c>
      <c r="B187" s="24" t="str">
        <v>YXHD191</v>
      </c>
      <c r="C187" s="26" t="str">
        <v>快手人设号-佣金</v>
      </c>
      <c r="D187" s="29" t="str">
        <v>直播电商推广</v>
      </c>
      <c r="E187" s="29" t="str">
        <v>快手人设号</v>
      </c>
      <c r="F187" s="5" t="str">
        <v>启用</v>
      </c>
      <c r="G187" s="24" t="str">
        <v>是</v>
      </c>
      <c r="H187" s="6" t="str">
        <v>快手花西子宜格企业店</v>
      </c>
      <c r="I187" s="6" t="str">
        <v>DP080</v>
      </c>
      <c r="J187" s="9" t="str">
        <v>快手</v>
      </c>
      <c r="K187" s="8" t="str">
        <v>快手人设号</v>
      </c>
      <c r="L187" s="8" t="str">
        <v>快手人设号</v>
      </c>
      <c r="M187" s="24" t="str">
        <v>否</v>
      </c>
      <c r="N187" s="24" t="str">
        <v>否</v>
      </c>
      <c r="O187" s="24" t="str">
        <v>否</v>
      </c>
      <c r="P187" s="24" t="str">
        <v>否</v>
      </c>
      <c r="Q187" s="24" t="str">
        <v>营销费用</v>
      </c>
      <c r="R187" s="24" t="str">
        <v>渠道推广费</v>
      </c>
      <c r="S187" s="24" t="str">
        <v>代运营佣金</v>
      </c>
      <c r="T187" s="29" t="str">
        <v>品牌运营中心</v>
      </c>
      <c r="U187" s="29" t="str">
        <v>内容电商部</v>
      </c>
      <c r="V187" s="29" t="str">
        <v>快手部</v>
      </c>
      <c r="W187" s="60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</row>
    <row r="188">
      <c r="A188" s="26" t="str">
        <v>平台扣点</v>
      </c>
      <c r="B188" s="29" t="str">
        <v>YXHD192</v>
      </c>
      <c r="C188" s="29" t="str">
        <v>店铺服务费</v>
      </c>
      <c r="D188" s="29" t="str">
        <v>平台服务费</v>
      </c>
      <c r="E188" s="24" t="str">
        <v>平台服务费</v>
      </c>
      <c r="F188" s="5" t="str">
        <v>启用</v>
      </c>
      <c r="G188" s="24" t="str">
        <v>是</v>
      </c>
      <c r="H188" s="8" t="str">
        <v>全部店铺，获取各店铺平台资金账单时自动匹配</v>
      </c>
      <c r="I188" s="8"/>
      <c r="J188" s="9"/>
      <c r="K188" s="8"/>
      <c r="L188" s="8"/>
      <c r="M188" s="24" t="str">
        <v>否</v>
      </c>
      <c r="N188" s="24" t="str">
        <v>否</v>
      </c>
      <c r="O188" s="24" t="str">
        <v>否</v>
      </c>
      <c r="P188" s="24" t="str">
        <v>否</v>
      </c>
      <c r="Q188" s="24" t="str">
        <v>营销费用</v>
      </c>
      <c r="R188" s="24" t="str">
        <v>店铺运营费</v>
      </c>
      <c r="S188" s="24" t="str">
        <v>店铺服务费</v>
      </c>
      <c r="T188" s="29" t="str">
        <v>品牌运营中心</v>
      </c>
      <c r="U188" s="60"/>
      <c r="V188" s="60"/>
      <c r="W188" s="60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61"/>
    </row>
    <row r="189">
      <c r="A189" s="26" t="str">
        <v>平台扣点</v>
      </c>
      <c r="B189" s="29" t="str">
        <v>YXHD193</v>
      </c>
      <c r="C189" s="29" t="str">
        <v>快递拦截费</v>
      </c>
      <c r="D189" s="29" t="str">
        <v>平台服务费</v>
      </c>
      <c r="E189" s="24" t="str">
        <v>平台服务费</v>
      </c>
      <c r="F189" s="5" t="str">
        <v>启用</v>
      </c>
      <c r="G189" s="24" t="str">
        <v>是</v>
      </c>
      <c r="H189" s="8" t="str">
        <v>全部店铺，获取各店铺平台资金账单时自动匹配</v>
      </c>
      <c r="I189" s="8"/>
      <c r="J189" s="9"/>
      <c r="K189" s="8"/>
      <c r="L189" s="8"/>
      <c r="M189" s="24" t="str">
        <v>否</v>
      </c>
      <c r="N189" s="24" t="str">
        <v>否</v>
      </c>
      <c r="O189" s="24" t="str">
        <v>否</v>
      </c>
      <c r="P189" s="24" t="str">
        <v>否</v>
      </c>
      <c r="Q189" s="24" t="str">
        <v>营销费用</v>
      </c>
      <c r="R189" s="24" t="str">
        <v>店铺运营费</v>
      </c>
      <c r="S189" s="24" t="str">
        <v>快递拦截费</v>
      </c>
      <c r="T189" s="29" t="str">
        <v>品牌运营中心</v>
      </c>
      <c r="U189" s="60"/>
      <c r="V189" s="60"/>
      <c r="W189" s="60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61"/>
    </row>
    <row r="190">
      <c r="A190" s="26" t="str">
        <v>平台扣点</v>
      </c>
      <c r="B190" s="29" t="str">
        <v>YXHD194</v>
      </c>
      <c r="C190" s="29" t="str">
        <v>平台技术服务费</v>
      </c>
      <c r="D190" s="29" t="str">
        <v>平台服务费</v>
      </c>
      <c r="E190" s="24" t="str">
        <v>平台服务费</v>
      </c>
      <c r="F190" s="5" t="str">
        <v>启用</v>
      </c>
      <c r="G190" s="24" t="str">
        <v>是</v>
      </c>
      <c r="H190" s="8" t="str">
        <v>全部店铺，获取各店铺平台资金账单时自动匹配</v>
      </c>
      <c r="I190" s="8"/>
      <c r="J190" s="9"/>
      <c r="K190" s="8"/>
      <c r="L190" s="8"/>
      <c r="M190" s="24" t="str">
        <v>否</v>
      </c>
      <c r="N190" s="24" t="str">
        <v>否</v>
      </c>
      <c r="O190" s="24" t="str">
        <v>否</v>
      </c>
      <c r="P190" s="24" t="str">
        <v>否</v>
      </c>
      <c r="Q190" s="24" t="str">
        <v>营销费用</v>
      </c>
      <c r="R190" s="24" t="str">
        <v>店铺运营费</v>
      </c>
      <c r="S190" s="24" t="str">
        <v>平台技术服务费</v>
      </c>
      <c r="T190" s="29" t="str">
        <v>品牌运营中心</v>
      </c>
      <c r="U190" s="60"/>
      <c r="V190" s="60"/>
      <c r="W190" s="60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61"/>
    </row>
    <row r="191">
      <c r="A191" s="26" t="str">
        <v>平台扣点</v>
      </c>
      <c r="B191" s="29" t="str">
        <v>YXHD195</v>
      </c>
      <c r="C191" s="29" t="str">
        <v>软件费用</v>
      </c>
      <c r="D191" s="29" t="str">
        <v>软件服务费</v>
      </c>
      <c r="E191" s="24" t="str">
        <v>软件服务费</v>
      </c>
      <c r="F191" s="5" t="str">
        <v>启用</v>
      </c>
      <c r="G191" s="24" t="str">
        <v>是</v>
      </c>
      <c r="H191" s="8" t="str">
        <v>全部店铺，获取各店铺平台资金账单时自动匹配</v>
      </c>
      <c r="I191" s="8"/>
      <c r="J191" s="9"/>
      <c r="K191" s="8"/>
      <c r="L191" s="8"/>
      <c r="M191" s="24" t="str">
        <v>否</v>
      </c>
      <c r="N191" s="24" t="str">
        <v>否</v>
      </c>
      <c r="O191" s="24" t="str">
        <v>否</v>
      </c>
      <c r="P191" s="24" t="str">
        <v>否</v>
      </c>
      <c r="Q191" s="24" t="str">
        <v>营销费用</v>
      </c>
      <c r="R191" s="24" t="str">
        <v>店铺运营费</v>
      </c>
      <c r="S191" s="24" t="str">
        <v>平台软件费</v>
      </c>
      <c r="T191" s="29" t="str">
        <v>品牌运营中心</v>
      </c>
      <c r="U191" s="60"/>
      <c r="V191" s="60"/>
      <c r="W191" s="60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61"/>
    </row>
    <row r="192">
      <c r="A192" s="26" t="str">
        <v>平台扣点</v>
      </c>
      <c r="B192" s="29" t="str">
        <v>YXHD196</v>
      </c>
      <c r="C192" s="29" t="str">
        <v>支付服务费</v>
      </c>
      <c r="D192" s="29" t="str">
        <v>平台服务费</v>
      </c>
      <c r="E192" s="24" t="str">
        <v>平台服务费</v>
      </c>
      <c r="F192" s="5" t="str">
        <v>启用</v>
      </c>
      <c r="G192" s="24" t="str">
        <v>是</v>
      </c>
      <c r="H192" s="8" t="str">
        <v>全部店铺，获取各店铺平台资金账单时自动匹配</v>
      </c>
      <c r="I192" s="8"/>
      <c r="J192" s="9"/>
      <c r="K192" s="8"/>
      <c r="L192" s="8"/>
      <c r="M192" s="24" t="str">
        <v>否</v>
      </c>
      <c r="N192" s="24" t="str">
        <v>否</v>
      </c>
      <c r="O192" s="24" t="str">
        <v>否</v>
      </c>
      <c r="P192" s="24" t="str">
        <v>否</v>
      </c>
      <c r="Q192" s="24" t="str">
        <v>营销费用</v>
      </c>
      <c r="R192" s="24" t="str">
        <v>店铺运营费</v>
      </c>
      <c r="S192" s="24" t="str">
        <v>支付服务费</v>
      </c>
      <c r="T192" s="29" t="str">
        <v>品牌运营中心</v>
      </c>
      <c r="U192" s="60"/>
      <c r="V192" s="60"/>
      <c r="W192" s="60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61"/>
    </row>
    <row r="193">
      <c r="A193" s="26" t="str">
        <v>平台扣点</v>
      </c>
      <c r="B193" s="29" t="str">
        <v>YXHD197</v>
      </c>
      <c r="C193" s="29" t="str">
        <v>支付手续费</v>
      </c>
      <c r="D193" s="29" t="str">
        <v>平台服务费</v>
      </c>
      <c r="E193" s="24" t="str">
        <v>平台服务费</v>
      </c>
      <c r="F193" s="5" t="str">
        <v>启用</v>
      </c>
      <c r="G193" s="24" t="str">
        <v>是</v>
      </c>
      <c r="H193" s="8" t="str">
        <v>全部店铺，获取各店铺平台资金账单时自动匹配</v>
      </c>
      <c r="I193" s="8"/>
      <c r="J193" s="9"/>
      <c r="K193" s="8"/>
      <c r="L193" s="8"/>
      <c r="M193" s="24" t="str">
        <v>否</v>
      </c>
      <c r="N193" s="24" t="str">
        <v>否</v>
      </c>
      <c r="O193" s="24" t="str">
        <v>否</v>
      </c>
      <c r="P193" s="24" t="str">
        <v>否</v>
      </c>
      <c r="Q193" s="24" t="str">
        <v>营销费用</v>
      </c>
      <c r="R193" s="24" t="str">
        <v>店铺运营费</v>
      </c>
      <c r="S193" s="24" t="str">
        <v>支付手续费</v>
      </c>
      <c r="T193" s="29" t="str">
        <v>品牌运营中心</v>
      </c>
      <c r="U193" s="60"/>
      <c r="V193" s="60"/>
      <c r="W193" s="60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61"/>
    </row>
    <row r="194">
      <c r="A194" s="25" t="str">
        <v>直播间运营</v>
      </c>
      <c r="B194" s="29" t="str">
        <v>YXHD198</v>
      </c>
      <c r="C194" s="26" t="str">
        <v>直播间活动费-抖币</v>
      </c>
      <c r="D194" s="29" t="str">
        <v>直播间运营费</v>
      </c>
      <c r="E194" s="24" t="str">
        <v>直播间物料</v>
      </c>
      <c r="F194" s="5" t="str">
        <v>启用</v>
      </c>
      <c r="G194" s="24" t="str">
        <v>是</v>
      </c>
      <c r="H194" s="8" t="str">
        <v>抖音花西子官方旗舰店</v>
      </c>
      <c r="I194" s="8"/>
      <c r="J194" s="9" t="str">
        <v>抖音</v>
      </c>
      <c r="K194" s="8" t="str">
        <v>抖音自播</v>
      </c>
      <c r="L194" s="8" t="str">
        <v>抖音自播</v>
      </c>
      <c r="M194" s="24" t="str">
        <v>否</v>
      </c>
      <c r="N194" s="24" t="str">
        <v>否</v>
      </c>
      <c r="O194" s="24" t="str">
        <v>否</v>
      </c>
      <c r="P194" s="24" t="str">
        <v>否</v>
      </c>
      <c r="Q194" s="24" t="str">
        <v>营销费用</v>
      </c>
      <c r="R194" s="24" t="str">
        <v>渠道推广费</v>
      </c>
      <c r="S194" s="24" t="str">
        <v>直播间活动费</v>
      </c>
      <c r="T194" s="29" t="str">
        <v>品牌运营中心</v>
      </c>
      <c r="U194" s="29" t="str">
        <v>直播运营部</v>
      </c>
      <c r="V194" s="29" t="str">
        <v>直播中台部</v>
      </c>
      <c r="W194" s="60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</row>
    <row r="195">
      <c r="A195" s="74" t="str">
        <v>平台扣点</v>
      </c>
      <c r="B195" s="29" t="str">
        <v>YXHD199</v>
      </c>
      <c r="C195" s="30" t="str">
        <v>得物平台服务费</v>
      </c>
      <c r="D195" s="29" t="str">
        <v>平台服务费</v>
      </c>
      <c r="E195" s="24" t="str">
        <v>平台服务费</v>
      </c>
      <c r="F195" s="5" t="str">
        <v>启用</v>
      </c>
      <c r="G195" s="76" t="str">
        <v>是</v>
      </c>
      <c r="H195" s="8" t="str">
        <v>得物</v>
      </c>
      <c r="I195" s="8"/>
      <c r="J195" s="8"/>
      <c r="K195" s="8"/>
      <c r="L195" s="8"/>
      <c r="M195" s="76" t="str">
        <v>否</v>
      </c>
      <c r="N195" s="76" t="str">
        <v>否</v>
      </c>
      <c r="O195" s="76" t="str">
        <v>否</v>
      </c>
      <c r="P195" s="76" t="str">
        <v>否</v>
      </c>
      <c r="Q195" s="76" t="str">
        <v>营销费用</v>
      </c>
      <c r="R195" s="24" t="str">
        <v>店铺运营费</v>
      </c>
      <c r="S195" s="24" t="str">
        <v>平台技术服务费</v>
      </c>
      <c r="T195" s="30" t="str">
        <v>品牌运营中心</v>
      </c>
      <c r="U195" s="30" t="str">
        <v>综合渠道运营部</v>
      </c>
      <c r="V195" s="2" t="str">
        <v>得物部</v>
      </c>
      <c r="W195" s="75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</row>
    <row r="196">
      <c r="A196" s="74" t="str">
        <v>得物渠道推广</v>
      </c>
      <c r="B196" s="29" t="str">
        <v>YXHD200</v>
      </c>
      <c r="C196" s="27" t="str">
        <v>得物站内内容运营</v>
      </c>
      <c r="D196" s="30" t="str">
        <v>平台电商推广</v>
      </c>
      <c r="E196" s="30" t="str">
        <v>自营其他渠道推广</v>
      </c>
      <c r="F196" s="5" t="str">
        <v>启用</v>
      </c>
      <c r="G196" s="76" t="str">
        <v>是</v>
      </c>
      <c r="H196" s="8" t="str">
        <v>得物</v>
      </c>
      <c r="I196" s="8"/>
      <c r="J196" s="8"/>
      <c r="K196" s="8"/>
      <c r="L196" s="8"/>
      <c r="M196" s="76" t="str">
        <v>否</v>
      </c>
      <c r="N196" s="76" t="str">
        <v>否</v>
      </c>
      <c r="O196" s="76" t="str">
        <v>否</v>
      </c>
      <c r="P196" s="76" t="str">
        <v>否</v>
      </c>
      <c r="Q196" s="76" t="str">
        <v>营销费用</v>
      </c>
      <c r="R196" s="76" t="str">
        <v>达人推广费</v>
      </c>
      <c r="S196" s="76" t="str">
        <v>内容推广费</v>
      </c>
      <c r="T196" s="30" t="str">
        <v>品牌运营中心</v>
      </c>
      <c r="U196" s="30" t="str">
        <v>综合渠道运营部</v>
      </c>
      <c r="V196" s="30" t="str">
        <v>得物部</v>
      </c>
      <c r="W196" s="75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</row>
    <row r="197">
      <c r="A197" s="62" t="str">
        <v>平台扣点</v>
      </c>
      <c r="B197" s="29" t="str">
        <v>YXHD201</v>
      </c>
      <c r="C197" s="29" t="str">
        <v>店铺保险费</v>
      </c>
      <c r="D197" s="29" t="str">
        <v>平台服务费</v>
      </c>
      <c r="E197" s="24" t="str">
        <v>平台服务费</v>
      </c>
      <c r="F197" s="5" t="str">
        <v>启用</v>
      </c>
      <c r="G197" s="24" t="str">
        <v>是</v>
      </c>
      <c r="H197" s="8" t="str">
        <v>全部店铺，获取各店铺平台资金账单时自动匹配</v>
      </c>
      <c r="I197" s="8"/>
      <c r="J197" s="9"/>
      <c r="K197" s="8"/>
      <c r="L197" s="8"/>
      <c r="M197" s="24" t="str">
        <v>否</v>
      </c>
      <c r="N197" s="24" t="str">
        <v>否</v>
      </c>
      <c r="O197" s="24" t="str">
        <v>否</v>
      </c>
      <c r="P197" s="24" t="str">
        <v>否</v>
      </c>
      <c r="Q197" s="24" t="str">
        <v>营销费用</v>
      </c>
      <c r="R197" s="24" t="str">
        <v>店铺运营费</v>
      </c>
      <c r="S197" s="24" t="str">
        <v>代收保险费</v>
      </c>
      <c r="T197" s="29" t="str">
        <v>品牌运营中心</v>
      </c>
      <c r="U197" s="60"/>
      <c r="V197" s="60"/>
      <c r="W197" s="60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61"/>
    </row>
    <row r="198">
      <c r="A198" s="7"/>
      <c r="B198" s="5" t="str">
        <v>YXHD202</v>
      </c>
      <c r="C198" s="28" t="str">
        <v>TVC/KV制作费</v>
      </c>
      <c r="D198" s="28" t="str">
        <v>内容制作</v>
      </c>
      <c r="E198" s="28" t="str">
        <v>TVC/KV制作费</v>
      </c>
      <c r="F198" s="5" t="str">
        <v>启用</v>
      </c>
      <c r="G198" s="5"/>
      <c r="H198" s="5"/>
      <c r="I198" s="5"/>
      <c r="J198" s="5"/>
      <c r="K198" s="5"/>
      <c r="L198" s="1"/>
      <c r="M198" s="5"/>
      <c r="N198" s="5"/>
      <c r="O198" s="5"/>
      <c r="P198" s="5"/>
      <c r="Q198" s="5"/>
      <c r="R198" s="5"/>
      <c r="S198" s="5"/>
      <c r="T198" s="1"/>
      <c r="U198" s="1"/>
      <c r="V198" s="1"/>
      <c r="W198" s="3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>
      <c r="A199" s="7"/>
      <c r="B199" s="5" t="str">
        <v>YXHD203</v>
      </c>
      <c r="C199" s="28" t="str">
        <v>品效视频制作费</v>
      </c>
      <c r="D199" s="28" t="str">
        <v>内容制作</v>
      </c>
      <c r="E199" s="28" t="str">
        <v>品效视频制作费</v>
      </c>
      <c r="F199" s="5" t="str">
        <v>启用</v>
      </c>
      <c r="G199" s="5"/>
      <c r="H199" s="5"/>
      <c r="I199" s="5"/>
      <c r="J199" s="5"/>
      <c r="K199" s="5"/>
      <c r="L199" s="1"/>
      <c r="M199" s="5"/>
      <c r="N199" s="5"/>
      <c r="O199" s="5"/>
      <c r="P199" s="5"/>
      <c r="Q199" s="5"/>
      <c r="R199" s="5"/>
      <c r="S199" s="5"/>
      <c r="T199" s="1"/>
      <c r="U199" s="1"/>
      <c r="V199" s="1"/>
      <c r="W199" s="3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>
      <c r="A200" s="7"/>
      <c r="B200" s="5" t="str">
        <v>YXHD204</v>
      </c>
      <c r="C200" s="28" t="str">
        <v>可视化视频制作</v>
      </c>
      <c r="D200" s="28" t="str">
        <v>内容制作</v>
      </c>
      <c r="E200" s="28" t="str">
        <v>可视化视频制作</v>
      </c>
      <c r="F200" s="5" t="str">
        <v>启用</v>
      </c>
      <c r="G200" s="5"/>
      <c r="H200" s="5"/>
      <c r="I200" s="5"/>
      <c r="J200" s="5"/>
      <c r="K200" s="5"/>
      <c r="L200" s="1"/>
      <c r="M200" s="5"/>
      <c r="N200" s="5"/>
      <c r="O200" s="5"/>
      <c r="P200" s="5"/>
      <c r="Q200" s="5"/>
      <c r="R200" s="5"/>
      <c r="S200" s="5"/>
      <c r="T200" s="1"/>
      <c r="U200" s="1"/>
      <c r="V200" s="1"/>
      <c r="W200" s="3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>
      <c r="A201" s="7"/>
      <c r="B201" s="5" t="str">
        <v>YXHD205</v>
      </c>
      <c r="C201" s="28" t="str">
        <v>物料制作</v>
      </c>
      <c r="D201" s="28" t="str">
        <v>内容制作</v>
      </c>
      <c r="E201" s="28" t="str">
        <v>物料制作</v>
      </c>
      <c r="F201" s="5" t="str">
        <v>启用</v>
      </c>
      <c r="G201" s="5"/>
      <c r="H201" s="5"/>
      <c r="I201" s="5"/>
      <c r="J201" s="5"/>
      <c r="K201" s="5"/>
      <c r="L201" s="1"/>
      <c r="M201" s="5"/>
      <c r="N201" s="5"/>
      <c r="O201" s="5"/>
      <c r="P201" s="5"/>
      <c r="Q201" s="5"/>
      <c r="R201" s="5"/>
      <c r="S201" s="5"/>
      <c r="T201" s="1"/>
      <c r="U201" s="1"/>
      <c r="V201" s="1"/>
      <c r="W201" s="3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>
      <c r="A202" s="7"/>
      <c r="B202" s="5" t="str">
        <v>YXHD206</v>
      </c>
      <c r="C202" s="28" t="str">
        <v>私域制作</v>
      </c>
      <c r="D202" s="28" t="str">
        <v>内容制作</v>
      </c>
      <c r="E202" s="28" t="str">
        <v>私域制作</v>
      </c>
      <c r="F202" s="5" t="str">
        <v>启用</v>
      </c>
      <c r="G202" s="5"/>
      <c r="H202" s="5"/>
      <c r="I202" s="5"/>
      <c r="J202" s="5"/>
      <c r="K202" s="5"/>
      <c r="L202" s="1"/>
      <c r="M202" s="5"/>
      <c r="N202" s="5"/>
      <c r="O202" s="5"/>
      <c r="P202" s="5"/>
      <c r="Q202" s="5"/>
      <c r="R202" s="5"/>
      <c r="S202" s="5"/>
      <c r="T202" s="1"/>
      <c r="U202" s="1"/>
      <c r="V202" s="1"/>
      <c r="W202" s="3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>
      <c r="A203" s="7"/>
      <c r="B203" s="5" t="str">
        <v>YXHD207</v>
      </c>
      <c r="C203" s="28" t="str">
        <v>方案策划/比稿</v>
      </c>
      <c r="D203" s="28" t="str">
        <v>创意开发</v>
      </c>
      <c r="E203" s="28" t="str">
        <v>方案策划/比稿</v>
      </c>
      <c r="F203" s="5" t="str">
        <v>启用</v>
      </c>
      <c r="G203" s="5"/>
      <c r="H203" s="5"/>
      <c r="I203" s="5"/>
      <c r="J203" s="5"/>
      <c r="K203" s="5"/>
      <c r="L203" s="1"/>
      <c r="M203" s="5"/>
      <c r="N203" s="5"/>
      <c r="O203" s="5"/>
      <c r="P203" s="5"/>
      <c r="Q203" s="5"/>
      <c r="R203" s="5"/>
      <c r="S203" s="5"/>
      <c r="T203" s="1"/>
      <c r="U203" s="1"/>
      <c r="V203" s="1"/>
      <c r="W203" s="3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>
      <c r="A204" s="7"/>
      <c r="B204" s="5" t="str">
        <v>YXHD208</v>
      </c>
      <c r="C204" s="28" t="str">
        <v>创意工作坊等</v>
      </c>
      <c r="D204" s="28" t="str">
        <v>创意开发</v>
      </c>
      <c r="E204" s="28" t="str">
        <v>创意工作坊等</v>
      </c>
      <c r="F204" s="5" t="str">
        <v>启用</v>
      </c>
      <c r="G204" s="5"/>
      <c r="H204" s="5"/>
      <c r="I204" s="5"/>
      <c r="J204" s="5"/>
      <c r="K204" s="5"/>
      <c r="L204" s="1"/>
      <c r="M204" s="5"/>
      <c r="N204" s="5"/>
      <c r="O204" s="5"/>
      <c r="P204" s="5"/>
      <c r="Q204" s="5"/>
      <c r="R204" s="5"/>
      <c r="S204" s="5"/>
      <c r="T204" s="1"/>
      <c r="U204" s="1"/>
      <c r="V204" s="1"/>
      <c r="W204" s="3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>
      <c r="A205" s="7"/>
      <c r="B205" s="5" t="str">
        <v>YXHD209</v>
      </c>
      <c r="C205" s="28" t="str">
        <v>明星/大使代言</v>
      </c>
      <c r="D205" s="28" t="str">
        <v>形象合作</v>
      </c>
      <c r="E205" s="28" t="str">
        <v>明星/大使代言</v>
      </c>
      <c r="F205" s="5" t="str">
        <v>启用</v>
      </c>
      <c r="G205" s="5"/>
      <c r="H205" s="5"/>
      <c r="I205" s="5"/>
      <c r="J205" s="5"/>
      <c r="K205" s="5"/>
      <c r="L205" s="1"/>
      <c r="M205" s="5"/>
      <c r="N205" s="5"/>
      <c r="O205" s="5"/>
      <c r="P205" s="5"/>
      <c r="Q205" s="5"/>
      <c r="R205" s="5"/>
      <c r="S205" s="5"/>
      <c r="T205" s="1"/>
      <c r="U205" s="1"/>
      <c r="V205" s="1"/>
      <c r="W205" s="3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A206" s="7"/>
      <c r="B206" s="5" t="str">
        <v>YXHD210</v>
      </c>
      <c r="C206" s="28" t="str">
        <v>跨界/IP合作</v>
      </c>
      <c r="D206" s="28" t="str">
        <v>形象合作</v>
      </c>
      <c r="E206" s="28" t="str">
        <v>跨界/IP合作</v>
      </c>
      <c r="F206" s="5" t="str">
        <v>启用</v>
      </c>
      <c r="G206" s="5"/>
      <c r="H206" s="5"/>
      <c r="I206" s="5"/>
      <c r="J206" s="5"/>
      <c r="K206" s="5"/>
      <c r="L206" s="1"/>
      <c r="M206" s="5"/>
      <c r="N206" s="5"/>
      <c r="O206" s="5"/>
      <c r="P206" s="5"/>
      <c r="Q206" s="5"/>
      <c r="R206" s="5"/>
      <c r="S206" s="5"/>
      <c r="T206" s="1"/>
      <c r="U206" s="1"/>
      <c r="V206" s="1"/>
      <c r="W206" s="3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A207" s="7"/>
      <c r="B207" s="5" t="str">
        <v>YXHD211</v>
      </c>
      <c r="C207" s="28" t="str">
        <v>明星/达人社交发布</v>
      </c>
      <c r="D207" s="28" t="str">
        <v>营销传播</v>
      </c>
      <c r="E207" s="28" t="str">
        <v>明星/达人社交发布</v>
      </c>
      <c r="F207" s="5" t="str">
        <v>启用</v>
      </c>
      <c r="G207" s="5"/>
      <c r="H207" s="9"/>
      <c r="I207" s="5"/>
      <c r="J207" s="5"/>
      <c r="K207" s="5"/>
      <c r="L207" s="1"/>
      <c r="M207" s="5"/>
      <c r="N207" s="5"/>
      <c r="O207" s="5"/>
      <c r="P207" s="5"/>
      <c r="Q207" s="5"/>
      <c r="R207" s="5"/>
      <c r="S207" s="5"/>
      <c r="T207" s="1"/>
      <c r="U207" s="1"/>
      <c r="V207" s="1"/>
      <c r="W207" s="3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A208" s="7"/>
      <c r="B208" s="5" t="str">
        <v>YXHD212</v>
      </c>
      <c r="C208" s="28" t="str">
        <v>媒介传播</v>
      </c>
      <c r="D208" s="28" t="str">
        <v>营销传播</v>
      </c>
      <c r="E208" s="28" t="str">
        <v>媒介传播</v>
      </c>
      <c r="F208" s="5" t="str">
        <v>启用</v>
      </c>
      <c r="G208" s="5"/>
      <c r="H208" s="5"/>
      <c r="I208" s="5"/>
      <c r="J208" s="5"/>
      <c r="K208" s="5"/>
      <c r="L208" s="1"/>
      <c r="M208" s="5"/>
      <c r="N208" s="5"/>
      <c r="O208" s="5"/>
      <c r="P208" s="5"/>
      <c r="Q208" s="5"/>
      <c r="R208" s="5"/>
      <c r="S208" s="5"/>
      <c r="T208" s="1"/>
      <c r="U208" s="1"/>
      <c r="V208" s="1"/>
      <c r="W208" s="3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A209" s="7"/>
      <c r="B209" s="5" t="str">
        <v>YXHD213</v>
      </c>
      <c r="C209" s="28" t="str">
        <v>公关活动</v>
      </c>
      <c r="D209" s="28" t="str">
        <v>营销传播</v>
      </c>
      <c r="E209" s="28" t="str">
        <v>公关活动</v>
      </c>
      <c r="F209" s="5" t="str">
        <v>启用</v>
      </c>
      <c r="G209" s="5"/>
      <c r="H209" s="5"/>
      <c r="I209" s="5"/>
      <c r="J209" s="5"/>
      <c r="K209" s="5"/>
      <c r="L209" s="1"/>
      <c r="M209" s="5"/>
      <c r="N209" s="5"/>
      <c r="O209" s="5"/>
      <c r="P209" s="5"/>
      <c r="Q209" s="5"/>
      <c r="R209" s="5"/>
      <c r="S209" s="5"/>
      <c r="T209" s="1"/>
      <c r="U209" s="1"/>
      <c r="V209" s="1"/>
      <c r="W209" s="3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A210" s="7"/>
      <c r="B210" s="5" t="str">
        <v>YXHD214</v>
      </c>
      <c r="C210" s="28" t="str">
        <v>事件营销</v>
      </c>
      <c r="D210" s="28" t="str">
        <v>营销传播</v>
      </c>
      <c r="E210" s="28" t="str">
        <v>事件营销</v>
      </c>
      <c r="F210" s="5" t="str">
        <v>启用</v>
      </c>
      <c r="G210" s="5"/>
      <c r="H210" s="5"/>
      <c r="I210" s="5"/>
      <c r="J210" s="5"/>
      <c r="K210" s="5"/>
      <c r="L210" s="1"/>
      <c r="M210" s="5"/>
      <c r="N210" s="5"/>
      <c r="O210" s="5"/>
      <c r="P210" s="5"/>
      <c r="Q210" s="5"/>
      <c r="R210" s="5"/>
      <c r="S210" s="5"/>
      <c r="T210" s="1"/>
      <c r="U210" s="1"/>
      <c r="V210" s="1"/>
      <c r="W210" s="3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A211" s="7"/>
      <c r="B211" s="5" t="str">
        <v>YXHD215</v>
      </c>
      <c r="C211" s="28" t="str">
        <v>行业与人群洞察</v>
      </c>
      <c r="D211" s="28" t="str">
        <v>调研测试</v>
      </c>
      <c r="E211" s="28" t="str">
        <v>行业与人群洞察</v>
      </c>
      <c r="F211" s="5" t="str">
        <v>启用</v>
      </c>
      <c r="G211" s="5"/>
      <c r="H211" s="5"/>
      <c r="I211" s="5"/>
      <c r="J211" s="5"/>
      <c r="K211" s="5"/>
      <c r="L211" s="1"/>
      <c r="M211" s="5"/>
      <c r="N211" s="5"/>
      <c r="O211" s="5"/>
      <c r="P211" s="5"/>
      <c r="Q211" s="5"/>
      <c r="R211" s="5"/>
      <c r="S211" s="5"/>
      <c r="T211" s="1"/>
      <c r="U211" s="1"/>
      <c r="V211" s="1"/>
      <c r="W211" s="3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A212" s="7"/>
      <c r="B212" s="5" t="str">
        <v>YXHD216</v>
      </c>
      <c r="C212" s="28" t="str">
        <v>品类洞察</v>
      </c>
      <c r="D212" s="28" t="str">
        <v>调研测试</v>
      </c>
      <c r="E212" s="28" t="str">
        <v>品类洞察</v>
      </c>
      <c r="F212" s="5" t="str">
        <v>启用</v>
      </c>
      <c r="G212" s="5"/>
      <c r="H212" s="5"/>
      <c r="I212" s="5"/>
      <c r="J212" s="5"/>
      <c r="K212" s="5"/>
      <c r="L212" s="1"/>
      <c r="M212" s="5"/>
      <c r="N212" s="5"/>
      <c r="O212" s="5"/>
      <c r="P212" s="5"/>
      <c r="Q212" s="5"/>
      <c r="R212" s="5"/>
      <c r="S212" s="5"/>
      <c r="T212" s="1"/>
      <c r="U212" s="1"/>
      <c r="V212" s="1"/>
      <c r="W212" s="3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A213" s="7"/>
      <c r="B213" s="5" t="str">
        <v>YXHD217</v>
      </c>
      <c r="C213" s="28" t="str">
        <v>消费者验证测试</v>
      </c>
      <c r="D213" s="28" t="str">
        <v>调研测试</v>
      </c>
      <c r="E213" s="28" t="str">
        <v>消费者验证测试</v>
      </c>
      <c r="F213" s="5" t="str">
        <v>启用</v>
      </c>
      <c r="G213" s="5"/>
      <c r="H213" s="5"/>
      <c r="I213" s="5"/>
      <c r="J213" s="5"/>
      <c r="K213" s="5"/>
      <c r="L213" s="1"/>
      <c r="M213" s="5"/>
      <c r="N213" s="5"/>
      <c r="O213" s="5"/>
      <c r="P213" s="5"/>
      <c r="Q213" s="5"/>
      <c r="R213" s="5"/>
      <c r="S213" s="5"/>
      <c r="T213" s="1"/>
      <c r="U213" s="1"/>
      <c r="V213" s="1"/>
      <c r="W213" s="3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A214" s="7"/>
      <c r="B214" s="5" t="str">
        <v>YXHD218</v>
      </c>
      <c r="C214" s="28" t="str">
        <v>开发小试</v>
      </c>
      <c r="D214" s="28" t="str">
        <v>调研测试</v>
      </c>
      <c r="E214" s="28" t="str">
        <v>开发小试</v>
      </c>
      <c r="F214" s="5" t="str">
        <v>启用</v>
      </c>
      <c r="G214" s="5"/>
      <c r="H214" s="5"/>
      <c r="I214" s="5"/>
      <c r="J214" s="5"/>
      <c r="K214" s="5"/>
      <c r="L214" s="1"/>
      <c r="M214" s="5"/>
      <c r="N214" s="5"/>
      <c r="O214" s="5"/>
      <c r="P214" s="5"/>
      <c r="Q214" s="5"/>
      <c r="R214" s="5"/>
      <c r="S214" s="5"/>
      <c r="T214" s="1"/>
      <c r="U214" s="1"/>
      <c r="V214" s="1"/>
      <c r="W214" s="3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A215" s="7"/>
      <c r="B215" s="5" t="str">
        <v>YXHD219</v>
      </c>
      <c r="C215" s="28" t="str">
        <v>竞品采买</v>
      </c>
      <c r="D215" s="28" t="str">
        <v>日常费用</v>
      </c>
      <c r="E215" s="28" t="str">
        <v>竞品采买</v>
      </c>
      <c r="F215" s="5" t="str">
        <v>启用</v>
      </c>
      <c r="G215" s="5"/>
      <c r="H215" s="5"/>
      <c r="I215" s="5"/>
      <c r="J215" s="5"/>
      <c r="K215" s="5"/>
      <c r="L215" s="1"/>
      <c r="M215" s="5"/>
      <c r="N215" s="5"/>
      <c r="O215" s="5"/>
      <c r="P215" s="5"/>
      <c r="Q215" s="5"/>
      <c r="R215" s="5"/>
      <c r="S215" s="5"/>
      <c r="T215" s="1"/>
      <c r="U215" s="1"/>
      <c r="V215" s="1"/>
      <c r="W215" s="3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A216" s="7"/>
      <c r="B216" s="5" t="str">
        <v>YXHD220</v>
      </c>
      <c r="C216" s="28" t="str">
        <v>样品费</v>
      </c>
      <c r="D216" s="28" t="str">
        <v>日常费用</v>
      </c>
      <c r="E216" s="28" t="str">
        <v>样品费</v>
      </c>
      <c r="F216" s="5" t="str">
        <v>启用</v>
      </c>
      <c r="G216" s="5"/>
      <c r="H216" s="5"/>
      <c r="I216" s="5"/>
      <c r="J216" s="5"/>
      <c r="K216" s="5"/>
      <c r="L216" s="1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3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A217" s="68" t="str">
        <v>GWP外采</v>
      </c>
      <c r="B217" s="38" t="str">
        <v>YXHD221</v>
      </c>
      <c r="C217" s="67" t="str">
        <v>虚拟权益赠送</v>
      </c>
      <c r="D217" s="13" t="str">
        <v>品牌运营其他</v>
      </c>
      <c r="E217" s="13" t="str">
        <v>运营4P需求 - 外采</v>
      </c>
      <c r="F217" s="38" t="str">
        <v>启用</v>
      </c>
      <c r="G217" s="12" t="str">
        <v>否</v>
      </c>
      <c r="H217" s="11"/>
      <c r="I217" s="11"/>
      <c r="J217" s="16"/>
      <c r="K217" s="11"/>
      <c r="L217" s="11"/>
      <c r="M217" s="12" t="str">
        <v>#N/A</v>
      </c>
      <c r="N217" s="12" t="str">
        <v>#N/A</v>
      </c>
      <c r="O217" s="12" t="str">
        <v>#N/A</v>
      </c>
      <c r="P217" s="12" t="str">
        <v>#N/A</v>
      </c>
      <c r="Q217" s="12" t="str">
        <v>营销费用</v>
      </c>
      <c r="R217" s="12"/>
      <c r="S217" s="12"/>
      <c r="T217" s="13" t="str">
        <v>品牌运营中心</v>
      </c>
      <c r="U217" s="13" t="str">
        <v>运营策略部</v>
      </c>
      <c r="V217" s="13" t="str">
        <v>销售策略部</v>
      </c>
      <c r="W217" s="14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</row>
    <row r="218">
      <c r="A218" s="45" t="str">
        <v>天猫站外推广</v>
      </c>
      <c r="B218" s="43" t="str">
        <v>YXHD222</v>
      </c>
      <c r="C218" s="46" t="str">
        <v>微博推广</v>
      </c>
      <c r="D218" s="50" t="str">
        <v>平台电商推广</v>
      </c>
      <c r="E218" s="47" t="str">
        <v>竞价信息流-天猫</v>
      </c>
      <c r="F218" s="43"/>
      <c r="G218" s="43" t="str">
        <v>是</v>
      </c>
      <c r="H218" s="42" t="str">
        <v>天猫花西子旗舰店</v>
      </c>
      <c r="I218" s="42" t="str">
        <v>DP015</v>
      </c>
      <c r="J218" s="48" t="str">
        <v>天猫</v>
      </c>
      <c r="K218" s="42" t="str">
        <v>天猫货架</v>
      </c>
      <c r="L218" s="42" t="str">
        <v>天猫货架</v>
      </c>
      <c r="M218" s="43"/>
      <c r="N218" s="43"/>
      <c r="O218" s="43" t="str">
        <v>否</v>
      </c>
      <c r="P218" s="43" t="str">
        <v>否</v>
      </c>
      <c r="Q218" s="43" t="str">
        <v>营销费用</v>
      </c>
      <c r="R218" s="43" t="str">
        <v>渠道推广费</v>
      </c>
      <c r="S218" s="43" t="str">
        <v>站外推广费</v>
      </c>
      <c r="T218" s="44" t="str">
        <v>品牌运营中心</v>
      </c>
      <c r="U218" s="44" t="str">
        <v>天猫运营部</v>
      </c>
      <c r="V218" s="44" t="str">
        <v>推广中心组</v>
      </c>
      <c r="W218" s="49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</row>
    <row r="219">
      <c r="A219" s="58" t="str">
        <v>初始化使用</v>
      </c>
      <c r="B219" s="53" t="str">
        <v>YXHD223</v>
      </c>
      <c r="C219" s="55" t="str">
        <v>品牌项目</v>
      </c>
      <c r="D219" s="55" t="str">
        <v>品牌项目</v>
      </c>
      <c r="E219" s="55" t="str">
        <v>品牌项目</v>
      </c>
      <c r="F219" s="53"/>
      <c r="G219" s="53"/>
      <c r="H219" s="53"/>
      <c r="I219" s="53"/>
      <c r="J219" s="53"/>
      <c r="K219" s="53"/>
      <c r="L219" s="56"/>
      <c r="M219" s="53"/>
      <c r="N219" s="53"/>
      <c r="O219" s="53"/>
      <c r="P219" s="53"/>
      <c r="Q219" s="53"/>
      <c r="R219" s="53"/>
      <c r="S219" s="53"/>
      <c r="T219" s="56"/>
      <c r="U219" s="56"/>
      <c r="V219" s="56"/>
      <c r="W219" s="57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</row>
    <row r="220">
      <c r="A220" s="7"/>
      <c r="B220" s="5"/>
      <c r="C220" s="4"/>
      <c r="D220" s="1"/>
      <c r="E220" s="1"/>
      <c r="F220" s="5"/>
      <c r="G220" s="5"/>
      <c r="H220" s="5"/>
      <c r="I220" s="5"/>
      <c r="J220" s="5"/>
      <c r="K220" s="5"/>
      <c r="L220" s="1"/>
      <c r="M220" s="5"/>
      <c r="N220" s="5"/>
      <c r="O220" s="5"/>
      <c r="P220" s="5"/>
      <c r="Q220" s="5"/>
      <c r="R220" s="5"/>
      <c r="S220" s="5"/>
      <c r="T220" s="1"/>
      <c r="U220" s="1"/>
      <c r="V220" s="1"/>
      <c r="W220" s="3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A221" s="7"/>
      <c r="B221" s="5"/>
      <c r="C221" s="4"/>
      <c r="D221" s="1"/>
      <c r="E221" s="1"/>
      <c r="F221" s="5"/>
      <c r="G221" s="5"/>
      <c r="H221" s="5"/>
      <c r="I221" s="5"/>
      <c r="J221" s="5"/>
      <c r="K221" s="5"/>
      <c r="L221" s="1"/>
      <c r="M221" s="5"/>
      <c r="N221" s="5"/>
      <c r="O221" s="5"/>
      <c r="P221" s="5"/>
      <c r="Q221" s="5"/>
      <c r="R221" s="5"/>
      <c r="S221" s="5"/>
      <c r="T221" s="1"/>
      <c r="U221" s="1"/>
      <c r="V221" s="1"/>
      <c r="W221" s="3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A222" s="7"/>
      <c r="B222" s="5"/>
      <c r="C222" s="4"/>
      <c r="D222" s="1"/>
      <c r="E222" s="1"/>
      <c r="F222" s="5"/>
      <c r="G222" s="5"/>
      <c r="H222" s="5"/>
      <c r="I222" s="5"/>
      <c r="J222" s="5"/>
      <c r="K222" s="5"/>
      <c r="L222" s="1"/>
      <c r="M222" s="5"/>
      <c r="N222" s="5"/>
      <c r="O222" s="5"/>
      <c r="P222" s="5"/>
      <c r="Q222" s="5"/>
      <c r="R222" s="5"/>
      <c r="S222" s="5"/>
      <c r="T222" s="1"/>
      <c r="U222" s="1"/>
      <c r="V222" s="1"/>
      <c r="W222" s="3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A223" s="7"/>
      <c r="B223" s="5"/>
      <c r="C223" s="4"/>
      <c r="D223" s="1"/>
      <c r="E223" s="1"/>
      <c r="F223" s="5"/>
      <c r="G223" s="5"/>
      <c r="H223" s="5"/>
      <c r="I223" s="5"/>
      <c r="J223" s="5"/>
      <c r="K223" s="5"/>
      <c r="L223" s="1"/>
      <c r="M223" s="5"/>
      <c r="N223" s="5"/>
      <c r="O223" s="5"/>
      <c r="P223" s="5"/>
      <c r="Q223" s="5"/>
      <c r="R223" s="5"/>
      <c r="S223" s="5"/>
      <c r="T223" s="1"/>
      <c r="U223" s="1"/>
      <c r="V223" s="1"/>
      <c r="W223" s="3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A224" s="7"/>
      <c r="B224" s="5"/>
      <c r="C224" s="4"/>
      <c r="D224" s="1"/>
      <c r="E224" s="1"/>
      <c r="F224" s="5"/>
      <c r="G224" s="5"/>
      <c r="H224" s="5"/>
      <c r="I224" s="5"/>
      <c r="J224" s="5"/>
      <c r="K224" s="5"/>
      <c r="L224" s="1"/>
      <c r="M224" s="5"/>
      <c r="N224" s="5"/>
      <c r="O224" s="5"/>
      <c r="P224" s="5"/>
      <c r="Q224" s="5"/>
      <c r="R224" s="5"/>
      <c r="S224" s="5"/>
      <c r="T224" s="1"/>
      <c r="U224" s="1"/>
      <c r="V224" s="1"/>
      <c r="W224" s="3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7"/>
      <c r="B225" s="5"/>
      <c r="C225" s="4"/>
      <c r="D225" s="1"/>
      <c r="E225" s="1"/>
      <c r="F225" s="5"/>
      <c r="G225" s="5"/>
      <c r="H225" s="5"/>
      <c r="I225" s="5"/>
      <c r="J225" s="5"/>
      <c r="K225" s="5"/>
      <c r="L225" s="1"/>
      <c r="M225" s="5"/>
      <c r="N225" s="5"/>
      <c r="O225" s="5"/>
      <c r="P225" s="5"/>
      <c r="Q225" s="5"/>
      <c r="R225" s="5"/>
      <c r="S225" s="5"/>
      <c r="T225" s="1"/>
      <c r="U225" s="1"/>
      <c r="V225" s="1"/>
      <c r="W225" s="3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>
      <c r="A226" s="7"/>
      <c r="B226" s="5"/>
      <c r="C226" s="4"/>
      <c r="D226" s="1"/>
      <c r="E226" s="1"/>
      <c r="F226" s="5"/>
      <c r="G226" s="5"/>
      <c r="H226" s="5"/>
      <c r="I226" s="5"/>
      <c r="J226" s="5"/>
      <c r="K226" s="5"/>
      <c r="L226" s="1"/>
      <c r="M226" s="5"/>
      <c r="N226" s="5"/>
      <c r="O226" s="5"/>
      <c r="P226" s="5"/>
      <c r="Q226" s="5"/>
      <c r="R226" s="5"/>
      <c r="S226" s="5"/>
      <c r="T226" s="1"/>
      <c r="U226" s="1"/>
      <c r="V226" s="1"/>
      <c r="W226" s="3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7"/>
      <c r="B227" s="5"/>
      <c r="C227" s="4"/>
      <c r="D227" s="1"/>
      <c r="E227" s="1"/>
      <c r="F227" s="5"/>
      <c r="G227" s="5"/>
      <c r="H227" s="5"/>
      <c r="I227" s="5"/>
      <c r="J227" s="5"/>
      <c r="K227" s="5"/>
      <c r="L227" s="1"/>
      <c r="M227" s="5"/>
      <c r="N227" s="5"/>
      <c r="O227" s="5"/>
      <c r="P227" s="5"/>
      <c r="Q227" s="5"/>
      <c r="R227" s="5"/>
      <c r="S227" s="5"/>
      <c r="T227" s="1"/>
      <c r="U227" s="1"/>
      <c r="V227" s="1"/>
      <c r="W227" s="3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7"/>
      <c r="B228" s="5"/>
      <c r="C228" s="4"/>
      <c r="D228" s="1"/>
      <c r="E228" s="1"/>
      <c r="F228" s="5"/>
      <c r="G228" s="5"/>
      <c r="H228" s="5"/>
      <c r="I228" s="5"/>
      <c r="J228" s="5"/>
      <c r="K228" s="5"/>
      <c r="L228" s="1"/>
      <c r="M228" s="5"/>
      <c r="N228" s="5"/>
      <c r="O228" s="5"/>
      <c r="P228" s="5"/>
      <c r="Q228" s="5"/>
      <c r="R228" s="5"/>
      <c r="S228" s="5"/>
      <c r="T228" s="1"/>
      <c r="U228" s="1"/>
      <c r="V228" s="1"/>
      <c r="W228" s="3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7"/>
      <c r="B229" s="5"/>
      <c r="C229" s="4"/>
      <c r="D229" s="1"/>
      <c r="E229" s="1"/>
      <c r="F229" s="5"/>
      <c r="G229" s="5"/>
      <c r="H229" s="5"/>
      <c r="I229" s="5"/>
      <c r="J229" s="5"/>
      <c r="K229" s="5"/>
      <c r="L229" s="1"/>
      <c r="M229" s="5"/>
      <c r="N229" s="5"/>
      <c r="O229" s="5"/>
      <c r="P229" s="5"/>
      <c r="Q229" s="5"/>
      <c r="R229" s="5"/>
      <c r="S229" s="5"/>
      <c r="T229" s="1"/>
      <c r="U229" s="1"/>
      <c r="V229" s="1"/>
      <c r="W229" s="3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7"/>
      <c r="B230" s="5"/>
      <c r="C230" s="4"/>
      <c r="D230" s="1"/>
      <c r="E230" s="1"/>
      <c r="F230" s="5"/>
      <c r="G230" s="5"/>
      <c r="H230" s="5"/>
      <c r="I230" s="5"/>
      <c r="J230" s="5"/>
      <c r="K230" s="5"/>
      <c r="L230" s="1"/>
      <c r="M230" s="5"/>
      <c r="N230" s="5"/>
      <c r="O230" s="5"/>
      <c r="P230" s="5"/>
      <c r="Q230" s="5"/>
      <c r="R230" s="5"/>
      <c r="S230" s="5"/>
      <c r="T230" s="1"/>
      <c r="U230" s="1"/>
      <c r="V230" s="1"/>
      <c r="W230" s="3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7"/>
      <c r="B231" s="5"/>
      <c r="C231" s="4"/>
      <c r="D231" s="1"/>
      <c r="E231" s="1"/>
      <c r="F231" s="5"/>
      <c r="G231" s="5"/>
      <c r="H231" s="5"/>
      <c r="I231" s="5"/>
      <c r="J231" s="5"/>
      <c r="K231" s="5"/>
      <c r="L231" s="1"/>
      <c r="M231" s="5"/>
      <c r="N231" s="5"/>
      <c r="O231" s="5"/>
      <c r="P231" s="5"/>
      <c r="Q231" s="5"/>
      <c r="R231" s="5"/>
      <c r="S231" s="5"/>
      <c r="T231" s="1"/>
      <c r="U231" s="1"/>
      <c r="V231" s="1"/>
      <c r="W231" s="3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7"/>
      <c r="B232" s="5"/>
      <c r="C232" s="4"/>
      <c r="D232" s="1"/>
      <c r="E232" s="1"/>
      <c r="F232" s="5"/>
      <c r="G232" s="5"/>
      <c r="H232" s="5"/>
      <c r="I232" s="5"/>
      <c r="J232" s="5"/>
      <c r="K232" s="5"/>
      <c r="L232" s="1"/>
      <c r="M232" s="5"/>
      <c r="N232" s="5"/>
      <c r="O232" s="5"/>
      <c r="P232" s="5"/>
      <c r="Q232" s="5"/>
      <c r="R232" s="5"/>
      <c r="S232" s="5"/>
      <c r="T232" s="1"/>
      <c r="U232" s="1"/>
      <c r="V232" s="1"/>
      <c r="W232" s="3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7"/>
      <c r="B233" s="5"/>
      <c r="C233" s="4"/>
      <c r="D233" s="1"/>
      <c r="E233" s="1"/>
      <c r="F233" s="5"/>
      <c r="G233" s="5"/>
      <c r="H233" s="5"/>
      <c r="I233" s="5"/>
      <c r="J233" s="5"/>
      <c r="K233" s="5"/>
      <c r="L233" s="1"/>
      <c r="M233" s="5"/>
      <c r="N233" s="5"/>
      <c r="O233" s="5"/>
      <c r="P233" s="5"/>
      <c r="Q233" s="5"/>
      <c r="R233" s="5"/>
      <c r="S233" s="5"/>
      <c r="T233" s="1"/>
      <c r="U233" s="1"/>
      <c r="V233" s="1"/>
      <c r="W233" s="3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A234" s="7"/>
      <c r="B234" s="5"/>
      <c r="C234" s="4"/>
      <c r="D234" s="1"/>
      <c r="E234" s="1"/>
      <c r="F234" s="5"/>
      <c r="G234" s="5"/>
      <c r="H234" s="5"/>
      <c r="I234" s="5"/>
      <c r="J234" s="5"/>
      <c r="K234" s="5"/>
      <c r="L234" s="1"/>
      <c r="M234" s="5"/>
      <c r="N234" s="5"/>
      <c r="O234" s="5"/>
      <c r="P234" s="5"/>
      <c r="Q234" s="5"/>
      <c r="R234" s="5"/>
      <c r="S234" s="5"/>
      <c r="T234" s="1"/>
      <c r="U234" s="1"/>
      <c r="V234" s="1"/>
      <c r="W234" s="3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A235" s="7"/>
      <c r="B235" s="5"/>
      <c r="C235" s="4"/>
      <c r="D235" s="1"/>
      <c r="E235" s="1"/>
      <c r="F235" s="5"/>
      <c r="G235" s="5"/>
      <c r="H235" s="5"/>
      <c r="I235" s="5"/>
      <c r="J235" s="5"/>
      <c r="K235" s="5"/>
      <c r="L235" s="1"/>
      <c r="M235" s="5"/>
      <c r="N235" s="5"/>
      <c r="O235" s="5"/>
      <c r="P235" s="5"/>
      <c r="Q235" s="5"/>
      <c r="R235" s="5"/>
      <c r="S235" s="5"/>
      <c r="T235" s="1"/>
      <c r="U235" s="1"/>
      <c r="V235" s="1"/>
      <c r="W235" s="3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A236" s="7"/>
      <c r="B236" s="5"/>
      <c r="C236" s="4"/>
      <c r="D236" s="1"/>
      <c r="E236" s="1"/>
      <c r="F236" s="5"/>
      <c r="G236" s="5"/>
      <c r="H236" s="5"/>
      <c r="I236" s="5"/>
      <c r="J236" s="5"/>
      <c r="K236" s="5"/>
      <c r="L236" s="1"/>
      <c r="M236" s="5"/>
      <c r="N236" s="5"/>
      <c r="O236" s="5"/>
      <c r="P236" s="5"/>
      <c r="Q236" s="5"/>
      <c r="R236" s="5"/>
      <c r="S236" s="5"/>
      <c r="T236" s="1"/>
      <c r="U236" s="1"/>
      <c r="V236" s="1"/>
      <c r="W236" s="3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A237" s="7"/>
      <c r="B237" s="5"/>
      <c r="C237" s="4"/>
      <c r="D237" s="1"/>
      <c r="E237" s="1"/>
      <c r="F237" s="5"/>
      <c r="G237" s="5"/>
      <c r="H237" s="5"/>
      <c r="I237" s="5"/>
      <c r="J237" s="5"/>
      <c r="K237" s="5"/>
      <c r="L237" s="1"/>
      <c r="M237" s="5"/>
      <c r="N237" s="5"/>
      <c r="O237" s="5"/>
      <c r="P237" s="5"/>
      <c r="Q237" s="5"/>
      <c r="R237" s="5"/>
      <c r="S237" s="5"/>
      <c r="T237" s="1"/>
      <c r="U237" s="1"/>
      <c r="V237" s="1"/>
      <c r="W237" s="3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A238" s="7"/>
      <c r="B238" s="5"/>
      <c r="C238" s="4"/>
      <c r="D238" s="1"/>
      <c r="E238" s="1"/>
      <c r="F238" s="5"/>
      <c r="G238" s="5"/>
      <c r="H238" s="5"/>
      <c r="I238" s="5"/>
      <c r="J238" s="5"/>
      <c r="K238" s="5"/>
      <c r="L238" s="1"/>
      <c r="M238" s="5"/>
      <c r="N238" s="5"/>
      <c r="O238" s="5"/>
      <c r="P238" s="5"/>
      <c r="Q238" s="5"/>
      <c r="R238" s="5"/>
      <c r="S238" s="5"/>
      <c r="T238" s="1"/>
      <c r="U238" s="1"/>
      <c r="V238" s="1"/>
      <c r="W238" s="3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A239" s="7"/>
      <c r="B239" s="5"/>
      <c r="C239" s="4"/>
      <c r="D239" s="1"/>
      <c r="E239" s="1"/>
      <c r="F239" s="5"/>
      <c r="G239" s="5"/>
      <c r="H239" s="5"/>
      <c r="I239" s="5"/>
      <c r="J239" s="5"/>
      <c r="K239" s="5"/>
      <c r="L239" s="1"/>
      <c r="M239" s="5"/>
      <c r="N239" s="5"/>
      <c r="O239" s="5"/>
      <c r="P239" s="5"/>
      <c r="Q239" s="5"/>
      <c r="R239" s="5"/>
      <c r="S239" s="5"/>
      <c r="T239" s="1"/>
      <c r="U239" s="1"/>
      <c r="V239" s="1"/>
      <c r="W239" s="3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A240" s="7"/>
      <c r="B240" s="5"/>
      <c r="C240" s="4"/>
      <c r="D240" s="1"/>
      <c r="E240" s="1"/>
      <c r="F240" s="5"/>
      <c r="G240" s="5"/>
      <c r="H240" s="5"/>
      <c r="I240" s="5"/>
      <c r="J240" s="5"/>
      <c r="K240" s="5"/>
      <c r="L240" s="1"/>
      <c r="M240" s="5"/>
      <c r="N240" s="5"/>
      <c r="O240" s="5"/>
      <c r="P240" s="5"/>
      <c r="Q240" s="5"/>
      <c r="R240" s="5"/>
      <c r="S240" s="5"/>
      <c r="T240" s="1"/>
      <c r="U240" s="1"/>
      <c r="V240" s="1"/>
      <c r="W240" s="3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A241" s="7"/>
      <c r="B241" s="5"/>
      <c r="C241" s="4"/>
      <c r="D241" s="1"/>
      <c r="E241" s="1"/>
      <c r="F241" s="5"/>
      <c r="G241" s="5"/>
      <c r="H241" s="5"/>
      <c r="I241" s="5"/>
      <c r="J241" s="5"/>
      <c r="K241" s="5"/>
      <c r="L241" s="1"/>
      <c r="M241" s="5"/>
      <c r="N241" s="5"/>
      <c r="O241" s="5"/>
      <c r="P241" s="5"/>
      <c r="Q241" s="5"/>
      <c r="R241" s="5"/>
      <c r="S241" s="5"/>
      <c r="T241" s="1"/>
      <c r="U241" s="1"/>
      <c r="V241" s="1"/>
      <c r="W241" s="3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7"/>
      <c r="B242" s="5"/>
      <c r="C242" s="4"/>
      <c r="D242" s="1"/>
      <c r="E242" s="1"/>
      <c r="F242" s="5"/>
      <c r="G242" s="5"/>
      <c r="H242" s="5"/>
      <c r="I242" s="5"/>
      <c r="J242" s="5"/>
      <c r="K242" s="5"/>
      <c r="L242" s="1"/>
      <c r="M242" s="5"/>
      <c r="N242" s="5"/>
      <c r="O242" s="5"/>
      <c r="P242" s="5"/>
      <c r="Q242" s="5"/>
      <c r="R242" s="5"/>
      <c r="S242" s="5"/>
      <c r="T242" s="1"/>
      <c r="U242" s="1"/>
      <c r="V242" s="1"/>
      <c r="W242" s="3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>
      <c r="A243" s="7"/>
      <c r="B243" s="5"/>
      <c r="C243" s="4"/>
      <c r="D243" s="1"/>
      <c r="E243" s="1"/>
      <c r="F243" s="5"/>
      <c r="G243" s="5"/>
      <c r="H243" s="5"/>
      <c r="I243" s="5"/>
      <c r="J243" s="5"/>
      <c r="K243" s="5"/>
      <c r="L243" s="1"/>
      <c r="M243" s="5"/>
      <c r="N243" s="5"/>
      <c r="O243" s="5"/>
      <c r="P243" s="5"/>
      <c r="Q243" s="5"/>
      <c r="R243" s="5"/>
      <c r="S243" s="5"/>
      <c r="T243" s="1"/>
      <c r="U243" s="1"/>
      <c r="V243" s="1"/>
      <c r="W243" s="3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A244" s="7"/>
      <c r="B244" s="5"/>
      <c r="C244" s="4"/>
      <c r="D244" s="1"/>
      <c r="E244" s="1"/>
      <c r="F244" s="5"/>
      <c r="G244" s="5"/>
      <c r="H244" s="5"/>
      <c r="I244" s="5"/>
      <c r="J244" s="5"/>
      <c r="K244" s="5"/>
      <c r="L244" s="1"/>
      <c r="M244" s="5"/>
      <c r="N244" s="5"/>
      <c r="O244" s="5"/>
      <c r="P244" s="5"/>
      <c r="Q244" s="5"/>
      <c r="R244" s="5"/>
      <c r="S244" s="5"/>
      <c r="T244" s="1"/>
      <c r="U244" s="1"/>
      <c r="V244" s="1"/>
      <c r="W244" s="3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A245" s="7"/>
      <c r="B245" s="5"/>
      <c r="C245" s="4"/>
      <c r="D245" s="1"/>
      <c r="E245" s="1"/>
      <c r="F245" s="5"/>
      <c r="G245" s="5"/>
      <c r="H245" s="5"/>
      <c r="I245" s="5"/>
      <c r="J245" s="5"/>
      <c r="K245" s="5"/>
      <c r="L245" s="1"/>
      <c r="M245" s="5"/>
      <c r="N245" s="5"/>
      <c r="O245" s="5"/>
      <c r="P245" s="5"/>
      <c r="Q245" s="5"/>
      <c r="R245" s="5"/>
      <c r="S245" s="5"/>
      <c r="T245" s="1"/>
      <c r="U245" s="1"/>
      <c r="V245" s="1"/>
      <c r="W245" s="3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A246" s="7"/>
      <c r="B246" s="5"/>
      <c r="C246" s="4"/>
      <c r="D246" s="1"/>
      <c r="E246" s="1"/>
      <c r="F246" s="5"/>
      <c r="G246" s="5"/>
      <c r="H246" s="5"/>
      <c r="I246" s="5"/>
      <c r="J246" s="5"/>
      <c r="K246" s="5"/>
      <c r="L246" s="1"/>
      <c r="M246" s="5"/>
      <c r="N246" s="5"/>
      <c r="O246" s="5"/>
      <c r="P246" s="5"/>
      <c r="Q246" s="5"/>
      <c r="R246" s="5"/>
      <c r="S246" s="5"/>
      <c r="T246" s="1"/>
      <c r="U246" s="1"/>
      <c r="V246" s="1"/>
      <c r="W246" s="3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A247" s="7"/>
      <c r="B247" s="5"/>
      <c r="C247" s="4"/>
      <c r="D247" s="1"/>
      <c r="E247" s="1"/>
      <c r="F247" s="5"/>
      <c r="G247" s="5"/>
      <c r="H247" s="5"/>
      <c r="I247" s="5"/>
      <c r="J247" s="5"/>
      <c r="K247" s="5"/>
      <c r="L247" s="1"/>
      <c r="M247" s="5"/>
      <c r="N247" s="5"/>
      <c r="O247" s="5"/>
      <c r="P247" s="5"/>
      <c r="Q247" s="5"/>
      <c r="R247" s="5"/>
      <c r="S247" s="5"/>
      <c r="T247" s="1"/>
      <c r="U247" s="1"/>
      <c r="V247" s="1"/>
      <c r="W247" s="3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A248" s="7"/>
      <c r="B248" s="5"/>
      <c r="C248" s="4"/>
      <c r="D248" s="1"/>
      <c r="E248" s="1"/>
      <c r="F248" s="5"/>
      <c r="G248" s="5"/>
      <c r="H248" s="5"/>
      <c r="I248" s="5"/>
      <c r="J248" s="5"/>
      <c r="K248" s="5"/>
      <c r="L248" s="1"/>
      <c r="M248" s="5"/>
      <c r="N248" s="5"/>
      <c r="O248" s="5"/>
      <c r="P248" s="5"/>
      <c r="Q248" s="5"/>
      <c r="R248" s="5"/>
      <c r="S248" s="5"/>
      <c r="T248" s="1"/>
      <c r="U248" s="1"/>
      <c r="V248" s="1"/>
      <c r="W248" s="3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A249" s="7"/>
      <c r="B249" s="5"/>
      <c r="C249" s="4"/>
      <c r="D249" s="1"/>
      <c r="E249" s="1"/>
      <c r="F249" s="5"/>
      <c r="G249" s="5"/>
      <c r="H249" s="5"/>
      <c r="I249" s="5"/>
      <c r="J249" s="5"/>
      <c r="K249" s="5"/>
      <c r="L249" s="1"/>
      <c r="M249" s="5"/>
      <c r="N249" s="5"/>
      <c r="O249" s="5"/>
      <c r="P249" s="5"/>
      <c r="Q249" s="5"/>
      <c r="R249" s="5"/>
      <c r="S249" s="5"/>
      <c r="T249" s="1"/>
      <c r="U249" s="1"/>
      <c r="V249" s="1"/>
      <c r="W249" s="3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A250" s="7"/>
      <c r="B250" s="5"/>
      <c r="C250" s="4"/>
      <c r="D250" s="1"/>
      <c r="E250" s="1"/>
      <c r="F250" s="5"/>
      <c r="G250" s="5"/>
      <c r="H250" s="5"/>
      <c r="I250" s="5"/>
      <c r="J250" s="5"/>
      <c r="K250" s="5"/>
      <c r="L250" s="1"/>
      <c r="M250" s="5"/>
      <c r="N250" s="5"/>
      <c r="O250" s="5"/>
      <c r="P250" s="5"/>
      <c r="Q250" s="5"/>
      <c r="R250" s="5"/>
      <c r="S250" s="5"/>
      <c r="T250" s="1"/>
      <c r="U250" s="1"/>
      <c r="V250" s="1"/>
      <c r="W250" s="3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A251" s="7"/>
      <c r="B251" s="5"/>
      <c r="C251" s="4"/>
      <c r="D251" s="1"/>
      <c r="E251" s="1"/>
      <c r="F251" s="5"/>
      <c r="G251" s="5"/>
      <c r="H251" s="5"/>
      <c r="I251" s="5"/>
      <c r="J251" s="5"/>
      <c r="K251" s="5"/>
      <c r="L251" s="1"/>
      <c r="M251" s="5"/>
      <c r="N251" s="5"/>
      <c r="O251" s="5"/>
      <c r="P251" s="5"/>
      <c r="Q251" s="5"/>
      <c r="R251" s="5"/>
      <c r="S251" s="5"/>
      <c r="T251" s="1"/>
      <c r="U251" s="1"/>
      <c r="V251" s="1"/>
      <c r="W251" s="3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A252" s="7"/>
      <c r="B252" s="5"/>
      <c r="C252" s="4"/>
      <c r="D252" s="1"/>
      <c r="E252" s="1"/>
      <c r="F252" s="5"/>
      <c r="G252" s="5"/>
      <c r="H252" s="5"/>
      <c r="I252" s="5"/>
      <c r="J252" s="5"/>
      <c r="K252" s="5"/>
      <c r="L252" s="1"/>
      <c r="M252" s="5"/>
      <c r="N252" s="5"/>
      <c r="O252" s="5"/>
      <c r="P252" s="5"/>
      <c r="Q252" s="5"/>
      <c r="R252" s="5"/>
      <c r="S252" s="5"/>
      <c r="T252" s="1"/>
      <c r="U252" s="1"/>
      <c r="V252" s="1"/>
      <c r="W252" s="3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A253" s="7"/>
      <c r="B253" s="5"/>
      <c r="C253" s="4"/>
      <c r="D253" s="1"/>
      <c r="E253" s="1"/>
      <c r="F253" s="5"/>
      <c r="G253" s="5"/>
      <c r="H253" s="5"/>
      <c r="I253" s="5"/>
      <c r="J253" s="5"/>
      <c r="K253" s="5"/>
      <c r="L253" s="1"/>
      <c r="M253" s="5"/>
      <c r="N253" s="5"/>
      <c r="O253" s="5"/>
      <c r="P253" s="5"/>
      <c r="Q253" s="5"/>
      <c r="R253" s="5"/>
      <c r="S253" s="5"/>
      <c r="T253" s="1"/>
      <c r="U253" s="1"/>
      <c r="V253" s="1"/>
      <c r="W253" s="3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A254" s="7"/>
      <c r="B254" s="5"/>
      <c r="C254" s="4"/>
      <c r="D254" s="1"/>
      <c r="E254" s="1"/>
      <c r="F254" s="5"/>
      <c r="G254" s="5"/>
      <c r="H254" s="5"/>
      <c r="I254" s="5"/>
      <c r="J254" s="5"/>
      <c r="K254" s="5"/>
      <c r="L254" s="1"/>
      <c r="M254" s="5"/>
      <c r="N254" s="5"/>
      <c r="O254" s="5"/>
      <c r="P254" s="5"/>
      <c r="Q254" s="5"/>
      <c r="R254" s="5"/>
      <c r="S254" s="5"/>
      <c r="T254" s="1"/>
      <c r="U254" s="1"/>
      <c r="V254" s="1"/>
      <c r="W254" s="3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A255" s="7"/>
      <c r="B255" s="5"/>
      <c r="C255" s="4"/>
      <c r="D255" s="1"/>
      <c r="E255" s="1"/>
      <c r="F255" s="5"/>
      <c r="G255" s="5"/>
      <c r="H255" s="5"/>
      <c r="I255" s="5"/>
      <c r="J255" s="5"/>
      <c r="K255" s="5"/>
      <c r="L255" s="1"/>
      <c r="M255" s="5"/>
      <c r="N255" s="5"/>
      <c r="O255" s="5"/>
      <c r="P255" s="5"/>
      <c r="Q255" s="5"/>
      <c r="R255" s="5"/>
      <c r="S255" s="5"/>
      <c r="T255" s="1"/>
      <c r="U255" s="1"/>
      <c r="V255" s="1"/>
      <c r="W255" s="3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7"/>
      <c r="B256" s="5"/>
      <c r="C256" s="4"/>
      <c r="D256" s="1"/>
      <c r="E256" s="1"/>
      <c r="F256" s="5"/>
      <c r="G256" s="5"/>
      <c r="H256" s="5"/>
      <c r="I256" s="5"/>
      <c r="J256" s="5"/>
      <c r="K256" s="5"/>
      <c r="L256" s="1"/>
      <c r="M256" s="5"/>
      <c r="N256" s="5"/>
      <c r="O256" s="5"/>
      <c r="P256" s="5"/>
      <c r="Q256" s="5"/>
      <c r="R256" s="5"/>
      <c r="S256" s="5"/>
      <c r="T256" s="1"/>
      <c r="U256" s="1"/>
      <c r="V256" s="1"/>
      <c r="W256" s="3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>
      <c r="A257" s="7"/>
      <c r="B257" s="5"/>
      <c r="C257" s="4"/>
      <c r="D257" s="1"/>
      <c r="E257" s="1"/>
      <c r="F257" s="5"/>
      <c r="G257" s="5"/>
      <c r="H257" s="5"/>
      <c r="I257" s="5"/>
      <c r="J257" s="5"/>
      <c r="K257" s="5"/>
      <c r="L257" s="1"/>
      <c r="M257" s="5"/>
      <c r="N257" s="5"/>
      <c r="O257" s="5"/>
      <c r="P257" s="5"/>
      <c r="Q257" s="5"/>
      <c r="R257" s="5"/>
      <c r="S257" s="5"/>
      <c r="T257" s="1"/>
      <c r="U257" s="1"/>
      <c r="V257" s="1"/>
      <c r="W257" s="3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A258" s="7"/>
      <c r="B258" s="5"/>
      <c r="C258" s="4"/>
      <c r="D258" s="1"/>
      <c r="E258" s="1"/>
      <c r="F258" s="5"/>
      <c r="G258" s="5"/>
      <c r="H258" s="5"/>
      <c r="I258" s="5"/>
      <c r="J258" s="5"/>
      <c r="K258" s="5"/>
      <c r="L258" s="1"/>
      <c r="M258" s="5"/>
      <c r="N258" s="5"/>
      <c r="O258" s="5"/>
      <c r="P258" s="5"/>
      <c r="Q258" s="5"/>
      <c r="R258" s="5"/>
      <c r="S258" s="5"/>
      <c r="T258" s="1"/>
      <c r="U258" s="1"/>
      <c r="V258" s="1"/>
      <c r="W258" s="3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A259" s="7"/>
      <c r="B259" s="5"/>
      <c r="C259" s="4"/>
      <c r="D259" s="1"/>
      <c r="E259" s="1"/>
      <c r="F259" s="5"/>
      <c r="G259" s="5"/>
      <c r="H259" s="5"/>
      <c r="I259" s="5"/>
      <c r="J259" s="5"/>
      <c r="K259" s="5"/>
      <c r="L259" s="1"/>
      <c r="M259" s="5"/>
      <c r="N259" s="5"/>
      <c r="O259" s="5"/>
      <c r="P259" s="5"/>
      <c r="Q259" s="5"/>
      <c r="R259" s="5"/>
      <c r="S259" s="5"/>
      <c r="T259" s="1"/>
      <c r="U259" s="1"/>
      <c r="V259" s="1"/>
      <c r="W259" s="3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A260" s="7"/>
      <c r="B260" s="5"/>
      <c r="C260" s="4"/>
      <c r="D260" s="1"/>
      <c r="E260" s="1"/>
      <c r="F260" s="5"/>
      <c r="G260" s="5"/>
      <c r="H260" s="5"/>
      <c r="I260" s="5"/>
      <c r="J260" s="5"/>
      <c r="K260" s="5"/>
      <c r="L260" s="1"/>
      <c r="M260" s="5"/>
      <c r="N260" s="5"/>
      <c r="O260" s="5"/>
      <c r="P260" s="5"/>
      <c r="Q260" s="5"/>
      <c r="R260" s="5"/>
      <c r="S260" s="5"/>
      <c r="T260" s="1"/>
      <c r="U260" s="1"/>
      <c r="V260" s="1"/>
      <c r="W260" s="3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A261" s="7"/>
      <c r="B261" s="5"/>
      <c r="C261" s="4"/>
      <c r="D261" s="1"/>
      <c r="E261" s="1"/>
      <c r="F261" s="5"/>
      <c r="G261" s="5"/>
      <c r="H261" s="5"/>
      <c r="I261" s="5"/>
      <c r="J261" s="5"/>
      <c r="K261" s="5"/>
      <c r="L261" s="1"/>
      <c r="M261" s="5"/>
      <c r="N261" s="5"/>
      <c r="O261" s="5"/>
      <c r="P261" s="5"/>
      <c r="Q261" s="5"/>
      <c r="R261" s="5"/>
      <c r="S261" s="5"/>
      <c r="T261" s="1"/>
      <c r="U261" s="1"/>
      <c r="V261" s="1"/>
      <c r="W261" s="3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A262" s="7"/>
      <c r="B262" s="5"/>
      <c r="C262" s="4"/>
      <c r="D262" s="1"/>
      <c r="E262" s="1"/>
      <c r="F262" s="5"/>
      <c r="G262" s="5"/>
      <c r="H262" s="5"/>
      <c r="I262" s="5"/>
      <c r="J262" s="5"/>
      <c r="K262" s="5"/>
      <c r="L262" s="1"/>
      <c r="M262" s="5"/>
      <c r="N262" s="5"/>
      <c r="O262" s="5"/>
      <c r="P262" s="5"/>
      <c r="Q262" s="5"/>
      <c r="R262" s="5"/>
      <c r="S262" s="5"/>
      <c r="T262" s="1"/>
      <c r="U262" s="1"/>
      <c r="V262" s="1"/>
      <c r="W262" s="3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A263" s="7"/>
      <c r="B263" s="5"/>
      <c r="C263" s="4"/>
      <c r="D263" s="1"/>
      <c r="E263" s="1"/>
      <c r="F263" s="5"/>
      <c r="G263" s="5"/>
      <c r="H263" s="5"/>
      <c r="I263" s="5"/>
      <c r="J263" s="5"/>
      <c r="K263" s="5"/>
      <c r="L263" s="1"/>
      <c r="M263" s="5"/>
      <c r="N263" s="5"/>
      <c r="O263" s="5"/>
      <c r="P263" s="5"/>
      <c r="Q263" s="5"/>
      <c r="R263" s="5"/>
      <c r="S263" s="5"/>
      <c r="T263" s="1"/>
      <c r="U263" s="1"/>
      <c r="V263" s="1"/>
      <c r="W263" s="3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7"/>
      <c r="B264" s="5"/>
      <c r="C264" s="4"/>
      <c r="D264" s="1"/>
      <c r="E264" s="1"/>
      <c r="F264" s="5"/>
      <c r="G264" s="5"/>
      <c r="H264" s="5"/>
      <c r="I264" s="5"/>
      <c r="J264" s="5"/>
      <c r="K264" s="5"/>
      <c r="L264" s="1"/>
      <c r="M264" s="5"/>
      <c r="N264" s="5"/>
      <c r="O264" s="5"/>
      <c r="P264" s="5"/>
      <c r="Q264" s="5"/>
      <c r="R264" s="5"/>
      <c r="S264" s="5"/>
      <c r="T264" s="1"/>
      <c r="U264" s="1"/>
      <c r="V264" s="1"/>
      <c r="W264" s="3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>
      <c r="A265" s="7"/>
      <c r="B265" s="5"/>
      <c r="C265" s="4"/>
      <c r="D265" s="1"/>
      <c r="E265" s="1"/>
      <c r="F265" s="5"/>
      <c r="G265" s="5"/>
      <c r="H265" s="5"/>
      <c r="I265" s="5"/>
      <c r="J265" s="5"/>
      <c r="K265" s="5"/>
      <c r="L265" s="1"/>
      <c r="M265" s="5"/>
      <c r="N265" s="5"/>
      <c r="O265" s="5"/>
      <c r="P265" s="5"/>
      <c r="Q265" s="5"/>
      <c r="R265" s="5"/>
      <c r="S265" s="5"/>
      <c r="T265" s="1"/>
      <c r="U265" s="1"/>
      <c r="V265" s="1"/>
      <c r="W265" s="3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A266" s="7"/>
      <c r="B266" s="5"/>
      <c r="C266" s="4"/>
      <c r="D266" s="1"/>
      <c r="E266" s="1"/>
      <c r="F266" s="5"/>
      <c r="G266" s="5"/>
      <c r="H266" s="5"/>
      <c r="I266" s="5"/>
      <c r="J266" s="5"/>
      <c r="K266" s="5"/>
      <c r="L266" s="1"/>
      <c r="M266" s="5"/>
      <c r="N266" s="5"/>
      <c r="O266" s="5"/>
      <c r="P266" s="5"/>
      <c r="Q266" s="5"/>
      <c r="R266" s="5"/>
      <c r="S266" s="5"/>
      <c r="T266" s="1"/>
      <c r="U266" s="1"/>
      <c r="V266" s="1"/>
      <c r="W266" s="3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A267" s="7"/>
      <c r="B267" s="5"/>
      <c r="C267" s="4"/>
      <c r="D267" s="1"/>
      <c r="E267" s="1"/>
      <c r="F267" s="5"/>
      <c r="G267" s="5"/>
      <c r="H267" s="5"/>
      <c r="I267" s="5"/>
      <c r="J267" s="5"/>
      <c r="K267" s="5"/>
      <c r="L267" s="1"/>
      <c r="M267" s="5"/>
      <c r="N267" s="5"/>
      <c r="O267" s="5"/>
      <c r="P267" s="5"/>
      <c r="Q267" s="5"/>
      <c r="R267" s="5"/>
      <c r="S267" s="5"/>
      <c r="T267" s="1"/>
      <c r="U267" s="1"/>
      <c r="V267" s="1"/>
      <c r="W267" s="3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A268" s="7"/>
      <c r="B268" s="5"/>
      <c r="C268" s="4"/>
      <c r="D268" s="1"/>
      <c r="E268" s="1"/>
      <c r="F268" s="5"/>
      <c r="G268" s="5"/>
      <c r="H268" s="5"/>
      <c r="I268" s="5"/>
      <c r="J268" s="5"/>
      <c r="K268" s="5"/>
      <c r="L268" s="1"/>
      <c r="M268" s="5"/>
      <c r="N268" s="5"/>
      <c r="O268" s="5"/>
      <c r="P268" s="5"/>
      <c r="Q268" s="5"/>
      <c r="R268" s="5"/>
      <c r="S268" s="5"/>
      <c r="T268" s="1"/>
      <c r="U268" s="1"/>
      <c r="V268" s="1"/>
      <c r="W268" s="3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A269" s="7"/>
      <c r="B269" s="5"/>
      <c r="C269" s="4"/>
      <c r="D269" s="1"/>
      <c r="E269" s="1"/>
      <c r="F269" s="5"/>
      <c r="G269" s="5"/>
      <c r="H269" s="5"/>
      <c r="I269" s="5"/>
      <c r="J269" s="5"/>
      <c r="K269" s="5"/>
      <c r="L269" s="1"/>
      <c r="M269" s="5"/>
      <c r="N269" s="5"/>
      <c r="O269" s="5"/>
      <c r="P269" s="5"/>
      <c r="Q269" s="5"/>
      <c r="R269" s="5"/>
      <c r="S269" s="5"/>
      <c r="T269" s="1"/>
      <c r="U269" s="1"/>
      <c r="V269" s="1"/>
      <c r="W269" s="3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A270" s="7"/>
      <c r="B270" s="5"/>
      <c r="C270" s="4"/>
      <c r="D270" s="1"/>
      <c r="E270" s="1"/>
      <c r="F270" s="5"/>
      <c r="G270" s="5"/>
      <c r="H270" s="5"/>
      <c r="I270" s="5"/>
      <c r="J270" s="5"/>
      <c r="K270" s="5"/>
      <c r="L270" s="1"/>
      <c r="M270" s="5"/>
      <c r="N270" s="5"/>
      <c r="O270" s="5"/>
      <c r="P270" s="5"/>
      <c r="Q270" s="5"/>
      <c r="R270" s="5"/>
      <c r="S270" s="5"/>
      <c r="T270" s="1"/>
      <c r="U270" s="1"/>
      <c r="V270" s="1"/>
      <c r="W270" s="3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A271" s="7"/>
      <c r="B271" s="5"/>
      <c r="C271" s="4"/>
      <c r="D271" s="1"/>
      <c r="E271" s="1"/>
      <c r="F271" s="5"/>
      <c r="G271" s="5"/>
      <c r="H271" s="5"/>
      <c r="I271" s="5"/>
      <c r="J271" s="5"/>
      <c r="K271" s="5"/>
      <c r="L271" s="1"/>
      <c r="M271" s="5"/>
      <c r="N271" s="5"/>
      <c r="O271" s="5"/>
      <c r="P271" s="5"/>
      <c r="Q271" s="5"/>
      <c r="R271" s="5"/>
      <c r="S271" s="5"/>
      <c r="T271" s="1"/>
      <c r="U271" s="1"/>
      <c r="V271" s="1"/>
      <c r="W271" s="3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A272" s="7"/>
      <c r="B272" s="5"/>
      <c r="C272" s="4"/>
      <c r="D272" s="1"/>
      <c r="E272" s="1"/>
      <c r="F272" s="5"/>
      <c r="G272" s="5"/>
      <c r="H272" s="5"/>
      <c r="I272" s="5"/>
      <c r="J272" s="5"/>
      <c r="K272" s="5"/>
      <c r="L272" s="1"/>
      <c r="M272" s="5"/>
      <c r="N272" s="5"/>
      <c r="O272" s="5"/>
      <c r="P272" s="5"/>
      <c r="Q272" s="5"/>
      <c r="R272" s="5"/>
      <c r="S272" s="5"/>
      <c r="T272" s="1"/>
      <c r="U272" s="1"/>
      <c r="V272" s="1"/>
      <c r="W272" s="3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A273" s="7"/>
      <c r="B273" s="5"/>
      <c r="C273" s="4"/>
      <c r="D273" s="1"/>
      <c r="E273" s="1"/>
      <c r="F273" s="5"/>
      <c r="G273" s="5"/>
      <c r="H273" s="5"/>
      <c r="I273" s="5"/>
      <c r="J273" s="5"/>
      <c r="K273" s="5"/>
      <c r="L273" s="1"/>
      <c r="M273" s="5"/>
      <c r="N273" s="5"/>
      <c r="O273" s="5"/>
      <c r="P273" s="5"/>
      <c r="Q273" s="5"/>
      <c r="R273" s="5"/>
      <c r="S273" s="5"/>
      <c r="T273" s="1"/>
      <c r="U273" s="1"/>
      <c r="V273" s="1"/>
      <c r="W273" s="3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A274" s="7"/>
      <c r="B274" s="5"/>
      <c r="C274" s="4"/>
      <c r="D274" s="1"/>
      <c r="E274" s="1"/>
      <c r="F274" s="5"/>
      <c r="G274" s="5"/>
      <c r="H274" s="5"/>
      <c r="I274" s="5"/>
      <c r="J274" s="5"/>
      <c r="K274" s="5"/>
      <c r="L274" s="1"/>
      <c r="M274" s="5"/>
      <c r="N274" s="5"/>
      <c r="O274" s="5"/>
      <c r="P274" s="5"/>
      <c r="Q274" s="5"/>
      <c r="R274" s="5"/>
      <c r="S274" s="5"/>
      <c r="T274" s="1"/>
      <c r="U274" s="1"/>
      <c r="V274" s="1"/>
      <c r="W274" s="3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A275" s="7"/>
      <c r="B275" s="5"/>
      <c r="C275" s="4"/>
      <c r="D275" s="1"/>
      <c r="E275" s="1"/>
      <c r="F275" s="5"/>
      <c r="G275" s="5"/>
      <c r="H275" s="5"/>
      <c r="I275" s="5"/>
      <c r="J275" s="5"/>
      <c r="K275" s="5"/>
      <c r="L275" s="1"/>
      <c r="M275" s="5"/>
      <c r="N275" s="5"/>
      <c r="O275" s="5"/>
      <c r="P275" s="5"/>
      <c r="Q275" s="5"/>
      <c r="R275" s="5"/>
      <c r="S275" s="5"/>
      <c r="T275" s="1"/>
      <c r="U275" s="1"/>
      <c r="V275" s="1"/>
      <c r="W275" s="3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A276" s="7"/>
      <c r="B276" s="5"/>
      <c r="C276" s="4"/>
      <c r="D276" s="1"/>
      <c r="E276" s="1"/>
      <c r="F276" s="5"/>
      <c r="G276" s="5"/>
      <c r="H276" s="5"/>
      <c r="I276" s="5"/>
      <c r="J276" s="5"/>
      <c r="K276" s="5"/>
      <c r="L276" s="1"/>
      <c r="M276" s="5"/>
      <c r="N276" s="5"/>
      <c r="O276" s="5"/>
      <c r="P276" s="5"/>
      <c r="Q276" s="5"/>
      <c r="R276" s="5"/>
      <c r="S276" s="5"/>
      <c r="T276" s="1"/>
      <c r="U276" s="1"/>
      <c r="V276" s="1"/>
      <c r="W276" s="3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A277" s="7"/>
      <c r="B277" s="5"/>
      <c r="C277" s="4"/>
      <c r="D277" s="1"/>
      <c r="E277" s="1"/>
      <c r="F277" s="5"/>
      <c r="G277" s="5"/>
      <c r="H277" s="5"/>
      <c r="I277" s="5"/>
      <c r="J277" s="5"/>
      <c r="K277" s="5"/>
      <c r="L277" s="1"/>
      <c r="M277" s="5"/>
      <c r="N277" s="5"/>
      <c r="O277" s="5"/>
      <c r="P277" s="5"/>
      <c r="Q277" s="5"/>
      <c r="R277" s="5"/>
      <c r="S277" s="5"/>
      <c r="T277" s="1"/>
      <c r="U277" s="1"/>
      <c r="V277" s="1"/>
      <c r="W277" s="3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A278" s="7"/>
      <c r="B278" s="5"/>
      <c r="C278" s="4"/>
      <c r="D278" s="1"/>
      <c r="E278" s="1"/>
      <c r="F278" s="5"/>
      <c r="G278" s="5"/>
      <c r="H278" s="5"/>
      <c r="I278" s="5"/>
      <c r="J278" s="5"/>
      <c r="K278" s="5"/>
      <c r="L278" s="1"/>
      <c r="M278" s="5"/>
      <c r="N278" s="5"/>
      <c r="O278" s="5"/>
      <c r="P278" s="5"/>
      <c r="Q278" s="5"/>
      <c r="R278" s="5"/>
      <c r="S278" s="5"/>
      <c r="T278" s="1"/>
      <c r="U278" s="1"/>
      <c r="V278" s="1"/>
      <c r="W278" s="3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7"/>
      <c r="B279" s="5"/>
      <c r="C279" s="4"/>
      <c r="D279" s="1"/>
      <c r="E279" s="1"/>
      <c r="F279" s="5"/>
      <c r="G279" s="5"/>
      <c r="H279" s="5"/>
      <c r="I279" s="5"/>
      <c r="J279" s="5"/>
      <c r="K279" s="5"/>
      <c r="L279" s="1"/>
      <c r="M279" s="5"/>
      <c r="N279" s="5"/>
      <c r="O279" s="5"/>
      <c r="P279" s="5"/>
      <c r="Q279" s="5"/>
      <c r="R279" s="5"/>
      <c r="S279" s="5"/>
      <c r="T279" s="1"/>
      <c r="U279" s="1"/>
      <c r="V279" s="1"/>
      <c r="W279" s="3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>
      <c r="A280" s="7"/>
      <c r="B280" s="5"/>
      <c r="C280" s="4"/>
      <c r="D280" s="1"/>
      <c r="E280" s="1"/>
      <c r="F280" s="5"/>
      <c r="G280" s="5"/>
      <c r="H280" s="5"/>
      <c r="I280" s="5"/>
      <c r="J280" s="5"/>
      <c r="K280" s="5"/>
      <c r="L280" s="1"/>
      <c r="M280" s="5"/>
      <c r="N280" s="5"/>
      <c r="O280" s="5"/>
      <c r="P280" s="5"/>
      <c r="Q280" s="5"/>
      <c r="R280" s="5"/>
      <c r="S280" s="5"/>
      <c r="T280" s="1"/>
      <c r="U280" s="1"/>
      <c r="V280" s="1"/>
      <c r="W280" s="3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A281" s="7"/>
      <c r="B281" s="5"/>
      <c r="C281" s="4"/>
      <c r="D281" s="1"/>
      <c r="E281" s="1"/>
      <c r="F281" s="5"/>
      <c r="G281" s="5"/>
      <c r="H281" s="5"/>
      <c r="I281" s="5"/>
      <c r="J281" s="5"/>
      <c r="K281" s="5"/>
      <c r="L281" s="1"/>
      <c r="M281" s="5"/>
      <c r="N281" s="5"/>
      <c r="O281" s="5"/>
      <c r="P281" s="5"/>
      <c r="Q281" s="5"/>
      <c r="R281" s="5"/>
      <c r="S281" s="5"/>
      <c r="T281" s="1"/>
      <c r="U281" s="1"/>
      <c r="V281" s="1"/>
      <c r="W281" s="3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A282" s="7"/>
      <c r="B282" s="5"/>
      <c r="C282" s="4"/>
      <c r="D282" s="1"/>
      <c r="E282" s="1"/>
      <c r="F282" s="5"/>
      <c r="G282" s="5"/>
      <c r="H282" s="5"/>
      <c r="I282" s="5"/>
      <c r="J282" s="5"/>
      <c r="K282" s="5"/>
      <c r="L282" s="1"/>
      <c r="M282" s="5"/>
      <c r="N282" s="5"/>
      <c r="O282" s="5"/>
      <c r="P282" s="5"/>
      <c r="Q282" s="5"/>
      <c r="R282" s="5"/>
      <c r="S282" s="5"/>
      <c r="T282" s="1"/>
      <c r="U282" s="1"/>
      <c r="V282" s="1"/>
      <c r="W282" s="3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A283" s="7"/>
      <c r="B283" s="5"/>
      <c r="C283" s="4"/>
      <c r="D283" s="1"/>
      <c r="E283" s="1"/>
      <c r="F283" s="5"/>
      <c r="G283" s="5"/>
      <c r="H283" s="5"/>
      <c r="I283" s="5"/>
      <c r="J283" s="5"/>
      <c r="K283" s="5"/>
      <c r="L283" s="1"/>
      <c r="M283" s="5"/>
      <c r="N283" s="5"/>
      <c r="O283" s="5"/>
      <c r="P283" s="5"/>
      <c r="Q283" s="5"/>
      <c r="R283" s="5"/>
      <c r="S283" s="5"/>
      <c r="T283" s="1"/>
      <c r="U283" s="1"/>
      <c r="V283" s="1"/>
      <c r="W283" s="3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A284" s="7"/>
      <c r="B284" s="5"/>
      <c r="C284" s="4"/>
      <c r="D284" s="1"/>
      <c r="E284" s="1"/>
      <c r="F284" s="5"/>
      <c r="G284" s="5"/>
      <c r="H284" s="5"/>
      <c r="I284" s="5"/>
      <c r="J284" s="5"/>
      <c r="K284" s="5"/>
      <c r="L284" s="1"/>
      <c r="M284" s="5"/>
      <c r="N284" s="5"/>
      <c r="O284" s="5"/>
      <c r="P284" s="5"/>
      <c r="Q284" s="5"/>
      <c r="R284" s="5"/>
      <c r="S284" s="5"/>
      <c r="T284" s="1"/>
      <c r="U284" s="1"/>
      <c r="V284" s="1"/>
      <c r="W284" s="3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A285" s="7"/>
      <c r="B285" s="5"/>
      <c r="C285" s="4"/>
      <c r="D285" s="1"/>
      <c r="E285" s="1"/>
      <c r="F285" s="5"/>
      <c r="G285" s="5"/>
      <c r="H285" s="5"/>
      <c r="I285" s="5"/>
      <c r="J285" s="5"/>
      <c r="K285" s="5"/>
      <c r="L285" s="1"/>
      <c r="M285" s="5"/>
      <c r="N285" s="5"/>
      <c r="O285" s="5"/>
      <c r="P285" s="5"/>
      <c r="Q285" s="5"/>
      <c r="R285" s="5"/>
      <c r="S285" s="5"/>
      <c r="T285" s="1"/>
      <c r="U285" s="1"/>
      <c r="V285" s="1"/>
      <c r="W285" s="3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A286" s="7"/>
      <c r="B286" s="5"/>
      <c r="C286" s="4"/>
      <c r="D286" s="1"/>
      <c r="E286" s="1"/>
      <c r="F286" s="5"/>
      <c r="G286" s="5"/>
      <c r="H286" s="5"/>
      <c r="I286" s="5"/>
      <c r="J286" s="5"/>
      <c r="K286" s="5"/>
      <c r="L286" s="1"/>
      <c r="M286" s="5"/>
      <c r="N286" s="5"/>
      <c r="O286" s="5"/>
      <c r="P286" s="5"/>
      <c r="Q286" s="5"/>
      <c r="R286" s="5"/>
      <c r="S286" s="5"/>
      <c r="T286" s="1"/>
      <c r="U286" s="1"/>
      <c r="V286" s="1"/>
      <c r="W286" s="3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A287" s="7"/>
      <c r="B287" s="5"/>
      <c r="C287" s="4"/>
      <c r="D287" s="1"/>
      <c r="E287" s="1"/>
      <c r="F287" s="5"/>
      <c r="G287" s="5"/>
      <c r="H287" s="5"/>
      <c r="I287" s="5"/>
      <c r="J287" s="5"/>
      <c r="K287" s="5"/>
      <c r="L287" s="1"/>
      <c r="M287" s="5"/>
      <c r="N287" s="5"/>
      <c r="O287" s="5"/>
      <c r="P287" s="5"/>
      <c r="Q287" s="5"/>
      <c r="R287" s="5"/>
      <c r="S287" s="5"/>
      <c r="T287" s="1"/>
      <c r="U287" s="1"/>
      <c r="V287" s="1"/>
      <c r="W287" s="3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7"/>
      <c r="B288" s="5"/>
      <c r="C288" s="4"/>
      <c r="D288" s="1"/>
      <c r="E288" s="1"/>
      <c r="F288" s="5"/>
      <c r="G288" s="5"/>
      <c r="H288" s="5"/>
      <c r="I288" s="5"/>
      <c r="J288" s="5"/>
      <c r="K288" s="5"/>
      <c r="L288" s="1"/>
      <c r="M288" s="5"/>
      <c r="N288" s="5"/>
      <c r="O288" s="5"/>
      <c r="P288" s="5"/>
      <c r="Q288" s="5"/>
      <c r="R288" s="5"/>
      <c r="S288" s="5"/>
      <c r="T288" s="1"/>
      <c r="U288" s="1"/>
      <c r="V288" s="1"/>
      <c r="W288" s="3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>
      <c r="A289" s="7"/>
      <c r="B289" s="5"/>
      <c r="C289" s="4"/>
      <c r="D289" s="1"/>
      <c r="E289" s="1"/>
      <c r="F289" s="5"/>
      <c r="G289" s="5"/>
      <c r="H289" s="5"/>
      <c r="I289" s="5"/>
      <c r="J289" s="5"/>
      <c r="K289" s="5"/>
      <c r="L289" s="1"/>
      <c r="M289" s="5"/>
      <c r="N289" s="5"/>
      <c r="O289" s="5"/>
      <c r="P289" s="5"/>
      <c r="Q289" s="5"/>
      <c r="R289" s="5"/>
      <c r="S289" s="5"/>
      <c r="T289" s="1"/>
      <c r="U289" s="1"/>
      <c r="V289" s="1"/>
      <c r="W289" s="3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A290" s="7"/>
      <c r="B290" s="5"/>
      <c r="C290" s="4"/>
      <c r="D290" s="1"/>
      <c r="E290" s="1"/>
      <c r="F290" s="5"/>
      <c r="G290" s="5"/>
      <c r="H290" s="5"/>
      <c r="I290" s="5"/>
      <c r="J290" s="5"/>
      <c r="K290" s="5"/>
      <c r="L290" s="1"/>
      <c r="M290" s="5"/>
      <c r="N290" s="5"/>
      <c r="O290" s="5"/>
      <c r="P290" s="5"/>
      <c r="Q290" s="5"/>
      <c r="R290" s="5"/>
      <c r="S290" s="5"/>
      <c r="T290" s="1"/>
      <c r="U290" s="1"/>
      <c r="V290" s="1"/>
      <c r="W290" s="3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A291" s="7"/>
      <c r="B291" s="5"/>
      <c r="C291" s="4"/>
      <c r="D291" s="1"/>
      <c r="E291" s="1"/>
      <c r="F291" s="5"/>
      <c r="G291" s="5"/>
      <c r="H291" s="5"/>
      <c r="I291" s="5"/>
      <c r="J291" s="5"/>
      <c r="K291" s="5"/>
      <c r="L291" s="1"/>
      <c r="M291" s="5"/>
      <c r="N291" s="5"/>
      <c r="O291" s="5"/>
      <c r="P291" s="5"/>
      <c r="Q291" s="5"/>
      <c r="R291" s="5"/>
      <c r="S291" s="5"/>
      <c r="T291" s="1"/>
      <c r="U291" s="1"/>
      <c r="V291" s="1"/>
      <c r="W291" s="3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A292" s="7"/>
      <c r="B292" s="5"/>
      <c r="C292" s="4"/>
      <c r="D292" s="1"/>
      <c r="E292" s="1"/>
      <c r="F292" s="5"/>
      <c r="G292" s="5"/>
      <c r="H292" s="5"/>
      <c r="I292" s="5"/>
      <c r="J292" s="5"/>
      <c r="K292" s="5"/>
      <c r="L292" s="1"/>
      <c r="M292" s="5"/>
      <c r="N292" s="5"/>
      <c r="O292" s="5"/>
      <c r="P292" s="5"/>
      <c r="Q292" s="5"/>
      <c r="R292" s="5"/>
      <c r="S292" s="5"/>
      <c r="T292" s="1"/>
      <c r="U292" s="1"/>
      <c r="V292" s="1"/>
      <c r="W292" s="3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A293" s="7"/>
      <c r="B293" s="5"/>
      <c r="C293" s="4"/>
      <c r="D293" s="1"/>
      <c r="E293" s="1"/>
      <c r="F293" s="5"/>
      <c r="G293" s="5"/>
      <c r="H293" s="5"/>
      <c r="I293" s="5"/>
      <c r="J293" s="5"/>
      <c r="K293" s="5"/>
      <c r="L293" s="1"/>
      <c r="M293" s="5"/>
      <c r="N293" s="5"/>
      <c r="O293" s="5"/>
      <c r="P293" s="5"/>
      <c r="Q293" s="5"/>
      <c r="R293" s="5"/>
      <c r="S293" s="5"/>
      <c r="T293" s="1"/>
      <c r="U293" s="1"/>
      <c r="V293" s="1"/>
      <c r="W293" s="3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A294" s="7"/>
      <c r="B294" s="5"/>
      <c r="C294" s="4"/>
      <c r="D294" s="1"/>
      <c r="E294" s="1"/>
      <c r="F294" s="5"/>
      <c r="G294" s="5"/>
      <c r="H294" s="5"/>
      <c r="I294" s="5"/>
      <c r="J294" s="5"/>
      <c r="K294" s="5"/>
      <c r="L294" s="1"/>
      <c r="M294" s="5"/>
      <c r="N294" s="5"/>
      <c r="O294" s="5"/>
      <c r="P294" s="5"/>
      <c r="Q294" s="5"/>
      <c r="R294" s="5"/>
      <c r="S294" s="5"/>
      <c r="T294" s="1"/>
      <c r="U294" s="1"/>
      <c r="V294" s="1"/>
      <c r="W294" s="3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A295" s="7"/>
      <c r="B295" s="5"/>
      <c r="C295" s="4"/>
      <c r="D295" s="1"/>
      <c r="E295" s="1"/>
      <c r="F295" s="5"/>
      <c r="G295" s="5"/>
      <c r="H295" s="5"/>
      <c r="I295" s="5"/>
      <c r="J295" s="5"/>
      <c r="K295" s="5"/>
      <c r="L295" s="1"/>
      <c r="M295" s="5"/>
      <c r="N295" s="5"/>
      <c r="O295" s="5"/>
      <c r="P295" s="5"/>
      <c r="Q295" s="5"/>
      <c r="R295" s="5"/>
      <c r="S295" s="5"/>
      <c r="T295" s="1"/>
      <c r="U295" s="1"/>
      <c r="V295" s="1"/>
      <c r="W295" s="3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A296" s="7"/>
      <c r="B296" s="5"/>
      <c r="C296" s="4"/>
      <c r="D296" s="1"/>
      <c r="E296" s="1"/>
      <c r="F296" s="5"/>
      <c r="G296" s="5"/>
      <c r="H296" s="5"/>
      <c r="I296" s="5"/>
      <c r="J296" s="5"/>
      <c r="K296" s="5"/>
      <c r="L296" s="1"/>
      <c r="M296" s="5"/>
      <c r="N296" s="5"/>
      <c r="O296" s="5"/>
      <c r="P296" s="5"/>
      <c r="Q296" s="5"/>
      <c r="R296" s="5"/>
      <c r="S296" s="5"/>
      <c r="T296" s="1"/>
      <c r="U296" s="1"/>
      <c r="V296" s="1"/>
      <c r="W296" s="3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A297" s="7"/>
      <c r="B297" s="5"/>
      <c r="C297" s="4"/>
      <c r="D297" s="1"/>
      <c r="E297" s="1"/>
      <c r="F297" s="5"/>
      <c r="G297" s="5"/>
      <c r="H297" s="5"/>
      <c r="I297" s="5"/>
      <c r="J297" s="5"/>
      <c r="K297" s="5"/>
      <c r="L297" s="1"/>
      <c r="M297" s="5"/>
      <c r="N297" s="5"/>
      <c r="O297" s="5"/>
      <c r="P297" s="5"/>
      <c r="Q297" s="5"/>
      <c r="R297" s="5"/>
      <c r="S297" s="5"/>
      <c r="T297" s="1"/>
      <c r="U297" s="1"/>
      <c r="V297" s="1"/>
      <c r="W297" s="3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A298" s="7"/>
      <c r="B298" s="5"/>
      <c r="C298" s="4"/>
      <c r="D298" s="1"/>
      <c r="E298" s="1"/>
      <c r="F298" s="5"/>
      <c r="G298" s="5"/>
      <c r="H298" s="5"/>
      <c r="I298" s="5"/>
      <c r="J298" s="5"/>
      <c r="K298" s="5"/>
      <c r="L298" s="1"/>
      <c r="M298" s="5"/>
      <c r="N298" s="5"/>
      <c r="O298" s="5"/>
      <c r="P298" s="5"/>
      <c r="Q298" s="5"/>
      <c r="R298" s="5"/>
      <c r="S298" s="5"/>
      <c r="T298" s="1"/>
      <c r="U298" s="1"/>
      <c r="V298" s="1"/>
      <c r="W298" s="3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A299" s="7"/>
      <c r="B299" s="5"/>
      <c r="C299" s="4"/>
      <c r="D299" s="1"/>
      <c r="E299" s="1"/>
      <c r="F299" s="5"/>
      <c r="G299" s="5"/>
      <c r="H299" s="5"/>
      <c r="I299" s="5"/>
      <c r="J299" s="5"/>
      <c r="K299" s="5"/>
      <c r="L299" s="1"/>
      <c r="M299" s="5"/>
      <c r="N299" s="5"/>
      <c r="O299" s="5"/>
      <c r="P299" s="5"/>
      <c r="Q299" s="5"/>
      <c r="R299" s="5"/>
      <c r="S299" s="5"/>
      <c r="T299" s="1"/>
      <c r="U299" s="1"/>
      <c r="V299" s="1"/>
      <c r="W299" s="3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A300" s="7"/>
      <c r="B300" s="5"/>
      <c r="C300" s="4"/>
      <c r="D300" s="1"/>
      <c r="E300" s="1"/>
      <c r="F300" s="5"/>
      <c r="G300" s="5"/>
      <c r="H300" s="5"/>
      <c r="I300" s="5"/>
      <c r="J300" s="5"/>
      <c r="K300" s="5"/>
      <c r="L300" s="1"/>
      <c r="M300" s="5"/>
      <c r="N300" s="5"/>
      <c r="O300" s="5"/>
      <c r="P300" s="5"/>
      <c r="Q300" s="5"/>
      <c r="R300" s="5"/>
      <c r="S300" s="5"/>
      <c r="T300" s="1"/>
      <c r="U300" s="1"/>
      <c r="V300" s="1"/>
      <c r="W300" s="3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A301" s="7"/>
      <c r="B301" s="5"/>
      <c r="C301" s="4"/>
      <c r="D301" s="1"/>
      <c r="E301" s="1"/>
      <c r="F301" s="5"/>
      <c r="G301" s="5"/>
      <c r="H301" s="5"/>
      <c r="I301" s="5"/>
      <c r="J301" s="5"/>
      <c r="K301" s="5"/>
      <c r="L301" s="1"/>
      <c r="M301" s="5"/>
      <c r="N301" s="5"/>
      <c r="O301" s="5"/>
      <c r="P301" s="5"/>
      <c r="Q301" s="5"/>
      <c r="R301" s="5"/>
      <c r="S301" s="5"/>
      <c r="T301" s="1"/>
      <c r="U301" s="1"/>
      <c r="V301" s="1"/>
      <c r="W301" s="3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A302" s="7"/>
      <c r="B302" s="5"/>
      <c r="C302" s="4"/>
      <c r="D302" s="1"/>
      <c r="E302" s="1"/>
      <c r="F302" s="5"/>
      <c r="G302" s="5"/>
      <c r="H302" s="5"/>
      <c r="I302" s="5"/>
      <c r="J302" s="5"/>
      <c r="K302" s="5"/>
      <c r="L302" s="1"/>
      <c r="M302" s="5"/>
      <c r="N302" s="5"/>
      <c r="O302" s="5"/>
      <c r="P302" s="5"/>
      <c r="Q302" s="5"/>
      <c r="R302" s="5"/>
      <c r="S302" s="5"/>
      <c r="T302" s="1"/>
      <c r="U302" s="1"/>
      <c r="V302" s="1"/>
      <c r="W302" s="3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A303" s="7"/>
      <c r="B303" s="5"/>
      <c r="C303" s="4"/>
      <c r="D303" s="1"/>
      <c r="E303" s="1"/>
      <c r="F303" s="5"/>
      <c r="G303" s="5"/>
      <c r="H303" s="5"/>
      <c r="I303" s="5"/>
      <c r="J303" s="5"/>
      <c r="K303" s="5"/>
      <c r="L303" s="1"/>
      <c r="M303" s="5"/>
      <c r="N303" s="5"/>
      <c r="O303" s="5"/>
      <c r="P303" s="5"/>
      <c r="Q303" s="5"/>
      <c r="R303" s="5"/>
      <c r="S303" s="5"/>
      <c r="T303" s="1"/>
      <c r="U303" s="1"/>
      <c r="V303" s="1"/>
      <c r="W303" s="3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A304" s="7"/>
      <c r="B304" s="5"/>
      <c r="C304" s="4"/>
      <c r="D304" s="1"/>
      <c r="E304" s="1"/>
      <c r="F304" s="5"/>
      <c r="G304" s="5"/>
      <c r="H304" s="5"/>
      <c r="I304" s="5"/>
      <c r="J304" s="5"/>
      <c r="K304" s="5"/>
      <c r="L304" s="1"/>
      <c r="M304" s="5"/>
      <c r="N304" s="5"/>
      <c r="O304" s="5"/>
      <c r="P304" s="5"/>
      <c r="Q304" s="5"/>
      <c r="R304" s="5"/>
      <c r="S304" s="5"/>
      <c r="T304" s="1"/>
      <c r="U304" s="1"/>
      <c r="V304" s="1"/>
      <c r="W304" s="3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A305" s="7"/>
      <c r="B305" s="5"/>
      <c r="C305" s="4"/>
      <c r="D305" s="1"/>
      <c r="E305" s="1"/>
      <c r="F305" s="5"/>
      <c r="G305" s="5"/>
      <c r="H305" s="5"/>
      <c r="I305" s="5"/>
      <c r="J305" s="5"/>
      <c r="K305" s="5"/>
      <c r="L305" s="1"/>
      <c r="M305" s="5"/>
      <c r="N305" s="5"/>
      <c r="O305" s="5"/>
      <c r="P305" s="5"/>
      <c r="Q305" s="5"/>
      <c r="R305" s="5"/>
      <c r="S305" s="5"/>
      <c r="T305" s="1"/>
      <c r="U305" s="1"/>
      <c r="V305" s="1"/>
      <c r="W305" s="3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A306" s="7"/>
      <c r="B306" s="5"/>
      <c r="C306" s="4"/>
      <c r="D306" s="1"/>
      <c r="E306" s="1"/>
      <c r="F306" s="5"/>
      <c r="G306" s="5"/>
      <c r="H306" s="5"/>
      <c r="I306" s="5"/>
      <c r="J306" s="5"/>
      <c r="K306" s="5"/>
      <c r="L306" s="1"/>
      <c r="M306" s="5"/>
      <c r="N306" s="5"/>
      <c r="O306" s="5"/>
      <c r="P306" s="5"/>
      <c r="Q306" s="5"/>
      <c r="R306" s="5"/>
      <c r="S306" s="5"/>
      <c r="T306" s="1"/>
      <c r="U306" s="1"/>
      <c r="V306" s="1"/>
      <c r="W306" s="3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A307" s="7"/>
      <c r="B307" s="5"/>
      <c r="C307" s="4"/>
      <c r="D307" s="1"/>
      <c r="E307" s="1"/>
      <c r="F307" s="5"/>
      <c r="G307" s="5"/>
      <c r="H307" s="5"/>
      <c r="I307" s="5"/>
      <c r="J307" s="5"/>
      <c r="K307" s="5"/>
      <c r="L307" s="1"/>
      <c r="M307" s="5"/>
      <c r="N307" s="5"/>
      <c r="O307" s="5"/>
      <c r="P307" s="5"/>
      <c r="Q307" s="5"/>
      <c r="R307" s="5"/>
      <c r="S307" s="5"/>
      <c r="T307" s="1"/>
      <c r="U307" s="1"/>
      <c r="V307" s="1"/>
      <c r="W307" s="3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A308" s="7"/>
      <c r="B308" s="5"/>
      <c r="C308" s="4"/>
      <c r="D308" s="1"/>
      <c r="E308" s="1"/>
      <c r="F308" s="5"/>
      <c r="G308" s="5"/>
      <c r="H308" s="5"/>
      <c r="I308" s="5"/>
      <c r="J308" s="5"/>
      <c r="K308" s="5"/>
      <c r="L308" s="1"/>
      <c r="M308" s="5"/>
      <c r="N308" s="5"/>
      <c r="O308" s="5"/>
      <c r="P308" s="5"/>
      <c r="Q308" s="5"/>
      <c r="R308" s="5"/>
      <c r="S308" s="5"/>
      <c r="T308" s="1"/>
      <c r="U308" s="1"/>
      <c r="V308" s="1"/>
      <c r="W308" s="3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A309" s="7"/>
      <c r="B309" s="5"/>
      <c r="C309" s="4"/>
      <c r="D309" s="1"/>
      <c r="E309" s="1"/>
      <c r="F309" s="5"/>
      <c r="G309" s="5"/>
      <c r="H309" s="5"/>
      <c r="I309" s="5"/>
      <c r="J309" s="5"/>
      <c r="K309" s="5"/>
      <c r="L309" s="1"/>
      <c r="M309" s="5"/>
      <c r="N309" s="5"/>
      <c r="O309" s="5"/>
      <c r="P309" s="5"/>
      <c r="Q309" s="5"/>
      <c r="R309" s="5"/>
      <c r="S309" s="5"/>
      <c r="T309" s="1"/>
      <c r="U309" s="1"/>
      <c r="V309" s="1"/>
      <c r="W309" s="3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A310" s="7"/>
      <c r="B310" s="5"/>
      <c r="C310" s="4"/>
      <c r="D310" s="1"/>
      <c r="E310" s="1"/>
      <c r="F310" s="5"/>
      <c r="G310" s="5"/>
      <c r="H310" s="5"/>
      <c r="I310" s="5"/>
      <c r="J310" s="5"/>
      <c r="K310" s="5"/>
      <c r="L310" s="1"/>
      <c r="M310" s="5"/>
      <c r="N310" s="5"/>
      <c r="O310" s="5"/>
      <c r="P310" s="5"/>
      <c r="Q310" s="5"/>
      <c r="R310" s="5"/>
      <c r="S310" s="5"/>
      <c r="T310" s="1"/>
      <c r="U310" s="1"/>
      <c r="V310" s="1"/>
      <c r="W310" s="3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7"/>
      <c r="B311" s="5"/>
      <c r="C311" s="4"/>
      <c r="D311" s="1"/>
      <c r="E311" s="1"/>
      <c r="F311" s="5"/>
      <c r="G311" s="5"/>
      <c r="H311" s="5"/>
      <c r="I311" s="5"/>
      <c r="J311" s="5"/>
      <c r="K311" s="5"/>
      <c r="L311" s="1"/>
      <c r="M311" s="5"/>
      <c r="N311" s="5"/>
      <c r="O311" s="5"/>
      <c r="P311" s="5"/>
      <c r="Q311" s="5"/>
      <c r="R311" s="5"/>
      <c r="S311" s="5"/>
      <c r="T311" s="1"/>
      <c r="U311" s="1"/>
      <c r="V311" s="1"/>
      <c r="W311" s="3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>
      <c r="A312" s="7"/>
      <c r="B312" s="5"/>
      <c r="C312" s="4"/>
      <c r="D312" s="1"/>
      <c r="E312" s="1"/>
      <c r="F312" s="5"/>
      <c r="G312" s="5"/>
      <c r="H312" s="5"/>
      <c r="I312" s="5"/>
      <c r="J312" s="5"/>
      <c r="K312" s="5"/>
      <c r="L312" s="1"/>
      <c r="M312" s="5"/>
      <c r="N312" s="5"/>
      <c r="O312" s="5"/>
      <c r="P312" s="5"/>
      <c r="Q312" s="5"/>
      <c r="R312" s="5"/>
      <c r="S312" s="5"/>
      <c r="T312" s="1"/>
      <c r="U312" s="1"/>
      <c r="V312" s="1"/>
      <c r="W312" s="3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7"/>
      <c r="B313" s="5"/>
      <c r="C313" s="4"/>
      <c r="D313" s="1"/>
      <c r="E313" s="1"/>
      <c r="F313" s="5"/>
      <c r="G313" s="5"/>
      <c r="H313" s="5"/>
      <c r="I313" s="5"/>
      <c r="J313" s="5"/>
      <c r="K313" s="5"/>
      <c r="L313" s="1"/>
      <c r="M313" s="5"/>
      <c r="N313" s="5"/>
      <c r="O313" s="5"/>
      <c r="P313" s="5"/>
      <c r="Q313" s="5"/>
      <c r="R313" s="5"/>
      <c r="S313" s="5"/>
      <c r="T313" s="1"/>
      <c r="U313" s="1"/>
      <c r="V313" s="1"/>
      <c r="W313" s="3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7"/>
      <c r="B314" s="5"/>
      <c r="C314" s="4"/>
      <c r="D314" s="1"/>
      <c r="E314" s="1"/>
      <c r="F314" s="5"/>
      <c r="G314" s="5"/>
      <c r="H314" s="5"/>
      <c r="I314" s="5"/>
      <c r="J314" s="5"/>
      <c r="K314" s="5"/>
      <c r="L314" s="1"/>
      <c r="M314" s="5"/>
      <c r="N314" s="5"/>
      <c r="O314" s="5"/>
      <c r="P314" s="5"/>
      <c r="Q314" s="5"/>
      <c r="R314" s="5"/>
      <c r="S314" s="5"/>
      <c r="T314" s="1"/>
      <c r="U314" s="1"/>
      <c r="V314" s="1"/>
      <c r="W314" s="3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7"/>
      <c r="B315" s="5"/>
      <c r="C315" s="4"/>
      <c r="D315" s="1"/>
      <c r="E315" s="1"/>
      <c r="F315" s="5"/>
      <c r="G315" s="5"/>
      <c r="H315" s="5"/>
      <c r="I315" s="5"/>
      <c r="J315" s="5"/>
      <c r="K315" s="5"/>
      <c r="L315" s="1"/>
      <c r="M315" s="5"/>
      <c r="N315" s="5"/>
      <c r="O315" s="5"/>
      <c r="P315" s="5"/>
      <c r="Q315" s="5"/>
      <c r="R315" s="5"/>
      <c r="S315" s="5"/>
      <c r="T315" s="1"/>
      <c r="U315" s="1"/>
      <c r="V315" s="1"/>
      <c r="W315" s="3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7"/>
      <c r="B316" s="5"/>
      <c r="C316" s="4"/>
      <c r="D316" s="1"/>
      <c r="E316" s="1"/>
      <c r="F316" s="5"/>
      <c r="G316" s="5"/>
      <c r="H316" s="5"/>
      <c r="I316" s="5"/>
      <c r="J316" s="5"/>
      <c r="K316" s="5"/>
      <c r="L316" s="1"/>
      <c r="M316" s="5"/>
      <c r="N316" s="5"/>
      <c r="O316" s="5"/>
      <c r="P316" s="5"/>
      <c r="Q316" s="5"/>
      <c r="R316" s="5"/>
      <c r="S316" s="5"/>
      <c r="T316" s="1"/>
      <c r="U316" s="1"/>
      <c r="V316" s="1"/>
      <c r="W316" s="3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7"/>
      <c r="B317" s="5"/>
      <c r="C317" s="4"/>
      <c r="D317" s="1"/>
      <c r="E317" s="1"/>
      <c r="F317" s="5"/>
      <c r="G317" s="5"/>
      <c r="H317" s="5"/>
      <c r="I317" s="5"/>
      <c r="J317" s="5"/>
      <c r="K317" s="5"/>
      <c r="L317" s="1"/>
      <c r="M317" s="5"/>
      <c r="N317" s="5"/>
      <c r="O317" s="5"/>
      <c r="P317" s="5"/>
      <c r="Q317" s="5"/>
      <c r="R317" s="5"/>
      <c r="S317" s="5"/>
      <c r="T317" s="1"/>
      <c r="U317" s="1"/>
      <c r="V317" s="1"/>
      <c r="W317" s="3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7"/>
      <c r="B318" s="5"/>
      <c r="C318" s="4"/>
      <c r="D318" s="1"/>
      <c r="E318" s="1"/>
      <c r="F318" s="5"/>
      <c r="G318" s="5"/>
      <c r="H318" s="5"/>
      <c r="I318" s="5"/>
      <c r="J318" s="5"/>
      <c r="K318" s="5"/>
      <c r="L318" s="1"/>
      <c r="M318" s="5"/>
      <c r="N318" s="5"/>
      <c r="O318" s="5"/>
      <c r="P318" s="5"/>
      <c r="Q318" s="5"/>
      <c r="R318" s="5"/>
      <c r="S318" s="5"/>
      <c r="T318" s="1"/>
      <c r="U318" s="1"/>
      <c r="V318" s="1"/>
      <c r="W318" s="3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7"/>
      <c r="B319" s="5"/>
      <c r="C319" s="4"/>
      <c r="D319" s="1"/>
      <c r="E319" s="1"/>
      <c r="F319" s="5"/>
      <c r="G319" s="5"/>
      <c r="H319" s="5"/>
      <c r="I319" s="5"/>
      <c r="J319" s="5"/>
      <c r="K319" s="5"/>
      <c r="L319" s="1"/>
      <c r="M319" s="5"/>
      <c r="N319" s="5"/>
      <c r="O319" s="5"/>
      <c r="P319" s="5"/>
      <c r="Q319" s="5"/>
      <c r="R319" s="5"/>
      <c r="S319" s="5"/>
      <c r="T319" s="1"/>
      <c r="U319" s="1"/>
      <c r="V319" s="1"/>
      <c r="W319" s="3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A320" s="7"/>
      <c r="B320" s="5"/>
      <c r="C320" s="4"/>
      <c r="D320" s="1"/>
      <c r="E320" s="1"/>
      <c r="F320" s="5"/>
      <c r="G320" s="5"/>
      <c r="H320" s="5"/>
      <c r="I320" s="5"/>
      <c r="J320" s="5"/>
      <c r="K320" s="5"/>
      <c r="L320" s="1"/>
      <c r="M320" s="5"/>
      <c r="N320" s="5"/>
      <c r="O320" s="5"/>
      <c r="P320" s="5"/>
      <c r="Q320" s="5"/>
      <c r="R320" s="5"/>
      <c r="S320" s="5"/>
      <c r="T320" s="1"/>
      <c r="U320" s="1"/>
      <c r="V320" s="1"/>
      <c r="W320" s="3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A321" s="7"/>
      <c r="B321" s="5"/>
      <c r="C321" s="4"/>
      <c r="D321" s="1"/>
      <c r="E321" s="1"/>
      <c r="F321" s="5"/>
      <c r="G321" s="5"/>
      <c r="H321" s="5"/>
      <c r="I321" s="5"/>
      <c r="J321" s="5"/>
      <c r="K321" s="5"/>
      <c r="L321" s="1"/>
      <c r="M321" s="5"/>
      <c r="N321" s="5"/>
      <c r="O321" s="5"/>
      <c r="P321" s="5"/>
      <c r="Q321" s="5"/>
      <c r="R321" s="5"/>
      <c r="S321" s="5"/>
      <c r="T321" s="1"/>
      <c r="U321" s="1"/>
      <c r="V321" s="1"/>
      <c r="W321" s="3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A322" s="7"/>
      <c r="B322" s="5"/>
      <c r="C322" s="4"/>
      <c r="D322" s="1"/>
      <c r="E322" s="1"/>
      <c r="F322" s="5"/>
      <c r="G322" s="5"/>
      <c r="H322" s="5"/>
      <c r="I322" s="5"/>
      <c r="J322" s="5"/>
      <c r="K322" s="5"/>
      <c r="L322" s="1"/>
      <c r="M322" s="5"/>
      <c r="N322" s="5"/>
      <c r="O322" s="5"/>
      <c r="P322" s="5"/>
      <c r="Q322" s="5"/>
      <c r="R322" s="5"/>
      <c r="S322" s="5"/>
      <c r="T322" s="1"/>
      <c r="U322" s="1"/>
      <c r="V322" s="1"/>
      <c r="W322" s="3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A323" s="7"/>
      <c r="B323" s="5"/>
      <c r="C323" s="4"/>
      <c r="D323" s="1"/>
      <c r="E323" s="1"/>
      <c r="F323" s="5"/>
      <c r="G323" s="5"/>
      <c r="H323" s="5"/>
      <c r="I323" s="5"/>
      <c r="J323" s="5"/>
      <c r="K323" s="5"/>
      <c r="L323" s="1"/>
      <c r="M323" s="5"/>
      <c r="N323" s="5"/>
      <c r="O323" s="5"/>
      <c r="P323" s="5"/>
      <c r="Q323" s="5"/>
      <c r="R323" s="5"/>
      <c r="S323" s="5"/>
      <c r="T323" s="1"/>
      <c r="U323" s="1"/>
      <c r="V323" s="1"/>
      <c r="W323" s="3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A324" s="7"/>
      <c r="B324" s="5"/>
      <c r="C324" s="4"/>
      <c r="D324" s="1"/>
      <c r="E324" s="1"/>
      <c r="F324" s="5"/>
      <c r="G324" s="5"/>
      <c r="H324" s="5"/>
      <c r="I324" s="5"/>
      <c r="J324" s="5"/>
      <c r="K324" s="5"/>
      <c r="L324" s="1"/>
      <c r="M324" s="5"/>
      <c r="N324" s="5"/>
      <c r="O324" s="5"/>
      <c r="P324" s="5"/>
      <c r="Q324" s="5"/>
      <c r="R324" s="5"/>
      <c r="S324" s="5"/>
      <c r="T324" s="1"/>
      <c r="U324" s="1"/>
      <c r="V324" s="1"/>
      <c r="W324" s="3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A325" s="7"/>
      <c r="B325" s="5"/>
      <c r="C325" s="4"/>
      <c r="D325" s="1"/>
      <c r="E325" s="1"/>
      <c r="F325" s="5"/>
      <c r="G325" s="5"/>
      <c r="H325" s="5"/>
      <c r="I325" s="5"/>
      <c r="J325" s="5"/>
      <c r="K325" s="5"/>
      <c r="L325" s="1"/>
      <c r="M325" s="5"/>
      <c r="N325" s="5"/>
      <c r="O325" s="5"/>
      <c r="P325" s="5"/>
      <c r="Q325" s="5"/>
      <c r="R325" s="5"/>
      <c r="S325" s="5"/>
      <c r="T325" s="1"/>
      <c r="U325" s="1"/>
      <c r="V325" s="1"/>
      <c r="W325" s="3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A326" s="7"/>
      <c r="B326" s="5"/>
      <c r="C326" s="4"/>
      <c r="D326" s="1"/>
      <c r="E326" s="1"/>
      <c r="F326" s="5"/>
      <c r="G326" s="5"/>
      <c r="H326" s="5"/>
      <c r="I326" s="5"/>
      <c r="J326" s="5"/>
      <c r="K326" s="5"/>
      <c r="L326" s="1"/>
      <c r="M326" s="5"/>
      <c r="N326" s="5"/>
      <c r="O326" s="5"/>
      <c r="P326" s="5"/>
      <c r="Q326" s="5"/>
      <c r="R326" s="5"/>
      <c r="S326" s="5"/>
      <c r="T326" s="1"/>
      <c r="U326" s="1"/>
      <c r="V326" s="1"/>
      <c r="W326" s="3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A327" s="7"/>
      <c r="B327" s="5"/>
      <c r="C327" s="4"/>
      <c r="D327" s="1"/>
      <c r="E327" s="1"/>
      <c r="F327" s="5"/>
      <c r="G327" s="5"/>
      <c r="H327" s="5"/>
      <c r="I327" s="5"/>
      <c r="J327" s="5"/>
      <c r="K327" s="5"/>
      <c r="L327" s="1"/>
      <c r="M327" s="5"/>
      <c r="N327" s="5"/>
      <c r="O327" s="5"/>
      <c r="P327" s="5"/>
      <c r="Q327" s="5"/>
      <c r="R327" s="5"/>
      <c r="S327" s="5"/>
      <c r="T327" s="1"/>
      <c r="U327" s="1"/>
      <c r="V327" s="1"/>
      <c r="W327" s="3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7"/>
      <c r="B328" s="5"/>
      <c r="C328" s="4"/>
      <c r="D328" s="1"/>
      <c r="E328" s="1"/>
      <c r="F328" s="5"/>
      <c r="G328" s="5"/>
      <c r="H328" s="5"/>
      <c r="I328" s="5"/>
      <c r="J328" s="5"/>
      <c r="K328" s="5"/>
      <c r="L328" s="1"/>
      <c r="M328" s="5"/>
      <c r="N328" s="5"/>
      <c r="O328" s="5"/>
      <c r="P328" s="5"/>
      <c r="Q328" s="5"/>
      <c r="R328" s="5"/>
      <c r="S328" s="5"/>
      <c r="T328" s="1"/>
      <c r="U328" s="1"/>
      <c r="V328" s="1"/>
      <c r="W328" s="3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>
      <c r="A329" s="7"/>
      <c r="B329" s="5"/>
      <c r="C329" s="4"/>
      <c r="D329" s="1"/>
      <c r="E329" s="1"/>
      <c r="F329" s="5"/>
      <c r="G329" s="5"/>
      <c r="H329" s="5"/>
      <c r="I329" s="5"/>
      <c r="J329" s="5"/>
      <c r="K329" s="5"/>
      <c r="L329" s="1"/>
      <c r="M329" s="5"/>
      <c r="N329" s="5"/>
      <c r="O329" s="5"/>
      <c r="P329" s="5"/>
      <c r="Q329" s="5"/>
      <c r="R329" s="5"/>
      <c r="S329" s="5"/>
      <c r="T329" s="1"/>
      <c r="U329" s="1"/>
      <c r="V329" s="1"/>
      <c r="W329" s="3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A330" s="7"/>
      <c r="B330" s="5"/>
      <c r="C330" s="4"/>
      <c r="D330" s="1"/>
      <c r="E330" s="1"/>
      <c r="F330" s="5"/>
      <c r="G330" s="5"/>
      <c r="H330" s="5"/>
      <c r="I330" s="5"/>
      <c r="J330" s="5"/>
      <c r="K330" s="5"/>
      <c r="L330" s="1"/>
      <c r="M330" s="5"/>
      <c r="N330" s="5"/>
      <c r="O330" s="5"/>
      <c r="P330" s="5"/>
      <c r="Q330" s="5"/>
      <c r="R330" s="5"/>
      <c r="S330" s="5"/>
      <c r="T330" s="1"/>
      <c r="U330" s="1"/>
      <c r="V330" s="1"/>
      <c r="W330" s="3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A331" s="7"/>
      <c r="B331" s="5"/>
      <c r="C331" s="4"/>
      <c r="D331" s="1"/>
      <c r="E331" s="1"/>
      <c r="F331" s="5"/>
      <c r="G331" s="5"/>
      <c r="H331" s="5"/>
      <c r="I331" s="5"/>
      <c r="J331" s="5"/>
      <c r="K331" s="5"/>
      <c r="L331" s="1"/>
      <c r="M331" s="5"/>
      <c r="N331" s="5"/>
      <c r="O331" s="5"/>
      <c r="P331" s="5"/>
      <c r="Q331" s="5"/>
      <c r="R331" s="5"/>
      <c r="S331" s="5"/>
      <c r="T331" s="1"/>
      <c r="U331" s="1"/>
      <c r="V331" s="1"/>
      <c r="W331" s="3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A332" s="7"/>
      <c r="B332" s="5"/>
      <c r="C332" s="4"/>
      <c r="D332" s="1"/>
      <c r="E332" s="1"/>
      <c r="F332" s="5"/>
      <c r="G332" s="5"/>
      <c r="H332" s="5"/>
      <c r="I332" s="5"/>
      <c r="J332" s="5"/>
      <c r="K332" s="5"/>
      <c r="L332" s="1"/>
      <c r="M332" s="5"/>
      <c r="N332" s="5"/>
      <c r="O332" s="5"/>
      <c r="P332" s="5"/>
      <c r="Q332" s="5"/>
      <c r="R332" s="5"/>
      <c r="S332" s="5"/>
      <c r="T332" s="1"/>
      <c r="U332" s="1"/>
      <c r="V332" s="1"/>
      <c r="W332" s="3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A333" s="7"/>
      <c r="B333" s="5"/>
      <c r="C333" s="4"/>
      <c r="D333" s="1"/>
      <c r="E333" s="1"/>
      <c r="F333" s="5"/>
      <c r="G333" s="5"/>
      <c r="H333" s="5"/>
      <c r="I333" s="5"/>
      <c r="J333" s="5"/>
      <c r="K333" s="5"/>
      <c r="L333" s="1"/>
      <c r="M333" s="5"/>
      <c r="N333" s="5"/>
      <c r="O333" s="5"/>
      <c r="P333" s="5"/>
      <c r="Q333" s="5"/>
      <c r="R333" s="5"/>
      <c r="S333" s="5"/>
      <c r="T333" s="1"/>
      <c r="U333" s="1"/>
      <c r="V333" s="1"/>
      <c r="W333" s="3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A334" s="7"/>
      <c r="B334" s="5"/>
      <c r="C334" s="4"/>
      <c r="D334" s="1"/>
      <c r="E334" s="1"/>
      <c r="F334" s="5"/>
      <c r="G334" s="5"/>
      <c r="H334" s="5"/>
      <c r="I334" s="5"/>
      <c r="J334" s="5"/>
      <c r="K334" s="5"/>
      <c r="L334" s="1"/>
      <c r="M334" s="5"/>
      <c r="N334" s="5"/>
      <c r="O334" s="5"/>
      <c r="P334" s="5"/>
      <c r="Q334" s="5"/>
      <c r="R334" s="5"/>
      <c r="S334" s="5"/>
      <c r="T334" s="1"/>
      <c r="U334" s="1"/>
      <c r="V334" s="1"/>
      <c r="W334" s="3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A335" s="7"/>
      <c r="B335" s="5"/>
      <c r="C335" s="4"/>
      <c r="D335" s="1"/>
      <c r="E335" s="1"/>
      <c r="F335" s="5"/>
      <c r="G335" s="5"/>
      <c r="H335" s="5"/>
      <c r="I335" s="5"/>
      <c r="J335" s="5"/>
      <c r="K335" s="5"/>
      <c r="L335" s="1"/>
      <c r="M335" s="5"/>
      <c r="N335" s="5"/>
      <c r="O335" s="5"/>
      <c r="P335" s="5"/>
      <c r="Q335" s="5"/>
      <c r="R335" s="5"/>
      <c r="S335" s="5"/>
      <c r="T335" s="1"/>
      <c r="U335" s="1"/>
      <c r="V335" s="1"/>
      <c r="W335" s="3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A336" s="7"/>
      <c r="B336" s="5"/>
      <c r="C336" s="4"/>
      <c r="D336" s="1"/>
      <c r="E336" s="1"/>
      <c r="F336" s="5"/>
      <c r="G336" s="5"/>
      <c r="H336" s="5"/>
      <c r="I336" s="5"/>
      <c r="J336" s="5"/>
      <c r="K336" s="5"/>
      <c r="L336" s="1"/>
      <c r="M336" s="5"/>
      <c r="N336" s="5"/>
      <c r="O336" s="5"/>
      <c r="P336" s="5"/>
      <c r="Q336" s="5"/>
      <c r="R336" s="5"/>
      <c r="S336" s="5"/>
      <c r="T336" s="1"/>
      <c r="U336" s="1"/>
      <c r="V336" s="1"/>
      <c r="W336" s="3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A337" s="7"/>
      <c r="B337" s="5"/>
      <c r="C337" s="4"/>
      <c r="D337" s="1"/>
      <c r="E337" s="1"/>
      <c r="F337" s="5"/>
      <c r="G337" s="5"/>
      <c r="H337" s="5"/>
      <c r="I337" s="5"/>
      <c r="J337" s="5"/>
      <c r="K337" s="5"/>
      <c r="L337" s="1"/>
      <c r="M337" s="5"/>
      <c r="N337" s="5"/>
      <c r="O337" s="5"/>
      <c r="P337" s="5"/>
      <c r="Q337" s="5"/>
      <c r="R337" s="5"/>
      <c r="S337" s="5"/>
      <c r="T337" s="1"/>
      <c r="U337" s="1"/>
      <c r="V337" s="1"/>
      <c r="W337" s="3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A338" s="7"/>
      <c r="B338" s="5"/>
      <c r="C338" s="4"/>
      <c r="D338" s="1"/>
      <c r="E338" s="1"/>
      <c r="F338" s="5"/>
      <c r="G338" s="5"/>
      <c r="H338" s="5"/>
      <c r="I338" s="5"/>
      <c r="J338" s="5"/>
      <c r="K338" s="5"/>
      <c r="L338" s="1"/>
      <c r="M338" s="5"/>
      <c r="N338" s="5"/>
      <c r="O338" s="5"/>
      <c r="P338" s="5"/>
      <c r="Q338" s="5"/>
      <c r="R338" s="5"/>
      <c r="S338" s="5"/>
      <c r="T338" s="1"/>
      <c r="U338" s="1"/>
      <c r="V338" s="1"/>
      <c r="W338" s="3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A339" s="7"/>
      <c r="B339" s="5"/>
      <c r="C339" s="4"/>
      <c r="D339" s="1"/>
      <c r="E339" s="1"/>
      <c r="F339" s="5"/>
      <c r="G339" s="5"/>
      <c r="H339" s="5"/>
      <c r="I339" s="5"/>
      <c r="J339" s="5"/>
      <c r="K339" s="5"/>
      <c r="L339" s="1"/>
      <c r="M339" s="5"/>
      <c r="N339" s="5"/>
      <c r="O339" s="5"/>
      <c r="P339" s="5"/>
      <c r="Q339" s="5"/>
      <c r="R339" s="5"/>
      <c r="S339" s="5"/>
      <c r="T339" s="1"/>
      <c r="U339" s="1"/>
      <c r="V339" s="1"/>
      <c r="W339" s="3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A340" s="7"/>
      <c r="B340" s="5"/>
      <c r="C340" s="4"/>
      <c r="D340" s="1"/>
      <c r="E340" s="1"/>
      <c r="F340" s="5"/>
      <c r="G340" s="5"/>
      <c r="H340" s="5"/>
      <c r="I340" s="5"/>
      <c r="J340" s="5"/>
      <c r="K340" s="5"/>
      <c r="L340" s="1"/>
      <c r="M340" s="5"/>
      <c r="N340" s="5"/>
      <c r="O340" s="5"/>
      <c r="P340" s="5"/>
      <c r="Q340" s="5"/>
      <c r="R340" s="5"/>
      <c r="S340" s="5"/>
      <c r="T340" s="1"/>
      <c r="U340" s="1"/>
      <c r="V340" s="1"/>
      <c r="W340" s="3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A341" s="7"/>
      <c r="B341" s="5"/>
      <c r="C341" s="4"/>
      <c r="D341" s="1"/>
      <c r="E341" s="1"/>
      <c r="F341" s="5"/>
      <c r="G341" s="5"/>
      <c r="H341" s="5"/>
      <c r="I341" s="5"/>
      <c r="J341" s="5"/>
      <c r="K341" s="5"/>
      <c r="L341" s="1"/>
      <c r="M341" s="5"/>
      <c r="N341" s="5"/>
      <c r="O341" s="5"/>
      <c r="P341" s="5"/>
      <c r="Q341" s="5"/>
      <c r="R341" s="5"/>
      <c r="S341" s="5"/>
      <c r="T341" s="1"/>
      <c r="U341" s="1"/>
      <c r="V341" s="1"/>
      <c r="W341" s="3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A342" s="7"/>
      <c r="B342" s="5"/>
      <c r="C342" s="4"/>
      <c r="D342" s="1"/>
      <c r="E342" s="1"/>
      <c r="F342" s="5"/>
      <c r="G342" s="5"/>
      <c r="H342" s="5"/>
      <c r="I342" s="5"/>
      <c r="J342" s="5"/>
      <c r="K342" s="5"/>
      <c r="L342" s="1"/>
      <c r="M342" s="5"/>
      <c r="N342" s="5"/>
      <c r="O342" s="5"/>
      <c r="P342" s="5"/>
      <c r="Q342" s="5"/>
      <c r="R342" s="5"/>
      <c r="S342" s="5"/>
      <c r="T342" s="1"/>
      <c r="U342" s="1"/>
      <c r="V342" s="1"/>
      <c r="W342" s="3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7"/>
      <c r="B343" s="5"/>
      <c r="C343" s="4"/>
      <c r="D343" s="1"/>
      <c r="E343" s="1"/>
      <c r="F343" s="5"/>
      <c r="G343" s="5"/>
      <c r="H343" s="5"/>
      <c r="I343" s="5"/>
      <c r="J343" s="5"/>
      <c r="K343" s="5"/>
      <c r="L343" s="1"/>
      <c r="M343" s="5"/>
      <c r="N343" s="5"/>
      <c r="O343" s="5"/>
      <c r="P343" s="5"/>
      <c r="Q343" s="5"/>
      <c r="R343" s="5"/>
      <c r="S343" s="5"/>
      <c r="T343" s="1"/>
      <c r="U343" s="1"/>
      <c r="V343" s="1"/>
      <c r="W343" s="3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>
      <c r="A344" s="7"/>
      <c r="B344" s="5"/>
      <c r="C344" s="4"/>
      <c r="D344" s="1"/>
      <c r="E344" s="1"/>
      <c r="F344" s="5"/>
      <c r="G344" s="5"/>
      <c r="H344" s="5"/>
      <c r="I344" s="5"/>
      <c r="J344" s="5"/>
      <c r="K344" s="5"/>
      <c r="L344" s="1"/>
      <c r="M344" s="5"/>
      <c r="N344" s="5"/>
      <c r="O344" s="5"/>
      <c r="P344" s="5"/>
      <c r="Q344" s="5"/>
      <c r="R344" s="5"/>
      <c r="S344" s="5"/>
      <c r="T344" s="1"/>
      <c r="U344" s="1"/>
      <c r="V344" s="1"/>
      <c r="W344" s="3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>
      <c r="A345" s="7"/>
      <c r="B345" s="5"/>
      <c r="C345" s="4"/>
      <c r="D345" s="1"/>
      <c r="E345" s="1"/>
      <c r="F345" s="5"/>
      <c r="G345" s="5"/>
      <c r="H345" s="5"/>
      <c r="I345" s="5"/>
      <c r="J345" s="5"/>
      <c r="K345" s="5"/>
      <c r="L345" s="1"/>
      <c r="M345" s="5"/>
      <c r="N345" s="5"/>
      <c r="O345" s="5"/>
      <c r="P345" s="5"/>
      <c r="Q345" s="5"/>
      <c r="R345" s="5"/>
      <c r="S345" s="5"/>
      <c r="T345" s="1"/>
      <c r="U345" s="1"/>
      <c r="V345" s="1"/>
      <c r="W345" s="3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A346" s="7"/>
      <c r="B346" s="5"/>
      <c r="C346" s="4"/>
      <c r="D346" s="1"/>
      <c r="E346" s="1"/>
      <c r="F346" s="5"/>
      <c r="G346" s="5"/>
      <c r="H346" s="5"/>
      <c r="I346" s="5"/>
      <c r="J346" s="5"/>
      <c r="K346" s="5"/>
      <c r="L346" s="1"/>
      <c r="M346" s="5"/>
      <c r="N346" s="5"/>
      <c r="O346" s="5"/>
      <c r="P346" s="5"/>
      <c r="Q346" s="5"/>
      <c r="R346" s="5"/>
      <c r="S346" s="5"/>
      <c r="T346" s="1"/>
      <c r="U346" s="1"/>
      <c r="V346" s="1"/>
      <c r="W346" s="3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A347" s="7"/>
      <c r="B347" s="5"/>
      <c r="C347" s="4"/>
      <c r="D347" s="1"/>
      <c r="E347" s="1"/>
      <c r="F347" s="5"/>
      <c r="G347" s="5"/>
      <c r="H347" s="5"/>
      <c r="I347" s="5"/>
      <c r="J347" s="5"/>
      <c r="K347" s="5"/>
      <c r="L347" s="1"/>
      <c r="M347" s="5"/>
      <c r="N347" s="5"/>
      <c r="O347" s="5"/>
      <c r="P347" s="5"/>
      <c r="Q347" s="5"/>
      <c r="R347" s="5"/>
      <c r="S347" s="5"/>
      <c r="T347" s="1"/>
      <c r="U347" s="1"/>
      <c r="V347" s="1"/>
      <c r="W347" s="3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A348" s="7"/>
      <c r="B348" s="5"/>
      <c r="C348" s="4"/>
      <c r="D348" s="1"/>
      <c r="E348" s="1"/>
      <c r="F348" s="5"/>
      <c r="G348" s="5"/>
      <c r="H348" s="5"/>
      <c r="I348" s="5"/>
      <c r="J348" s="5"/>
      <c r="K348" s="5"/>
      <c r="L348" s="1"/>
      <c r="M348" s="5"/>
      <c r="N348" s="5"/>
      <c r="O348" s="5"/>
      <c r="P348" s="5"/>
      <c r="Q348" s="5"/>
      <c r="R348" s="5"/>
      <c r="S348" s="5"/>
      <c r="T348" s="1"/>
      <c r="U348" s="1"/>
      <c r="V348" s="1"/>
      <c r="W348" s="3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A349" s="7"/>
      <c r="B349" s="5"/>
      <c r="C349" s="4"/>
      <c r="D349" s="1"/>
      <c r="E349" s="1"/>
      <c r="F349" s="5"/>
      <c r="G349" s="5"/>
      <c r="H349" s="5"/>
      <c r="I349" s="5"/>
      <c r="J349" s="5"/>
      <c r="K349" s="5"/>
      <c r="L349" s="1"/>
      <c r="M349" s="5"/>
      <c r="N349" s="5"/>
      <c r="O349" s="5"/>
      <c r="P349" s="5"/>
      <c r="Q349" s="5"/>
      <c r="R349" s="5"/>
      <c r="S349" s="5"/>
      <c r="T349" s="1"/>
      <c r="U349" s="1"/>
      <c r="V349" s="1"/>
      <c r="W349" s="3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A350" s="7"/>
      <c r="B350" s="5"/>
      <c r="C350" s="4"/>
      <c r="D350" s="1"/>
      <c r="E350" s="1"/>
      <c r="F350" s="5"/>
      <c r="G350" s="5"/>
      <c r="H350" s="5"/>
      <c r="I350" s="5"/>
      <c r="J350" s="5"/>
      <c r="K350" s="5"/>
      <c r="L350" s="1"/>
      <c r="M350" s="5"/>
      <c r="N350" s="5"/>
      <c r="O350" s="5"/>
      <c r="P350" s="5"/>
      <c r="Q350" s="5"/>
      <c r="R350" s="5"/>
      <c r="S350" s="5"/>
      <c r="T350" s="1"/>
      <c r="U350" s="1"/>
      <c r="V350" s="1"/>
      <c r="W350" s="3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A351" s="7"/>
      <c r="B351" s="5"/>
      <c r="C351" s="4"/>
      <c r="D351" s="1"/>
      <c r="E351" s="1"/>
      <c r="F351" s="5"/>
      <c r="G351" s="5"/>
      <c r="H351" s="5"/>
      <c r="I351" s="5"/>
      <c r="J351" s="5"/>
      <c r="K351" s="5"/>
      <c r="L351" s="1"/>
      <c r="M351" s="5"/>
      <c r="N351" s="5"/>
      <c r="O351" s="5"/>
      <c r="P351" s="5"/>
      <c r="Q351" s="5"/>
      <c r="R351" s="5"/>
      <c r="S351" s="5"/>
      <c r="T351" s="1"/>
      <c r="U351" s="1"/>
      <c r="V351" s="1"/>
      <c r="W351" s="3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A352" s="7"/>
      <c r="B352" s="5"/>
      <c r="C352" s="4"/>
      <c r="D352" s="1"/>
      <c r="E352" s="1"/>
      <c r="F352" s="5"/>
      <c r="G352" s="5"/>
      <c r="H352" s="5"/>
      <c r="I352" s="5"/>
      <c r="J352" s="5"/>
      <c r="K352" s="5"/>
      <c r="L352" s="1"/>
      <c r="M352" s="5"/>
      <c r="N352" s="5"/>
      <c r="O352" s="5"/>
      <c r="P352" s="5"/>
      <c r="Q352" s="5"/>
      <c r="R352" s="5"/>
      <c r="S352" s="5"/>
      <c r="T352" s="1"/>
      <c r="U352" s="1"/>
      <c r="V352" s="1"/>
      <c r="W352" s="3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A353" s="7"/>
      <c r="B353" s="5"/>
      <c r="C353" s="4"/>
      <c r="D353" s="1"/>
      <c r="E353" s="1"/>
      <c r="F353" s="5"/>
      <c r="G353" s="5"/>
      <c r="H353" s="5"/>
      <c r="I353" s="5"/>
      <c r="J353" s="5"/>
      <c r="K353" s="5"/>
      <c r="L353" s="1"/>
      <c r="M353" s="5"/>
      <c r="N353" s="5"/>
      <c r="O353" s="5"/>
      <c r="P353" s="5"/>
      <c r="Q353" s="5"/>
      <c r="R353" s="5"/>
      <c r="S353" s="5"/>
      <c r="T353" s="1"/>
      <c r="U353" s="1"/>
      <c r="V353" s="1"/>
      <c r="W353" s="3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A354" s="7"/>
      <c r="B354" s="5"/>
      <c r="C354" s="4"/>
      <c r="D354" s="1"/>
      <c r="E354" s="1"/>
      <c r="F354" s="5"/>
      <c r="G354" s="5"/>
      <c r="H354" s="5"/>
      <c r="I354" s="5"/>
      <c r="J354" s="5"/>
      <c r="K354" s="5"/>
      <c r="L354" s="1"/>
      <c r="M354" s="5"/>
      <c r="N354" s="5"/>
      <c r="O354" s="5"/>
      <c r="P354" s="5"/>
      <c r="Q354" s="5"/>
      <c r="R354" s="5"/>
      <c r="S354" s="5"/>
      <c r="T354" s="1"/>
      <c r="U354" s="1"/>
      <c r="V354" s="1"/>
      <c r="W354" s="3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A355" s="7"/>
      <c r="B355" s="5"/>
      <c r="C355" s="4"/>
      <c r="D355" s="1"/>
      <c r="E355" s="1"/>
      <c r="F355" s="5"/>
      <c r="G355" s="5"/>
      <c r="H355" s="5"/>
      <c r="I355" s="5"/>
      <c r="J355" s="5"/>
      <c r="K355" s="5"/>
      <c r="L355" s="1"/>
      <c r="M355" s="5"/>
      <c r="N355" s="5"/>
      <c r="O355" s="5"/>
      <c r="P355" s="5"/>
      <c r="Q355" s="5"/>
      <c r="R355" s="5"/>
      <c r="S355" s="5"/>
      <c r="T355" s="1"/>
      <c r="U355" s="1"/>
      <c r="V355" s="1"/>
      <c r="W355" s="3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A356" s="7"/>
      <c r="B356" s="5"/>
      <c r="C356" s="4"/>
      <c r="D356" s="1"/>
      <c r="E356" s="1"/>
      <c r="F356" s="5"/>
      <c r="G356" s="5"/>
      <c r="H356" s="5"/>
      <c r="I356" s="5"/>
      <c r="J356" s="5"/>
      <c r="K356" s="5"/>
      <c r="L356" s="1"/>
      <c r="M356" s="5"/>
      <c r="N356" s="5"/>
      <c r="O356" s="5"/>
      <c r="P356" s="5"/>
      <c r="Q356" s="5"/>
      <c r="R356" s="5"/>
      <c r="S356" s="5"/>
      <c r="T356" s="1"/>
      <c r="U356" s="1"/>
      <c r="V356" s="1"/>
      <c r="W356" s="3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A357" s="7"/>
      <c r="B357" s="5"/>
      <c r="C357" s="4"/>
      <c r="D357" s="1"/>
      <c r="E357" s="1"/>
      <c r="F357" s="5"/>
      <c r="G357" s="5"/>
      <c r="H357" s="5"/>
      <c r="I357" s="5"/>
      <c r="J357" s="5"/>
      <c r="K357" s="5"/>
      <c r="L357" s="1"/>
      <c r="M357" s="5"/>
      <c r="N357" s="5"/>
      <c r="O357" s="5"/>
      <c r="P357" s="5"/>
      <c r="Q357" s="5"/>
      <c r="R357" s="5"/>
      <c r="S357" s="5"/>
      <c r="T357" s="1"/>
      <c r="U357" s="1"/>
      <c r="V357" s="1"/>
      <c r="W357" s="3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A358" s="7"/>
      <c r="B358" s="5"/>
      <c r="C358" s="4"/>
      <c r="D358" s="1"/>
      <c r="E358" s="1"/>
      <c r="F358" s="5"/>
      <c r="G358" s="5"/>
      <c r="H358" s="5"/>
      <c r="I358" s="5"/>
      <c r="J358" s="5"/>
      <c r="K358" s="5"/>
      <c r="L358" s="1"/>
      <c r="M358" s="5"/>
      <c r="N358" s="5"/>
      <c r="O358" s="5"/>
      <c r="P358" s="5"/>
      <c r="Q358" s="5"/>
      <c r="R358" s="5"/>
      <c r="S358" s="5"/>
      <c r="T358" s="1"/>
      <c r="U358" s="1"/>
      <c r="V358" s="1"/>
      <c r="W358" s="3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A359" s="7"/>
      <c r="B359" s="5"/>
      <c r="C359" s="4"/>
      <c r="D359" s="1"/>
      <c r="E359" s="1"/>
      <c r="F359" s="5"/>
      <c r="G359" s="5"/>
      <c r="H359" s="5"/>
      <c r="I359" s="5"/>
      <c r="J359" s="5"/>
      <c r="K359" s="5"/>
      <c r="L359" s="1"/>
      <c r="M359" s="5"/>
      <c r="N359" s="5"/>
      <c r="O359" s="5"/>
      <c r="P359" s="5"/>
      <c r="Q359" s="5"/>
      <c r="R359" s="5"/>
      <c r="S359" s="5"/>
      <c r="T359" s="1"/>
      <c r="U359" s="1"/>
      <c r="V359" s="1"/>
      <c r="W359" s="3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A360" s="7"/>
      <c r="B360" s="5"/>
      <c r="C360" s="4"/>
      <c r="D360" s="1"/>
      <c r="E360" s="1"/>
      <c r="F360" s="5"/>
      <c r="G360" s="5"/>
      <c r="H360" s="5"/>
      <c r="I360" s="5"/>
      <c r="J360" s="5"/>
      <c r="K360" s="5"/>
      <c r="L360" s="1"/>
      <c r="M360" s="5"/>
      <c r="N360" s="5"/>
      <c r="O360" s="5"/>
      <c r="P360" s="5"/>
      <c r="Q360" s="5"/>
      <c r="R360" s="5"/>
      <c r="S360" s="5"/>
      <c r="T360" s="1"/>
      <c r="U360" s="1"/>
      <c r="V360" s="1"/>
      <c r="W360" s="3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A361" s="7"/>
      <c r="B361" s="5"/>
      <c r="C361" s="4"/>
      <c r="D361" s="1"/>
      <c r="E361" s="1"/>
      <c r="F361" s="5"/>
      <c r="G361" s="5"/>
      <c r="H361" s="5"/>
      <c r="I361" s="5"/>
      <c r="J361" s="5"/>
      <c r="K361" s="5"/>
      <c r="L361" s="1"/>
      <c r="M361" s="5"/>
      <c r="N361" s="5"/>
      <c r="O361" s="5"/>
      <c r="P361" s="5"/>
      <c r="Q361" s="5"/>
      <c r="R361" s="5"/>
      <c r="S361" s="5"/>
      <c r="T361" s="1"/>
      <c r="U361" s="1"/>
      <c r="V361" s="1"/>
      <c r="W361" s="3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A362" s="7"/>
      <c r="B362" s="5"/>
      <c r="C362" s="4"/>
      <c r="D362" s="1"/>
      <c r="E362" s="1"/>
      <c r="F362" s="5"/>
      <c r="G362" s="5"/>
      <c r="H362" s="5"/>
      <c r="I362" s="5"/>
      <c r="J362" s="5"/>
      <c r="K362" s="5"/>
      <c r="L362" s="1"/>
      <c r="M362" s="5"/>
      <c r="N362" s="5"/>
      <c r="O362" s="5"/>
      <c r="P362" s="5"/>
      <c r="Q362" s="5"/>
      <c r="R362" s="5"/>
      <c r="S362" s="5"/>
      <c r="T362" s="1"/>
      <c r="U362" s="1"/>
      <c r="V362" s="1"/>
      <c r="W362" s="3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A363" s="7"/>
      <c r="B363" s="5"/>
      <c r="C363" s="4"/>
      <c r="D363" s="1"/>
      <c r="E363" s="1"/>
      <c r="F363" s="5"/>
      <c r="G363" s="5"/>
      <c r="H363" s="5"/>
      <c r="I363" s="5"/>
      <c r="J363" s="5"/>
      <c r="K363" s="5"/>
      <c r="L363" s="1"/>
      <c r="M363" s="5"/>
      <c r="N363" s="5"/>
      <c r="O363" s="5"/>
      <c r="P363" s="5"/>
      <c r="Q363" s="5"/>
      <c r="R363" s="5"/>
      <c r="S363" s="5"/>
      <c r="T363" s="1"/>
      <c r="U363" s="1"/>
      <c r="V363" s="1"/>
      <c r="W363" s="3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A364" s="7"/>
      <c r="B364" s="5"/>
      <c r="C364" s="4"/>
      <c r="D364" s="1"/>
      <c r="E364" s="1"/>
      <c r="F364" s="5"/>
      <c r="G364" s="5"/>
      <c r="H364" s="5"/>
      <c r="I364" s="5"/>
      <c r="J364" s="5"/>
      <c r="K364" s="5"/>
      <c r="L364" s="1"/>
      <c r="M364" s="5"/>
      <c r="N364" s="5"/>
      <c r="O364" s="5"/>
      <c r="P364" s="5"/>
      <c r="Q364" s="5"/>
      <c r="R364" s="5"/>
      <c r="S364" s="5"/>
      <c r="T364" s="1"/>
      <c r="U364" s="1"/>
      <c r="V364" s="1"/>
      <c r="W364" s="3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A365" s="7"/>
      <c r="B365" s="5"/>
      <c r="C365" s="4"/>
      <c r="D365" s="1"/>
      <c r="E365" s="1"/>
      <c r="F365" s="5"/>
      <c r="G365" s="5"/>
      <c r="H365" s="5"/>
      <c r="I365" s="5"/>
      <c r="J365" s="5"/>
      <c r="K365" s="5"/>
      <c r="L365" s="1"/>
      <c r="M365" s="5"/>
      <c r="N365" s="5"/>
      <c r="O365" s="5"/>
      <c r="P365" s="5"/>
      <c r="Q365" s="5"/>
      <c r="R365" s="5"/>
      <c r="S365" s="5"/>
      <c r="T365" s="1"/>
      <c r="U365" s="1"/>
      <c r="V365" s="1"/>
      <c r="W365" s="3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A366" s="7"/>
      <c r="B366" s="5"/>
      <c r="C366" s="4"/>
      <c r="D366" s="1"/>
      <c r="E366" s="1"/>
      <c r="F366" s="5"/>
      <c r="G366" s="5"/>
      <c r="H366" s="5"/>
      <c r="I366" s="5"/>
      <c r="J366" s="5"/>
      <c r="K366" s="5"/>
      <c r="L366" s="1"/>
      <c r="M366" s="5"/>
      <c r="N366" s="5"/>
      <c r="O366" s="5"/>
      <c r="P366" s="5"/>
      <c r="Q366" s="5"/>
      <c r="R366" s="5"/>
      <c r="S366" s="5"/>
      <c r="T366" s="1"/>
      <c r="U366" s="1"/>
      <c r="V366" s="1"/>
      <c r="W366" s="3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A367" s="7"/>
      <c r="B367" s="5"/>
      <c r="C367" s="4"/>
      <c r="D367" s="1"/>
      <c r="E367" s="1"/>
      <c r="F367" s="5"/>
      <c r="G367" s="5"/>
      <c r="H367" s="5"/>
      <c r="I367" s="5"/>
      <c r="J367" s="5"/>
      <c r="K367" s="5"/>
      <c r="L367" s="1"/>
      <c r="M367" s="5"/>
      <c r="N367" s="5"/>
      <c r="O367" s="5"/>
      <c r="P367" s="5"/>
      <c r="Q367" s="5"/>
      <c r="R367" s="5"/>
      <c r="S367" s="5"/>
      <c r="T367" s="1"/>
      <c r="U367" s="1"/>
      <c r="V367" s="1"/>
      <c r="W367" s="3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A368" s="7"/>
      <c r="B368" s="5"/>
      <c r="C368" s="4"/>
      <c r="D368" s="1"/>
      <c r="E368" s="1"/>
      <c r="F368" s="5"/>
      <c r="G368" s="5"/>
      <c r="H368" s="5"/>
      <c r="I368" s="5"/>
      <c r="J368" s="5"/>
      <c r="K368" s="5"/>
      <c r="L368" s="1"/>
      <c r="M368" s="5"/>
      <c r="N368" s="5"/>
      <c r="O368" s="5"/>
      <c r="P368" s="5"/>
      <c r="Q368" s="5"/>
      <c r="R368" s="5"/>
      <c r="S368" s="5"/>
      <c r="T368" s="1"/>
      <c r="U368" s="1"/>
      <c r="V368" s="1"/>
      <c r="W368" s="3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A369" s="7"/>
      <c r="B369" s="5"/>
      <c r="C369" s="4"/>
      <c r="D369" s="1"/>
      <c r="E369" s="1"/>
      <c r="F369" s="5"/>
      <c r="G369" s="5"/>
      <c r="H369" s="5"/>
      <c r="I369" s="5"/>
      <c r="J369" s="5"/>
      <c r="K369" s="5"/>
      <c r="L369" s="1"/>
      <c r="M369" s="5"/>
      <c r="N369" s="5"/>
      <c r="O369" s="5"/>
      <c r="P369" s="5"/>
      <c r="Q369" s="5"/>
      <c r="R369" s="5"/>
      <c r="S369" s="5"/>
      <c r="T369" s="1"/>
      <c r="U369" s="1"/>
      <c r="V369" s="1"/>
      <c r="W369" s="3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A370" s="7"/>
      <c r="B370" s="5"/>
      <c r="C370" s="4"/>
      <c r="D370" s="1"/>
      <c r="E370" s="1"/>
      <c r="F370" s="5"/>
      <c r="G370" s="5"/>
      <c r="H370" s="5"/>
      <c r="I370" s="5"/>
      <c r="J370" s="5"/>
      <c r="K370" s="5"/>
      <c r="L370" s="1"/>
      <c r="M370" s="5"/>
      <c r="N370" s="5"/>
      <c r="O370" s="5"/>
      <c r="P370" s="5"/>
      <c r="Q370" s="5"/>
      <c r="R370" s="5"/>
      <c r="S370" s="5"/>
      <c r="T370" s="1"/>
      <c r="U370" s="1"/>
      <c r="V370" s="1"/>
      <c r="W370" s="3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A371" s="7"/>
      <c r="B371" s="5"/>
      <c r="C371" s="4"/>
      <c r="D371" s="1"/>
      <c r="E371" s="1"/>
      <c r="F371" s="5"/>
      <c r="G371" s="5"/>
      <c r="H371" s="5"/>
      <c r="I371" s="5"/>
      <c r="J371" s="5"/>
      <c r="K371" s="5"/>
      <c r="L371" s="1"/>
      <c r="M371" s="5"/>
      <c r="N371" s="5"/>
      <c r="O371" s="5"/>
      <c r="P371" s="5"/>
      <c r="Q371" s="5"/>
      <c r="R371" s="5"/>
      <c r="S371" s="5"/>
      <c r="T371" s="1"/>
      <c r="U371" s="1"/>
      <c r="V371" s="1"/>
      <c r="W371" s="3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A372" s="7"/>
      <c r="B372" s="5"/>
      <c r="C372" s="4"/>
      <c r="D372" s="1"/>
      <c r="E372" s="1"/>
      <c r="F372" s="5"/>
      <c r="G372" s="5"/>
      <c r="H372" s="5"/>
      <c r="I372" s="5"/>
      <c r="J372" s="5"/>
      <c r="K372" s="5"/>
      <c r="L372" s="1"/>
      <c r="M372" s="5"/>
      <c r="N372" s="5"/>
      <c r="O372" s="5"/>
      <c r="P372" s="5"/>
      <c r="Q372" s="5"/>
      <c r="R372" s="5"/>
      <c r="S372" s="5"/>
      <c r="T372" s="1"/>
      <c r="U372" s="1"/>
      <c r="V372" s="1"/>
      <c r="W372" s="3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A373" s="7"/>
      <c r="B373" s="5"/>
      <c r="C373" s="4"/>
      <c r="D373" s="1"/>
      <c r="E373" s="1"/>
      <c r="F373" s="5"/>
      <c r="G373" s="5"/>
      <c r="H373" s="5"/>
      <c r="I373" s="5"/>
      <c r="J373" s="5"/>
      <c r="K373" s="5"/>
      <c r="L373" s="1"/>
      <c r="M373" s="5"/>
      <c r="N373" s="5"/>
      <c r="O373" s="5"/>
      <c r="P373" s="5"/>
      <c r="Q373" s="5"/>
      <c r="R373" s="5"/>
      <c r="S373" s="5"/>
      <c r="T373" s="1"/>
      <c r="U373" s="1"/>
      <c r="V373" s="1"/>
      <c r="W373" s="3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A374" s="7"/>
      <c r="B374" s="5"/>
      <c r="C374" s="4"/>
      <c r="D374" s="1"/>
      <c r="E374" s="1"/>
      <c r="F374" s="5"/>
      <c r="G374" s="5"/>
      <c r="H374" s="5"/>
      <c r="I374" s="5"/>
      <c r="J374" s="5"/>
      <c r="K374" s="5"/>
      <c r="L374" s="1"/>
      <c r="M374" s="5"/>
      <c r="N374" s="5"/>
      <c r="O374" s="5"/>
      <c r="P374" s="5"/>
      <c r="Q374" s="5"/>
      <c r="R374" s="5"/>
      <c r="S374" s="5"/>
      <c r="T374" s="1"/>
      <c r="U374" s="1"/>
      <c r="V374" s="1"/>
      <c r="W374" s="3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A375" s="7"/>
      <c r="B375" s="5"/>
      <c r="C375" s="4"/>
      <c r="D375" s="1"/>
      <c r="E375" s="1"/>
      <c r="F375" s="5"/>
      <c r="G375" s="5"/>
      <c r="H375" s="5"/>
      <c r="I375" s="5"/>
      <c r="J375" s="5"/>
      <c r="K375" s="5"/>
      <c r="L375" s="1"/>
      <c r="M375" s="5"/>
      <c r="N375" s="5"/>
      <c r="O375" s="5"/>
      <c r="P375" s="5"/>
      <c r="Q375" s="5"/>
      <c r="R375" s="5"/>
      <c r="S375" s="5"/>
      <c r="T375" s="1"/>
      <c r="U375" s="1"/>
      <c r="V375" s="1"/>
      <c r="W375" s="3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A376" s="7"/>
      <c r="B376" s="5"/>
      <c r="C376" s="4"/>
      <c r="D376" s="1"/>
      <c r="E376" s="1"/>
      <c r="F376" s="5"/>
      <c r="G376" s="5"/>
      <c r="H376" s="5"/>
      <c r="I376" s="5"/>
      <c r="J376" s="5"/>
      <c r="K376" s="5"/>
      <c r="L376" s="1"/>
      <c r="M376" s="5"/>
      <c r="N376" s="5"/>
      <c r="O376" s="5"/>
      <c r="P376" s="5"/>
      <c r="Q376" s="5"/>
      <c r="R376" s="5"/>
      <c r="S376" s="5"/>
      <c r="T376" s="1"/>
      <c r="U376" s="1"/>
      <c r="V376" s="1"/>
      <c r="W376" s="3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A377" s="7"/>
      <c r="B377" s="5"/>
      <c r="C377" s="4"/>
      <c r="D377" s="1"/>
      <c r="E377" s="1"/>
      <c r="F377" s="5"/>
      <c r="G377" s="5"/>
      <c r="H377" s="5"/>
      <c r="I377" s="5"/>
      <c r="J377" s="5"/>
      <c r="K377" s="5"/>
      <c r="L377" s="1"/>
      <c r="M377" s="5"/>
      <c r="N377" s="5"/>
      <c r="O377" s="5"/>
      <c r="P377" s="5"/>
      <c r="Q377" s="5"/>
      <c r="R377" s="5"/>
      <c r="S377" s="5"/>
      <c r="T377" s="1"/>
      <c r="U377" s="1"/>
      <c r="V377" s="1"/>
      <c r="W377" s="3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A378" s="7"/>
      <c r="B378" s="5"/>
      <c r="C378" s="4"/>
      <c r="D378" s="1"/>
      <c r="E378" s="1"/>
      <c r="F378" s="5"/>
      <c r="G378" s="5"/>
      <c r="H378" s="5"/>
      <c r="I378" s="5"/>
      <c r="J378" s="5"/>
      <c r="K378" s="5"/>
      <c r="L378" s="1"/>
      <c r="M378" s="5"/>
      <c r="N378" s="5"/>
      <c r="O378" s="5"/>
      <c r="P378" s="5"/>
      <c r="Q378" s="5"/>
      <c r="R378" s="5"/>
      <c r="S378" s="5"/>
      <c r="T378" s="1"/>
      <c r="U378" s="1"/>
      <c r="V378" s="1"/>
      <c r="W378" s="3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A379" s="7"/>
      <c r="B379" s="5"/>
      <c r="C379" s="4"/>
      <c r="D379" s="1"/>
      <c r="E379" s="1"/>
      <c r="F379" s="5"/>
      <c r="G379" s="5"/>
      <c r="H379" s="5"/>
      <c r="I379" s="5"/>
      <c r="J379" s="5"/>
      <c r="K379" s="5"/>
      <c r="L379" s="1"/>
      <c r="M379" s="5"/>
      <c r="N379" s="5"/>
      <c r="O379" s="5"/>
      <c r="P379" s="5"/>
      <c r="Q379" s="5"/>
      <c r="R379" s="5"/>
      <c r="S379" s="5"/>
      <c r="T379" s="1"/>
      <c r="U379" s="1"/>
      <c r="V379" s="1"/>
      <c r="W379" s="3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A380" s="7"/>
      <c r="B380" s="5"/>
      <c r="C380" s="4"/>
      <c r="D380" s="1"/>
      <c r="E380" s="1"/>
      <c r="F380" s="5"/>
      <c r="G380" s="5"/>
      <c r="H380" s="5"/>
      <c r="I380" s="5"/>
      <c r="J380" s="5"/>
      <c r="K380" s="5"/>
      <c r="L380" s="1"/>
      <c r="M380" s="5"/>
      <c r="N380" s="5"/>
      <c r="O380" s="5"/>
      <c r="P380" s="5"/>
      <c r="Q380" s="5"/>
      <c r="R380" s="5"/>
      <c r="S380" s="5"/>
      <c r="T380" s="1"/>
      <c r="U380" s="1"/>
      <c r="V380" s="1"/>
      <c r="W380" s="3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A381" s="7"/>
      <c r="B381" s="5"/>
      <c r="C381" s="4"/>
      <c r="D381" s="1"/>
      <c r="E381" s="1"/>
      <c r="F381" s="5"/>
      <c r="G381" s="5"/>
      <c r="H381" s="5"/>
      <c r="I381" s="5"/>
      <c r="J381" s="5"/>
      <c r="K381" s="5"/>
      <c r="L381" s="1"/>
      <c r="M381" s="5"/>
      <c r="N381" s="5"/>
      <c r="O381" s="5"/>
      <c r="P381" s="5"/>
      <c r="Q381" s="5"/>
      <c r="R381" s="5"/>
      <c r="S381" s="5"/>
      <c r="T381" s="1"/>
      <c r="U381" s="1"/>
      <c r="V381" s="1"/>
      <c r="W381" s="3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A382" s="7"/>
      <c r="B382" s="5"/>
      <c r="C382" s="4"/>
      <c r="D382" s="1"/>
      <c r="E382" s="1"/>
      <c r="F382" s="5"/>
      <c r="G382" s="5"/>
      <c r="H382" s="5"/>
      <c r="I382" s="5"/>
      <c r="J382" s="5"/>
      <c r="K382" s="5"/>
      <c r="L382" s="1"/>
      <c r="M382" s="5"/>
      <c r="N382" s="5"/>
      <c r="O382" s="5"/>
      <c r="P382" s="5"/>
      <c r="Q382" s="5"/>
      <c r="R382" s="5"/>
      <c r="S382" s="5"/>
      <c r="T382" s="1"/>
      <c r="U382" s="1"/>
      <c r="V382" s="1"/>
      <c r="W382" s="3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A383" s="7"/>
      <c r="B383" s="5"/>
      <c r="C383" s="4"/>
      <c r="D383" s="1"/>
      <c r="E383" s="1"/>
      <c r="F383" s="5"/>
      <c r="G383" s="5"/>
      <c r="H383" s="5"/>
      <c r="I383" s="5"/>
      <c r="J383" s="5"/>
      <c r="K383" s="5"/>
      <c r="L383" s="1"/>
      <c r="M383" s="5"/>
      <c r="N383" s="5"/>
      <c r="O383" s="5"/>
      <c r="P383" s="5"/>
      <c r="Q383" s="5"/>
      <c r="R383" s="5"/>
      <c r="S383" s="5"/>
      <c r="T383" s="1"/>
      <c r="U383" s="1"/>
      <c r="V383" s="1"/>
      <c r="W383" s="3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A384" s="7"/>
      <c r="B384" s="5"/>
      <c r="C384" s="4"/>
      <c r="D384" s="1"/>
      <c r="E384" s="1"/>
      <c r="F384" s="5"/>
      <c r="G384" s="5"/>
      <c r="H384" s="5"/>
      <c r="I384" s="5"/>
      <c r="J384" s="5"/>
      <c r="K384" s="5"/>
      <c r="L384" s="1"/>
      <c r="M384" s="5"/>
      <c r="N384" s="5"/>
      <c r="O384" s="5"/>
      <c r="P384" s="5"/>
      <c r="Q384" s="5"/>
      <c r="R384" s="5"/>
      <c r="S384" s="5"/>
      <c r="T384" s="1"/>
      <c r="U384" s="1"/>
      <c r="V384" s="1"/>
      <c r="W384" s="3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A385" s="7"/>
      <c r="B385" s="5"/>
      <c r="C385" s="4"/>
      <c r="D385" s="1"/>
      <c r="E385" s="1"/>
      <c r="F385" s="5"/>
      <c r="G385" s="5"/>
      <c r="H385" s="5"/>
      <c r="I385" s="5"/>
      <c r="J385" s="5"/>
      <c r="K385" s="5"/>
      <c r="L385" s="1"/>
      <c r="M385" s="5"/>
      <c r="N385" s="5"/>
      <c r="O385" s="5"/>
      <c r="P385" s="5"/>
      <c r="Q385" s="5"/>
      <c r="R385" s="5"/>
      <c r="S385" s="5"/>
      <c r="T385" s="1"/>
      <c r="U385" s="1"/>
      <c r="V385" s="1"/>
      <c r="W385" s="3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A386" s="7"/>
      <c r="B386" s="5"/>
      <c r="C386" s="4"/>
      <c r="D386" s="1"/>
      <c r="E386" s="1"/>
      <c r="F386" s="5"/>
      <c r="G386" s="5"/>
      <c r="H386" s="5"/>
      <c r="I386" s="5"/>
      <c r="J386" s="5"/>
      <c r="K386" s="5"/>
      <c r="L386" s="1"/>
      <c r="M386" s="5"/>
      <c r="N386" s="5"/>
      <c r="O386" s="5"/>
      <c r="P386" s="5"/>
      <c r="Q386" s="5"/>
      <c r="R386" s="5"/>
      <c r="S386" s="5"/>
      <c r="T386" s="1"/>
      <c r="U386" s="1"/>
      <c r="V386" s="1"/>
      <c r="W386" s="3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A387" s="7"/>
      <c r="B387" s="5"/>
      <c r="C387" s="4"/>
      <c r="D387" s="1"/>
      <c r="E387" s="1"/>
      <c r="F387" s="5"/>
      <c r="G387" s="5"/>
      <c r="H387" s="5"/>
      <c r="I387" s="5"/>
      <c r="J387" s="5"/>
      <c r="K387" s="5"/>
      <c r="L387" s="1"/>
      <c r="M387" s="5"/>
      <c r="N387" s="5"/>
      <c r="O387" s="5"/>
      <c r="P387" s="5"/>
      <c r="Q387" s="5"/>
      <c r="R387" s="5"/>
      <c r="S387" s="5"/>
      <c r="T387" s="1"/>
      <c r="U387" s="1"/>
      <c r="V387" s="1"/>
      <c r="W387" s="3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A388" s="7"/>
      <c r="B388" s="5"/>
      <c r="C388" s="4"/>
      <c r="D388" s="1"/>
      <c r="E388" s="1"/>
      <c r="F388" s="5"/>
      <c r="G388" s="5"/>
      <c r="H388" s="5"/>
      <c r="I388" s="5"/>
      <c r="J388" s="5"/>
      <c r="K388" s="5"/>
      <c r="L388" s="1"/>
      <c r="M388" s="5"/>
      <c r="N388" s="5"/>
      <c r="O388" s="5"/>
      <c r="P388" s="5"/>
      <c r="Q388" s="5"/>
      <c r="R388" s="5"/>
      <c r="S388" s="5"/>
      <c r="T388" s="1"/>
      <c r="U388" s="1"/>
      <c r="V388" s="1"/>
      <c r="W388" s="3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</sheetData>
  <dataValidations count="1">
    <dataValidation allowBlank="true" errorStyle="stop" showErrorMessage="true" sqref="F2:F388" type="list">
      <formula1>"启用,禁用"</formula1>
    </dataValidation>
  </dataValidation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8"/>
  </cols>
  <sheetData>
    <row r="1">
      <c r="A1" s="61" t="str">
        <v>营销活动计划分类</v>
      </c>
      <c r="B1" s="61" t="str">
        <v>编码</v>
      </c>
    </row>
    <row r="2">
      <c r="A2" s="85" t="str">
        <v>IP明星内容合作</v>
      </c>
      <c r="B2" s="61" t="str">
        <v>HDFL01</v>
      </c>
    </row>
    <row r="3">
      <c r="A3" s="85" t="str">
        <v>其他达人直播</v>
      </c>
      <c r="B3" s="61" t="str">
        <v>HDFL02</v>
      </c>
    </row>
    <row r="4">
      <c r="A4" s="85" t="str">
        <v>SKA达人</v>
      </c>
      <c r="B4" s="61" t="str">
        <v>HDFL03</v>
      </c>
    </row>
    <row r="5">
      <c r="A5" s="85" t="str">
        <v>田恬</v>
      </c>
      <c r="B5" s="61" t="str">
        <v>HDFL04</v>
      </c>
    </row>
    <row r="6">
      <c r="A6" s="85" t="str">
        <v>李佳琦</v>
      </c>
      <c r="B6" s="61" t="str">
        <v>HDFL05</v>
      </c>
    </row>
    <row r="7">
      <c r="A7" s="85" t="str">
        <v>素材创意制作</v>
      </c>
      <c r="B7" s="61" t="str">
        <v>HDFL06</v>
      </c>
    </row>
    <row r="8">
      <c r="A8" s="85" t="str">
        <v>内容加热</v>
      </c>
      <c r="B8" s="61" t="str">
        <v>HDFL07</v>
      </c>
    </row>
    <row r="9">
      <c r="A9" s="85" t="str">
        <v>线上品宣</v>
      </c>
      <c r="B9" s="61" t="str">
        <v>HDFL08</v>
      </c>
    </row>
    <row r="10">
      <c r="A10" s="85" t="str">
        <v>线下品宣</v>
      </c>
      <c r="B10" s="61" t="str">
        <v>HDFL09</v>
      </c>
    </row>
    <row r="11">
      <c r="A11" s="74" t="str">
        <v>IMC国妆</v>
      </c>
      <c r="B11" s="61" t="str">
        <v>HDFL10</v>
      </c>
    </row>
    <row r="12">
      <c r="A12" s="74" t="str">
        <v>IMC花养</v>
      </c>
      <c r="B12" s="61" t="str">
        <v>HDFL11</v>
      </c>
    </row>
    <row r="13">
      <c r="A13" s="74" t="str">
        <v>IMC文化</v>
      </c>
      <c r="B13" s="61" t="str">
        <v>HDFL12</v>
      </c>
    </row>
    <row r="14">
      <c r="A14" s="85" t="str">
        <v>日常-创意与物料</v>
      </c>
      <c r="B14" s="61" t="str">
        <v>HDFL13</v>
      </c>
    </row>
    <row r="15">
      <c r="A15" s="74" t="str">
        <v>调研费</v>
      </c>
      <c r="B15" s="61" t="str">
        <v>HDFL14</v>
      </c>
    </row>
    <row r="16">
      <c r="A16" s="74" t="str">
        <v>新媒体费用</v>
      </c>
      <c r="B16" s="61" t="str">
        <v>HDFL15</v>
      </c>
    </row>
    <row r="17">
      <c r="A17" s="85" t="str">
        <v>李佳琦全案</v>
      </c>
      <c r="B17" s="61" t="str">
        <v>HDFL16</v>
      </c>
    </row>
    <row r="18">
      <c r="A18" s="85" t="str">
        <v>直播公关费</v>
      </c>
      <c r="B18" s="61" t="str">
        <v>HDFL17</v>
      </c>
    </row>
    <row r="19">
      <c r="A19" s="86" t="str">
        <v>品牌营销-跨中心协同</v>
      </c>
      <c r="B19" s="61" t="str">
        <v>HDFL18</v>
      </c>
    </row>
    <row r="20">
      <c r="A20" s="74" t="str">
        <v>天猫站外推广</v>
      </c>
      <c r="B20" s="61" t="str">
        <v>HDFL19</v>
      </c>
    </row>
    <row r="21">
      <c r="A21" s="85" t="str">
        <v>京东渠道推广-POP</v>
      </c>
      <c r="B21" s="61" t="str">
        <v>HDFL20</v>
      </c>
    </row>
    <row r="22">
      <c r="A22" s="85" t="str">
        <v>京东渠道推广-自营</v>
      </c>
      <c r="B22" s="61" t="str">
        <v>HDFL21</v>
      </c>
    </row>
    <row r="23">
      <c r="A23" s="85" t="str">
        <v>拼多多渠道推广</v>
      </c>
      <c r="B23" s="61" t="str">
        <v>HDFL22</v>
      </c>
    </row>
    <row r="24">
      <c r="A24" s="87" t="str">
        <v>淘宝客</v>
      </c>
      <c r="B24" s="61" t="str">
        <v>HDFL23</v>
      </c>
    </row>
    <row r="25">
      <c r="A25" s="85" t="str">
        <v>天猫站内推广</v>
      </c>
      <c r="B25" s="61" t="str">
        <v>HDFL24</v>
      </c>
    </row>
    <row r="26">
      <c r="A26" s="85" t="str">
        <v>唯品会渠道推广</v>
      </c>
      <c r="B26" s="61" t="str">
        <v>HDFL25</v>
      </c>
    </row>
    <row r="27">
      <c r="A27" s="85" t="str">
        <v>考拉渠道推广</v>
      </c>
      <c r="B27" s="61" t="str">
        <v>HDFL26</v>
      </c>
    </row>
    <row r="28">
      <c r="A28" s="85" t="str">
        <v>匠泽店渠道推广</v>
      </c>
      <c r="B28" s="61" t="str">
        <v>HDFL27</v>
      </c>
    </row>
    <row r="29">
      <c r="A29" s="85" t="str">
        <v>京东到家渠道推广</v>
      </c>
      <c r="B29" s="61" t="str">
        <v>HDFL28</v>
      </c>
    </row>
    <row r="30">
      <c r="A30" s="85" t="str">
        <v>微信渠道推广</v>
      </c>
      <c r="B30" s="61" t="str">
        <v>HDFL29</v>
      </c>
    </row>
    <row r="31">
      <c r="A31" s="85" t="str">
        <v>达人推广</v>
      </c>
      <c r="B31" s="61" t="str">
        <v>HDFL30</v>
      </c>
    </row>
    <row r="32">
      <c r="A32" s="86" t="str">
        <v>市场公关费</v>
      </c>
      <c r="B32" s="61" t="str">
        <v>HDFL31</v>
      </c>
    </row>
    <row r="33">
      <c r="A33" s="85" t="str">
        <v>特殊渠道推广</v>
      </c>
      <c r="B33" s="61" t="str">
        <v>HDFL32</v>
      </c>
    </row>
    <row r="34">
      <c r="A34" s="74" t="str">
        <v>快手渠道推广</v>
      </c>
      <c r="B34" s="61" t="str">
        <v>HDFL33</v>
      </c>
    </row>
    <row r="35">
      <c r="A35" s="85" t="str">
        <v>矩阵代运营</v>
      </c>
      <c r="B35" s="61" t="str">
        <v>HDFL34</v>
      </c>
    </row>
    <row r="36">
      <c r="A36" s="74" t="str">
        <v>矩阵号千川信息流</v>
      </c>
      <c r="B36" s="61" t="str">
        <v>HDFL35</v>
      </c>
    </row>
    <row r="37">
      <c r="A37" s="85" t="str">
        <v>快手人设号</v>
      </c>
      <c r="B37" s="61" t="str">
        <v>HDFL36</v>
      </c>
    </row>
    <row r="38">
      <c r="A38" s="74" t="str">
        <v>千川信息流</v>
      </c>
      <c r="B38" s="61" t="str">
        <v>HDFL37</v>
      </c>
    </row>
    <row r="39">
      <c r="A39" s="85" t="str">
        <v>直播间物料制作</v>
      </c>
      <c r="B39" s="61" t="str">
        <v>HDFL38</v>
      </c>
    </row>
    <row r="40">
      <c r="A40" s="85" t="str">
        <v>直播间奖品</v>
      </c>
      <c r="B40" s="61" t="str">
        <v>HDFL39</v>
      </c>
    </row>
    <row r="41">
      <c r="A41" s="26" t="str">
        <v>平台扣点</v>
      </c>
      <c r="B41" s="61" t="str">
        <v>HDFL40</v>
      </c>
    </row>
    <row r="42">
      <c r="A42" s="25" t="str">
        <v>直播间运营</v>
      </c>
      <c r="B42" s="61" t="str">
        <v>HDFL41</v>
      </c>
    </row>
    <row r="43">
      <c r="A43" s="74" t="str">
        <v>得物渠道推广</v>
      </c>
      <c r="B43" s="61" t="str">
        <v>HDFL42</v>
      </c>
    </row>
    <row r="44">
      <c r="A44" s="68" t="str">
        <v>GWP外采</v>
      </c>
      <c r="B44" s="61" t="str">
        <v>HDFL43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22"/>
    <col collapsed="false" customWidth="true" hidden="false" max="3" min="3" style="0" width="20"/>
    <col collapsed="false" customWidth="true" hidden="false" max="4" min="4" style="0" width="20"/>
    <col collapsed="false" customWidth="true" hidden="false" max="5" min="5" style="0" width="22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15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8" min="18" style="0" width="21"/>
    <col collapsed="false" customWidth="true" hidden="false" max="19" min="19" style="0" width="21"/>
    <col collapsed="false" customWidth="true" hidden="false" max="20" min="20" style="0" width="20"/>
    <col collapsed="false" customWidth="true" hidden="false" max="21" min="21" style="0" width="20"/>
    <col collapsed="false" customWidth="true" hidden="false" max="22" min="22" style="0" width="20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4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</cols>
  <sheetData>
    <row r="1">
      <c r="A1" s="90" t="str">
        <v>营销活动分类</v>
      </c>
      <c r="B1" s="88" t="str">
        <v>营销活动场景</v>
      </c>
      <c r="C1" s="89" t="str">
        <v>编码</v>
      </c>
      <c r="D1" s="89" t="str">
        <v>一级预算科目</v>
      </c>
      <c r="E1" s="89" t="str">
        <v>二级预算科目</v>
      </c>
      <c r="F1" s="89" t="str">
        <v>能否到店铺</v>
      </c>
      <c r="G1" s="89" t="str">
        <v>店铺</v>
      </c>
      <c r="H1" s="89"/>
      <c r="I1" s="89" t="str">
        <v>渠道</v>
      </c>
      <c r="J1" s="89" t="str">
        <v>业务来源</v>
      </c>
      <c r="K1" s="89" t="str">
        <v>业务单元</v>
      </c>
      <c r="L1" s="6" t="str">
        <v>能否到品类（单品简称）</v>
      </c>
      <c r="M1" s="6" t="str">
        <v>能否到SKU</v>
      </c>
      <c r="N1" s="6" t="str">
        <v>是否允许个人报销</v>
      </c>
      <c r="O1" s="6" t="str">
        <v>是否允许无票报销</v>
      </c>
      <c r="P1" s="91" t="str">
        <v>费用类型</v>
      </c>
      <c r="Q1" s="2" t="str">
        <v>费用大类</v>
      </c>
      <c r="R1" s="2" t="str">
        <v>费用小类</v>
      </c>
      <c r="S1" s="89" t="str">
        <v>一级部门</v>
      </c>
      <c r="T1" s="89" t="str">
        <v>二级部门</v>
      </c>
      <c r="U1" s="89" t="str">
        <v>三级部门</v>
      </c>
      <c r="V1" s="89" t="str">
        <v>四级部门</v>
      </c>
    </row>
    <row r="2">
      <c r="A2" s="92" t="str">
        <v>平台与媒介公关费</v>
      </c>
      <c r="B2" s="4"/>
      <c r="C2" s="1"/>
      <c r="D2" s="1"/>
      <c r="E2" s="5" t="str">
        <v>市场公关运营</v>
      </c>
      <c r="F2" s="5" t="str">
        <v>否</v>
      </c>
      <c r="G2" s="5"/>
      <c r="H2" s="5"/>
      <c r="I2" s="5"/>
      <c r="J2" s="3"/>
      <c r="K2" s="61"/>
      <c r="L2" s="5" t="str">
        <v>否</v>
      </c>
      <c r="M2" s="5" t="str">
        <v>否</v>
      </c>
      <c r="N2" s="5" t="str">
        <v>是</v>
      </c>
      <c r="O2" s="5" t="str">
        <v>是</v>
      </c>
      <c r="P2" s="5" t="str">
        <v>营销费用</v>
      </c>
      <c r="Q2" s="5" t="str">
        <v>其他费用</v>
      </c>
      <c r="R2" s="5" t="str">
        <v>公关礼品费</v>
      </c>
      <c r="S2" s="3" t="str">
        <v>品牌运营中心</v>
      </c>
      <c r="T2" s="3" t="str">
        <v>渠道运营部</v>
      </c>
      <c r="U2" s="3"/>
      <c r="V2" s="3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</row>
    <row r="3">
      <c r="A3" s="92" t="str">
        <v>平台与媒介公关费</v>
      </c>
      <c r="B3" s="4"/>
      <c r="C3" s="1"/>
      <c r="D3" s="1"/>
      <c r="E3" s="5" t="str">
        <v>市场公关运营</v>
      </c>
      <c r="F3" s="5" t="str">
        <v>否</v>
      </c>
      <c r="G3" s="5"/>
      <c r="H3" s="5"/>
      <c r="I3" s="5"/>
      <c r="J3" s="3"/>
      <c r="K3" s="61"/>
      <c r="L3" s="5" t="str">
        <v>否</v>
      </c>
      <c r="M3" s="5" t="str">
        <v>否</v>
      </c>
      <c r="N3" s="5" t="str">
        <v>是</v>
      </c>
      <c r="O3" s="5" t="str">
        <v>是</v>
      </c>
      <c r="P3" s="5" t="str">
        <v>营销费用</v>
      </c>
      <c r="Q3" s="5" t="str">
        <v>其他费用</v>
      </c>
      <c r="R3" s="5" t="str">
        <v>公关礼品费</v>
      </c>
      <c r="S3" s="3" t="str">
        <v>品牌运营中心</v>
      </c>
      <c r="T3" s="3" t="str">
        <v>市场广告推广部</v>
      </c>
      <c r="U3" s="3" t="str">
        <v>广告投放部</v>
      </c>
      <c r="V3" s="3" t="str">
        <v>媒介部</v>
      </c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</row>
    <row r="4">
      <c r="A4" s="92" t="str">
        <v>平台与媒介公关费</v>
      </c>
      <c r="B4" s="4"/>
      <c r="C4" s="1"/>
      <c r="D4" s="1"/>
      <c r="E4" s="5" t="str">
        <v>市场公关运营</v>
      </c>
      <c r="F4" s="5" t="str">
        <v>否</v>
      </c>
      <c r="G4" s="5"/>
      <c r="H4" s="5"/>
      <c r="I4" s="5"/>
      <c r="J4" s="3"/>
      <c r="K4" s="61"/>
      <c r="L4" s="5" t="str">
        <v>否</v>
      </c>
      <c r="M4" s="5" t="str">
        <v>否</v>
      </c>
      <c r="N4" s="5" t="str">
        <v>是</v>
      </c>
      <c r="O4" s="5" t="str">
        <v>是</v>
      </c>
      <c r="P4" s="5" t="str">
        <v>营销费用</v>
      </c>
      <c r="Q4" s="5" t="str">
        <v>其他费用</v>
      </c>
      <c r="R4" s="5" t="str">
        <v>公关礼品费</v>
      </c>
      <c r="S4" s="3" t="str">
        <v>品牌运营中心</v>
      </c>
      <c r="T4" s="3" t="str">
        <v>运营策略部</v>
      </c>
      <c r="U4" s="3" t="str">
        <v>天猫运营部</v>
      </c>
      <c r="V4" s="3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16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</cols>
  <sheetData>
    <row r="1">
      <c r="A1" s="94" t="str">
        <v>字段</v>
      </c>
      <c r="B1" s="94" t="str">
        <v>字段属性</v>
      </c>
      <c r="C1" s="94" t="str">
        <v>字段解释</v>
      </c>
      <c r="D1" s="94" t="str">
        <v>用途与诉求</v>
      </c>
      <c r="E1" s="93" t="str">
        <v>字段名</v>
      </c>
      <c r="F1" s="93" t="str">
        <v>字段长度</v>
      </c>
      <c r="G1" s="93" t="str">
        <v>是否主键</v>
      </c>
      <c r="H1" s="93" t="str">
        <v>字段备注</v>
      </c>
    </row>
    <row r="2">
      <c r="A2" s="92" t="str">
        <v>营销活动场景</v>
      </c>
      <c r="B2" s="61" t="str">
        <v>文本</v>
      </c>
    </row>
    <row r="3">
      <c r="A3" s="92" t="str">
        <v>营销活动场景编码</v>
      </c>
      <c r="B3" s="61" t="str">
        <v>文本</v>
      </c>
    </row>
    <row r="4">
      <c r="A4" s="92" t="str">
        <v>能否到店铺</v>
      </c>
      <c r="B4" s="61" t="str">
        <v>下拉-单选</v>
      </c>
    </row>
    <row r="5">
      <c r="A5" s="92" t="str">
        <v>能否到品类</v>
      </c>
      <c r="B5" s="61" t="str">
        <v>下拉-单选</v>
      </c>
    </row>
    <row r="6">
      <c r="A6" s="92" t="str">
        <v>能否到SKU</v>
      </c>
      <c r="B6" s="61" t="str">
        <v>下拉-单选</v>
      </c>
    </row>
    <row r="7">
      <c r="A7" s="92" t="str">
        <v>是否允许个人报销</v>
      </c>
      <c r="B7" s="61" t="str">
        <v>下拉-单选</v>
      </c>
    </row>
    <row r="8">
      <c r="A8" s="92" t="str">
        <v>是否允许无票报销</v>
      </c>
      <c r="B8" s="61" t="str">
        <v>下拉-单选</v>
      </c>
    </row>
    <row r="9">
      <c r="A9" s="92" t="str">
        <v>预算科目</v>
      </c>
      <c r="B9" s="61" t="str">
        <v>下拉-单选</v>
      </c>
    </row>
    <row r="10">
      <c r="A10" s="92" t="str">
        <v>营销活动类型</v>
      </c>
      <c r="B10" s="61" t="str">
        <v>文本</v>
      </c>
    </row>
    <row r="11">
      <c r="A11" s="92"/>
    </row>
    <row r="12">
      <c r="A12" s="92"/>
    </row>
    <row r="13">
      <c r="A13" s="92"/>
    </row>
    <row r="14">
      <c r="A14" s="92"/>
    </row>
    <row r="15">
      <c r="A15" s="92"/>
    </row>
  </sheetData>
  <dataValidations count="1">
    <dataValidation allowBlank="true" errorStyle="stop" showErrorMessage="true" sqref="B2:B10" type="list">
      <formula1>"文本,下拉-单选,下拉-多选,日期,数值"</formula1>
    </dataValidation>
  </dataValidation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3"/>
    <col collapsed="false" customWidth="true" hidden="false" max="5" min="5" style="0" width="35"/>
    <col collapsed="false" customWidth="true" hidden="false" max="6" min="6" style="0" width="19"/>
    <col collapsed="false" customWidth="true" hidden="false" max="6" min="6" style="0" width="19"/>
    <col collapsed="false" customWidth="true" hidden="false" max="7" min="7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8" min="8" style="0" width="20"/>
    <col collapsed="false" customWidth="true" hidden="false" max="9" min="9" style="0" width="17"/>
    <col collapsed="false" customWidth="true" hidden="false" max="9" min="9" style="0" width="17"/>
    <col collapsed="false" customWidth="true" hidden="false" max="10" min="10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2" min="12" style="0" width="14"/>
    <col collapsed="false" customWidth="true" hidden="false" max="13" min="13" style="0" width="32"/>
    <col collapsed="false" customWidth="true" hidden="false" max="13" min="13" style="0" width="32"/>
    <col collapsed="false" customWidth="true" hidden="false" max="14" min="14" style="0" width="14"/>
    <col collapsed="false" customWidth="true" hidden="false" max="14" min="14" style="0" width="14"/>
    <col collapsed="false" customWidth="true" hidden="false" max="15" min="15" style="0" width="8"/>
    <col collapsed="false" customWidth="true" hidden="false" max="16" min="16" style="0" width="25"/>
    <col collapsed="false" customWidth="true" hidden="false" max="17" min="17" style="0" width="8"/>
    <col collapsed="false" customWidth="true" hidden="false" max="18" min="18" style="0" width="8"/>
    <col collapsed="false" customWidth="true" hidden="false" max="19" min="19" style="0" width="8"/>
    <col collapsed="false" customWidth="true" hidden="false" max="20" min="20" style="0" width="8"/>
    <col collapsed="false" customWidth="true" hidden="false" max="21" min="21" style="0" width="8"/>
    <col collapsed="false" customWidth="true" hidden="false" max="22" min="22" style="0" width="8"/>
    <col collapsed="false" customWidth="true" hidden="false" max="23" min="23" style="0" width="8"/>
    <col collapsed="false" customWidth="true" hidden="false" max="24" min="24" style="0" width="8"/>
    <col collapsed="false" customWidth="true" hidden="false" max="25" min="25" style="0" width="8"/>
    <col collapsed="false" customWidth="true" hidden="false" max="26" min="26" style="0" width="8"/>
    <col collapsed="false" customWidth="true" hidden="false" max="27" min="27" style="0" width="8"/>
    <col collapsed="false" customWidth="true" hidden="false" max="28" min="28" style="0" width="8"/>
  </cols>
  <sheetData>
    <row r="1">
      <c r="A1" s="111" t="str">
        <v>序号</v>
      </c>
      <c r="B1" s="111" t="str">
        <v>费用大类</v>
      </c>
      <c r="C1" s="111" t="str">
        <v>费用小类</v>
      </c>
      <c r="D1" s="111" t="str">
        <v>费用类别</v>
      </c>
      <c r="E1" s="112" t="str">
        <v>营销活动场景</v>
      </c>
      <c r="F1" s="113"/>
      <c r="G1" s="113" t="str">
        <v>一级预算科目</v>
      </c>
      <c r="H1" s="114" t="str">
        <v>二级预算科目</v>
      </c>
      <c r="I1" s="111" t="str">
        <v>一级部门</v>
      </c>
      <c r="J1" s="111" t="str">
        <v>二级部门</v>
      </c>
      <c r="K1" s="111" t="str">
        <v>三级部门</v>
      </c>
      <c r="L1" s="111" t="str">
        <v>四级部门</v>
      </c>
      <c r="M1" s="110" t="str">
        <v>会计科目（新）</v>
      </c>
      <c r="N1" s="110" t="str">
        <v>科目编码（新）</v>
      </c>
      <c r="O1" s="110" t="str">
        <v>是否允许无票</v>
      </c>
      <c r="P1" s="110" t="str">
        <v>发票类目建议</v>
      </c>
      <c r="Q1" s="110" t="str">
        <v>费控系统表单字段要求</v>
      </c>
      <c r="R1" s="110"/>
      <c r="S1" s="110"/>
      <c r="T1" s="110"/>
      <c r="U1" s="110"/>
      <c r="V1" s="110"/>
      <c r="W1" s="110" t="str">
        <v>财务入账科目字段要求</v>
      </c>
      <c r="X1" s="110"/>
      <c r="Y1" s="110"/>
      <c r="Z1" s="110"/>
      <c r="AA1" s="110"/>
      <c r="AB1" s="110"/>
    </row>
    <row r="2">
      <c r="A2" s="111"/>
      <c r="B2" s="111"/>
      <c r="C2" s="146"/>
      <c r="D2" s="111"/>
      <c r="E2" s="112"/>
      <c r="F2" s="113" t="str">
        <v>是否允许个人垫付</v>
      </c>
      <c r="G2" s="113"/>
      <c r="H2" s="114"/>
      <c r="I2" s="111"/>
      <c r="J2" s="111"/>
      <c r="K2" s="111"/>
      <c r="L2" s="111"/>
      <c r="M2" s="110"/>
      <c r="N2" s="110"/>
      <c r="O2" s="110"/>
      <c r="P2" s="110"/>
      <c r="Q2" s="110" t="str">
        <v>项目</v>
      </c>
      <c r="R2" s="110" t="str">
        <v>一级部门</v>
      </c>
      <c r="S2" s="110" t="str">
        <v>二级部门</v>
      </c>
      <c r="T2" s="110" t="str">
        <v>品牌</v>
      </c>
      <c r="U2" s="110" t="str">
        <v>店铺</v>
      </c>
      <c r="V2" s="110" t="str">
        <v>广宣</v>
      </c>
      <c r="W2" s="110" t="str">
        <v>项目</v>
      </c>
      <c r="X2" s="110" t="str">
        <v>一级部门</v>
      </c>
      <c r="Y2" s="110" t="str">
        <v>二级部门</v>
      </c>
      <c r="Z2" s="110" t="str">
        <v>品牌</v>
      </c>
      <c r="AA2" s="110" t="str">
        <v>店铺</v>
      </c>
      <c r="AB2" s="110" t="str">
        <v>广宣</v>
      </c>
    </row>
    <row r="3">
      <c r="A3" s="95">
        <f>ROW(B3)-2</f>
      </c>
      <c r="B3" s="96" t="str">
        <v>媒介宣传费</v>
      </c>
      <c r="C3" s="117" t="str">
        <v>线上媒介费</v>
      </c>
      <c r="D3" s="95" t="str">
        <v>营销费用</v>
      </c>
      <c r="E3" s="98" t="str">
        <v>抖音品牌信息流</v>
      </c>
      <c r="F3" s="100">
        <f>VLOOKUP(E3,'收集数据表'!A:K,6,0)</f>
      </c>
      <c r="G3" s="100" t="str">
        <v>品牌媒介</v>
      </c>
      <c r="H3" s="97" t="str">
        <v>线上品宣媒介</v>
      </c>
      <c r="I3" s="95" t="str">
        <v>品牌运营中心</v>
      </c>
      <c r="J3" s="95" t="str">
        <v>市场广告推广部</v>
      </c>
      <c r="K3" s="95" t="str">
        <v>广告投放部</v>
      </c>
      <c r="L3" s="95" t="str">
        <v>媒介部</v>
      </c>
      <c r="M3" s="98" t="str">
        <v>销售费用_营销费用_线上推广费</v>
      </c>
      <c r="N3" s="98" t="str">
        <v>6601.36.24</v>
      </c>
      <c r="O3" s="98"/>
      <c r="P3" s="104" t="str">
        <v>技术服务费？服务费？</v>
      </c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</row>
    <row r="4">
      <c r="A4" s="95">
        <f>ROW(B4)-2</f>
      </c>
      <c r="B4" s="96" t="str">
        <v>媒介宣传费</v>
      </c>
      <c r="C4" s="117" t="str">
        <v>线上媒介费</v>
      </c>
      <c r="D4" s="95" t="str">
        <v>营销费用</v>
      </c>
      <c r="E4" s="131" t="str">
        <v>快手品牌信息流</v>
      </c>
      <c r="F4" s="100">
        <f>VLOOKUP(E4,'收集数据表'!A:K,6,0)</f>
      </c>
      <c r="G4" s="100" t="str">
        <v>品牌媒介</v>
      </c>
      <c r="H4" s="97" t="str">
        <v>线上品宣媒介</v>
      </c>
      <c r="I4" s="95" t="str">
        <v>品牌运营中心</v>
      </c>
      <c r="J4" s="95" t="str">
        <v>市场广告推广部</v>
      </c>
      <c r="K4" s="95" t="str">
        <v>广告投放部</v>
      </c>
      <c r="L4" s="95" t="str">
        <v>媒介部</v>
      </c>
      <c r="M4" s="98" t="str">
        <v>销售费用_营销费用_线上推广费</v>
      </c>
      <c r="N4" s="98" t="str">
        <v>6601.36.24</v>
      </c>
      <c r="O4" s="98"/>
      <c r="P4" s="98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</row>
    <row r="5">
      <c r="A5" s="95">
        <f>ROW(B5)-2</f>
      </c>
      <c r="B5" s="96" t="str">
        <v>媒介宣传费</v>
      </c>
      <c r="C5" s="117" t="str">
        <v>线上媒介费</v>
      </c>
      <c r="D5" s="95" t="str">
        <v>营销费用</v>
      </c>
      <c r="E5" s="98" t="str">
        <v>开屏类广告</v>
      </c>
      <c r="F5" s="100">
        <f>VLOOKUP(E5,'收集数据表'!A:K,6,0)</f>
      </c>
      <c r="G5" s="100" t="str">
        <v>品牌媒介</v>
      </c>
      <c r="H5" s="97" t="str">
        <v>线上品宣媒介</v>
      </c>
      <c r="I5" s="95" t="str">
        <v>品牌运营中心</v>
      </c>
      <c r="J5" s="95" t="str">
        <v>市场广告推广部</v>
      </c>
      <c r="K5" s="95" t="str">
        <v>广告投放部</v>
      </c>
      <c r="L5" s="95" t="str">
        <v>媒介部</v>
      </c>
      <c r="M5" s="98" t="str">
        <v>销售费用_营销费用_线上推广费</v>
      </c>
      <c r="N5" s="98" t="str">
        <v>6601.36.24</v>
      </c>
      <c r="O5" s="98"/>
      <c r="P5" s="98" t="str">
        <v>广告发布费</v>
      </c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</row>
    <row r="6">
      <c r="A6" s="95">
        <f>ROW(B6)-2</f>
      </c>
      <c r="B6" s="96" t="str">
        <v>媒介宣传费</v>
      </c>
      <c r="C6" s="117" t="str">
        <v>线上媒介费</v>
      </c>
      <c r="D6" s="95" t="str">
        <v>营销费用</v>
      </c>
      <c r="E6" s="98" t="str">
        <v>程序化投放</v>
      </c>
      <c r="F6" s="100">
        <f>VLOOKUP(E6,'收集数据表'!A:K,6,0)</f>
      </c>
      <c r="G6" s="100" t="str">
        <v>品牌媒介</v>
      </c>
      <c r="H6" s="97" t="str">
        <v>线上品宣媒介</v>
      </c>
      <c r="I6" s="95" t="str">
        <v>品牌运营中心</v>
      </c>
      <c r="J6" s="95" t="str">
        <v>市场广告推广部</v>
      </c>
      <c r="K6" s="95" t="str">
        <v>广告投放部</v>
      </c>
      <c r="L6" s="95" t="str">
        <v>媒介部</v>
      </c>
      <c r="M6" s="98" t="str">
        <v>销售费用_营销费用_线上推广费</v>
      </c>
      <c r="N6" s="98" t="str">
        <v>6601.36.24</v>
      </c>
      <c r="O6" s="98"/>
      <c r="P6" s="98" t="str">
        <v>广告发布费</v>
      </c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>
      <c r="A7" s="95">
        <f>ROW(B7)-2</f>
      </c>
      <c r="B7" s="96" t="str">
        <v>媒介宣传费</v>
      </c>
      <c r="C7" s="96" t="str">
        <v>线上媒介费</v>
      </c>
      <c r="D7" s="95" t="str">
        <v>营销费用</v>
      </c>
      <c r="E7" s="98" t="str">
        <v>OTT广告</v>
      </c>
      <c r="F7" s="100">
        <f>VLOOKUP(E7,'收集数据表'!A:K,6,0)</f>
      </c>
      <c r="G7" s="100" t="str">
        <v>品牌媒介</v>
      </c>
      <c r="H7" s="97" t="str">
        <v>线上品宣媒介</v>
      </c>
      <c r="I7" s="95" t="str">
        <v>品牌运营中心</v>
      </c>
      <c r="J7" s="95" t="str">
        <v>市场广告推广部</v>
      </c>
      <c r="K7" s="95" t="str">
        <v>广告投放部</v>
      </c>
      <c r="L7" s="95" t="str">
        <v>媒介部</v>
      </c>
      <c r="M7" s="98" t="str">
        <v>销售费用_营销费用_线上推广费</v>
      </c>
      <c r="N7" s="98" t="str">
        <v>6601.36.24</v>
      </c>
      <c r="O7" s="98"/>
      <c r="P7" s="98" t="str">
        <v>广告发布费</v>
      </c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</row>
    <row r="8">
      <c r="A8" s="95">
        <f>ROW(B8)-2</f>
      </c>
      <c r="B8" s="96" t="str">
        <v>媒介宣传费</v>
      </c>
      <c r="C8" s="96" t="str">
        <v>线上媒介费</v>
      </c>
      <c r="D8" s="95" t="str">
        <v>营销费用</v>
      </c>
      <c r="E8" s="131" t="str">
        <v>OTV广告</v>
      </c>
      <c r="F8" s="100">
        <f>VLOOKUP(E8,'收集数据表'!A:K,6,0)</f>
      </c>
      <c r="G8" s="100" t="str">
        <v>品牌媒介</v>
      </c>
      <c r="H8" s="97" t="str">
        <v>线上品宣媒介</v>
      </c>
      <c r="I8" s="95" t="str">
        <v>品牌运营中心</v>
      </c>
      <c r="J8" s="95" t="str">
        <v>市场广告推广部</v>
      </c>
      <c r="K8" s="95" t="str">
        <v>广告投放部</v>
      </c>
      <c r="L8" s="95" t="str">
        <v>媒介部</v>
      </c>
      <c r="M8" s="98" t="str">
        <v>销售费用_营销费用_线上推广费</v>
      </c>
      <c r="N8" s="98" t="str">
        <v>6601.36.24</v>
      </c>
      <c r="O8" s="98"/>
      <c r="P8" s="98" t="str">
        <v>广告发布费</v>
      </c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</row>
    <row r="9">
      <c r="A9" s="95">
        <f>ROW(B9)-2</f>
      </c>
      <c r="B9" s="102" t="str">
        <v>媒介宣传费</v>
      </c>
      <c r="C9" s="102" t="str">
        <v>线上媒介费</v>
      </c>
      <c r="D9" s="103" t="str">
        <v>营销费用</v>
      </c>
      <c r="E9" s="104" t="str">
        <v>商业化资源包合作</v>
      </c>
      <c r="F9" s="100">
        <f>VLOOKUP(E9,'收集数据表'!A:K,6,0)</f>
      </c>
      <c r="G9" s="100" t="str">
        <v>品牌媒介</v>
      </c>
      <c r="H9" s="97" t="str">
        <v>线上品宣媒介</v>
      </c>
      <c r="I9" s="95" t="str">
        <v>品牌运营中心</v>
      </c>
      <c r="J9" s="95" t="str">
        <v>市场广告推广部</v>
      </c>
      <c r="K9" s="95" t="str">
        <v>广告投放部</v>
      </c>
      <c r="L9" s="95" t="str">
        <v>媒介部</v>
      </c>
      <c r="M9" s="98" t="str">
        <v>销售费用_营销费用_线上推广费</v>
      </c>
      <c r="N9" s="98" t="str">
        <v>6601.36.24</v>
      </c>
      <c r="O9" s="98"/>
      <c r="P9" s="98" t="str">
        <v>广告发布费</v>
      </c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</row>
    <row r="10">
      <c r="A10" s="95">
        <f>ROW(B10)-2</f>
      </c>
      <c r="B10" s="102" t="str">
        <v>媒介宣传费</v>
      </c>
      <c r="C10" s="102" t="str">
        <v>线上媒介费</v>
      </c>
      <c r="D10" s="103" t="str">
        <v>营销费用</v>
      </c>
      <c r="E10" s="104" t="str">
        <v>广告效果监测</v>
      </c>
      <c r="F10" s="100">
        <f>VLOOKUP(E10,'收集数据表'!A:K,6,0)</f>
      </c>
      <c r="G10" s="100" t="str">
        <v>品牌媒介</v>
      </c>
      <c r="H10" s="97" t="str">
        <v>线上品宣媒介</v>
      </c>
      <c r="I10" s="95" t="str">
        <v>品牌运营中心</v>
      </c>
      <c r="J10" s="95" t="str">
        <v>市场广告推广部</v>
      </c>
      <c r="K10" s="95" t="str">
        <v>广告投放部</v>
      </c>
      <c r="L10" s="95" t="str">
        <v>媒介部</v>
      </c>
      <c r="M10" s="98" t="str">
        <v>销售费用_营销费用_线上推广费</v>
      </c>
      <c r="N10" s="98" t="str">
        <v>6601.36.24</v>
      </c>
      <c r="O10" s="98"/>
      <c r="P10" s="104" t="str">
        <v>广告发布费</v>
      </c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</row>
    <row r="11">
      <c r="A11" s="95">
        <f>ROW(B11)-2</f>
      </c>
      <c r="B11" s="96" t="str">
        <v>媒介宣传费</v>
      </c>
      <c r="C11" s="96" t="str">
        <v>线下媒介费</v>
      </c>
      <c r="D11" s="95" t="str">
        <v>营销费用</v>
      </c>
      <c r="E11" s="98" t="str">
        <v>电梯广告</v>
      </c>
      <c r="F11" s="100">
        <f>VLOOKUP(E11,'收集数据表'!A:K,6,0)</f>
      </c>
      <c r="G11" s="100" t="str">
        <v>品牌媒介</v>
      </c>
      <c r="H11" s="97" t="str">
        <v>线下品宣媒介</v>
      </c>
      <c r="I11" s="95" t="str">
        <v>品牌运营中心</v>
      </c>
      <c r="J11" s="95" t="str">
        <v>市场广告推广部</v>
      </c>
      <c r="K11" s="95" t="str">
        <v>广告投放部</v>
      </c>
      <c r="L11" s="95" t="str">
        <v>媒介部</v>
      </c>
      <c r="M11" s="98" t="str">
        <v>销售费用_营销费用_线下推广费</v>
      </c>
      <c r="N11" s="98" t="str">
        <v>6601.36.25</v>
      </c>
      <c r="O11" s="98"/>
      <c r="P11" s="98" t="str">
        <v>广告发布费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</row>
    <row r="12">
      <c r="A12" s="95">
        <f>ROW(B12)-2</f>
      </c>
      <c r="B12" s="96" t="str">
        <v>媒介宣传费</v>
      </c>
      <c r="C12" s="96" t="str">
        <v>线下媒介费</v>
      </c>
      <c r="D12" s="95" t="str">
        <v>营销费用</v>
      </c>
      <c r="E12" s="98" t="str">
        <v>电影院广告</v>
      </c>
      <c r="F12" s="100">
        <f>VLOOKUP(E12,'收集数据表'!A:K,6,0)</f>
      </c>
      <c r="G12" s="100" t="str">
        <v>品牌媒介</v>
      </c>
      <c r="H12" s="97" t="str">
        <v>线下品宣媒介</v>
      </c>
      <c r="I12" s="95" t="str">
        <v>品牌运营中心</v>
      </c>
      <c r="J12" s="95" t="str">
        <v>市场广告推广部</v>
      </c>
      <c r="K12" s="95" t="str">
        <v>广告投放部</v>
      </c>
      <c r="L12" s="95" t="str">
        <v>媒介部</v>
      </c>
      <c r="M12" s="98" t="str">
        <v>销售费用_营销费用_线下推广费</v>
      </c>
      <c r="N12" s="98" t="str">
        <v>6601.36.25</v>
      </c>
      <c r="O12" s="98"/>
      <c r="P12" s="98" t="str">
        <v>广告发布费</v>
      </c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</row>
    <row r="13">
      <c r="A13" s="95">
        <f>ROW(B13)-2</f>
      </c>
      <c r="B13" s="96" t="str">
        <v>媒介宣传费</v>
      </c>
      <c r="C13" s="96" t="str">
        <v>线下媒介费</v>
      </c>
      <c r="D13" s="95" t="str">
        <v>营销费用</v>
      </c>
      <c r="E13" s="98" t="str">
        <v>地标广告</v>
      </c>
      <c r="F13" s="100">
        <f>VLOOKUP(E13,'收集数据表'!A:K,6,0)</f>
      </c>
      <c r="G13" s="100" t="str">
        <v>品牌媒介</v>
      </c>
      <c r="H13" s="97" t="str">
        <v>线下品宣媒介</v>
      </c>
      <c r="I13" s="95" t="str">
        <v>品牌运营中心</v>
      </c>
      <c r="J13" s="95" t="str">
        <v>市场广告推广部</v>
      </c>
      <c r="K13" s="95" t="str">
        <v>广告投放部</v>
      </c>
      <c r="L13" s="95" t="str">
        <v>媒介部</v>
      </c>
      <c r="M13" s="98" t="str">
        <v>销售费用_营销费用_线下推广费</v>
      </c>
      <c r="N13" s="98" t="str">
        <v>6601.36.25</v>
      </c>
      <c r="O13" s="98"/>
      <c r="P13" s="98" t="str">
        <v>广告发布费</v>
      </c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</row>
    <row r="14">
      <c r="A14" s="95">
        <f>ROW(B14)-2</f>
      </c>
      <c r="B14" s="96" t="str">
        <v>品牌宣传费</v>
      </c>
      <c r="C14" s="96" t="str">
        <v>市场调研费</v>
      </c>
      <c r="D14" s="95" t="str">
        <v>营销费用</v>
      </c>
      <c r="E14" s="98" t="str">
        <v>投放策略调研</v>
      </c>
      <c r="F14" s="100">
        <f>VLOOKUP(E14,'收集数据表'!A:K,6,0)</f>
      </c>
      <c r="G14" s="100" t="str">
        <v>品牌媒介</v>
      </c>
      <c r="H14" s="97" t="str">
        <v>调研费（其他非标）</v>
      </c>
      <c r="I14" s="95" t="str">
        <v>品牌运营中心</v>
      </c>
      <c r="J14" s="95" t="str">
        <v>市场广告推广部</v>
      </c>
      <c r="K14" s="95" t="str">
        <v>策略部</v>
      </c>
      <c r="L14" s="95"/>
      <c r="M14" s="98">
        <f>"销售费用_"&amp;D14&amp;"_"&amp;C14</f>
      </c>
      <c r="N14" s="98" t="str">
        <v>6601.36.20</v>
      </c>
      <c r="O14" s="98"/>
      <c r="P14" s="98" t="str">
        <v>调研服务费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</row>
    <row r="15">
      <c r="A15" s="95">
        <f>ROW(B15)-2</f>
      </c>
      <c r="B15" s="96" t="str">
        <v>内容制作费</v>
      </c>
      <c r="C15" s="96" t="str">
        <v>视频制作费</v>
      </c>
      <c r="D15" s="95" t="str">
        <v>营销费用</v>
      </c>
      <c r="E15" s="98">
        <f>H15&amp;"-"&amp;LEFT(C15,4)</f>
      </c>
      <c r="F15" s="100">
        <f>VLOOKUP(E15,'收集数据表'!A:K,6,0)</f>
      </c>
      <c r="G15" s="100" t="str">
        <v>品类内容推广</v>
      </c>
      <c r="H15" s="97" t="str">
        <v>AD竞价内容创意</v>
      </c>
      <c r="I15" s="95" t="str">
        <v>品牌运营中心</v>
      </c>
      <c r="J15" s="95" t="str">
        <v>市场广告推广部</v>
      </c>
      <c r="K15" s="95" t="str">
        <v>广告投放部</v>
      </c>
      <c r="L15" s="95" t="str">
        <v>内容策划组</v>
      </c>
      <c r="M15" s="98">
        <f>"销售费用_"&amp;D15&amp;"_"&amp;C15</f>
      </c>
      <c r="N15" s="98" t="str">
        <v>6601.36.21</v>
      </c>
      <c r="O15" s="98"/>
      <c r="P15" s="98">
        <f>C15</f>
      </c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</row>
    <row r="16">
      <c r="A16" s="95">
        <f>ROW(B16)-2</f>
      </c>
      <c r="B16" s="96" t="str">
        <v>内容制作费</v>
      </c>
      <c r="C16" s="96" t="str">
        <v>动画制作费</v>
      </c>
      <c r="D16" s="95" t="str">
        <v>营销费用</v>
      </c>
      <c r="E16" s="98">
        <f>H16&amp;"-"&amp;LEFT(C16,4)</f>
      </c>
      <c r="F16" s="100">
        <f>VLOOKUP(E16,'收集数据表'!A:K,6,0)</f>
      </c>
      <c r="G16" s="100" t="str">
        <v>品类内容推广</v>
      </c>
      <c r="H16" s="97" t="str">
        <v>AD竞价内容创意</v>
      </c>
      <c r="I16" s="95" t="str">
        <v>品牌运营中心</v>
      </c>
      <c r="J16" s="95" t="str">
        <v>市场广告推广部</v>
      </c>
      <c r="K16" s="95" t="str">
        <v>广告投放部</v>
      </c>
      <c r="L16" s="95" t="str">
        <v>内容策划组</v>
      </c>
      <c r="M16" s="98">
        <f>"销售费用_"&amp;D16&amp;"_"&amp;C16</f>
      </c>
      <c r="N16" s="98" t="str">
        <v>6601.36.07</v>
      </c>
      <c r="O16" s="98"/>
      <c r="P16" s="98">
        <f>C16</f>
      </c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</row>
    <row r="17">
      <c r="A17" s="95">
        <f>ROW(B17)-2</f>
      </c>
      <c r="B17" s="96" t="str">
        <v>内容制作费</v>
      </c>
      <c r="C17" s="96" t="str">
        <v>图文平面制作费</v>
      </c>
      <c r="D17" s="95" t="str">
        <v>营销费用</v>
      </c>
      <c r="E17" s="98">
        <f>H17&amp;"-"&amp;LEFT(C17,6)</f>
      </c>
      <c r="F17" s="100">
        <f>VLOOKUP(E17,'收集数据表'!A:K,6,0)</f>
      </c>
      <c r="G17" s="100" t="str">
        <v>品类内容推广</v>
      </c>
      <c r="H17" s="97" t="str">
        <v>AD竞价内容创意</v>
      </c>
      <c r="I17" s="95" t="str">
        <v>品牌运营中心</v>
      </c>
      <c r="J17" s="95" t="str">
        <v>市场广告推广部</v>
      </c>
      <c r="K17" s="95" t="str">
        <v>广告投放部</v>
      </c>
      <c r="L17" s="95" t="str">
        <v>内容策划组</v>
      </c>
      <c r="M17" s="98">
        <f>"销售费用_"&amp;D17&amp;"_"&amp;C17</f>
      </c>
      <c r="N17" s="98" t="str">
        <v>6601.36.22</v>
      </c>
      <c r="O17" s="98"/>
      <c r="P17" s="98">
        <f>C17</f>
      </c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</row>
    <row r="18">
      <c r="A18" s="95">
        <f>ROW(B18)-2</f>
      </c>
      <c r="B18" s="96" t="str">
        <v>内容制作费</v>
      </c>
      <c r="C18" s="96" t="str">
        <v>建模服务费</v>
      </c>
      <c r="D18" s="95" t="str">
        <v>营销费用</v>
      </c>
      <c r="E18" s="98">
        <f>H18&amp;"-"&amp;LEFT(C18,4)</f>
      </c>
      <c r="F18" s="100">
        <f>VLOOKUP(E18,'收集数据表'!A:K,6,0)</f>
      </c>
      <c r="G18" s="100" t="str">
        <v>品类内容推广</v>
      </c>
      <c r="H18" s="97" t="str">
        <v>AD竞价内容创意</v>
      </c>
      <c r="I18" s="95" t="str">
        <v>品牌运营中心</v>
      </c>
      <c r="J18" s="95" t="str">
        <v>市场广告推广部</v>
      </c>
      <c r="K18" s="95" t="str">
        <v>广告投放部</v>
      </c>
      <c r="L18" s="95" t="str">
        <v>内容策划组</v>
      </c>
      <c r="M18" s="98">
        <f>"销售费用_"&amp;D18&amp;"_"&amp;C18</f>
      </c>
      <c r="N18" s="98" t="str">
        <v>6601.36.10</v>
      </c>
      <c r="O18" s="98"/>
      <c r="P18" s="98">
        <f>C18</f>
      </c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</row>
    <row r="19">
      <c r="A19" s="95">
        <f>ROW(B19)-2</f>
      </c>
      <c r="B19" s="96" t="str">
        <v>内容制作费</v>
      </c>
      <c r="C19" s="96" t="str">
        <v>渲染服务费</v>
      </c>
      <c r="D19" s="95" t="str">
        <v>营销费用</v>
      </c>
      <c r="E19" s="98">
        <f>H19&amp;"-"&amp;LEFT(C19,4)</f>
      </c>
      <c r="F19" s="100">
        <f>VLOOKUP(E19,'收集数据表'!A:K,6,0)</f>
      </c>
      <c r="G19" s="100" t="str">
        <v>品类内容推广</v>
      </c>
      <c r="H19" s="97" t="str">
        <v>AD竞价内容创意</v>
      </c>
      <c r="I19" s="95" t="str">
        <v>品牌运营中心</v>
      </c>
      <c r="J19" s="95" t="str">
        <v>市场广告推广部</v>
      </c>
      <c r="K19" s="95" t="str">
        <v>广告投放部</v>
      </c>
      <c r="L19" s="95" t="str">
        <v>内容策划组</v>
      </c>
      <c r="M19" s="98">
        <f>"销售费用_"&amp;D19&amp;"_"&amp;C19</f>
      </c>
      <c r="N19" s="98" t="str">
        <v>6601.36.26</v>
      </c>
      <c r="O19" s="98"/>
      <c r="P19" s="98">
        <f>C19</f>
      </c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</row>
    <row r="20">
      <c r="A20" s="95">
        <f>ROW(B20)-2</f>
      </c>
      <c r="B20" s="96" t="str">
        <v>内容制作费</v>
      </c>
      <c r="C20" s="96" t="str">
        <v>模特服务费</v>
      </c>
      <c r="D20" s="95" t="str">
        <v>营销费用</v>
      </c>
      <c r="E20" s="98">
        <f>H20&amp;"-"&amp;LEFT(C20,4)</f>
      </c>
      <c r="F20" s="100">
        <f>VLOOKUP(E20,'收集数据表'!A:K,6,0)</f>
      </c>
      <c r="G20" s="100" t="str">
        <v>品类内容推广</v>
      </c>
      <c r="H20" s="97" t="str">
        <v>AD竞价内容创意</v>
      </c>
      <c r="I20" s="95" t="str">
        <v>品牌运营中心</v>
      </c>
      <c r="J20" s="95" t="str">
        <v>市场广告推广部</v>
      </c>
      <c r="K20" s="95" t="str">
        <v>广告投放部</v>
      </c>
      <c r="L20" s="95" t="str">
        <v>内容策划组</v>
      </c>
      <c r="M20" s="98">
        <f>"销售费用_"&amp;D20&amp;"_"&amp;C20</f>
      </c>
      <c r="N20" s="98" t="str">
        <v>6601.36.13</v>
      </c>
      <c r="O20" s="98"/>
      <c r="P20" s="98">
        <f>C20</f>
      </c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</row>
    <row r="21">
      <c r="A21" s="95">
        <f>ROW(B21)-2</f>
      </c>
      <c r="B21" s="96" t="str">
        <v>内容制作费</v>
      </c>
      <c r="C21" s="96" t="str">
        <v>专业人物合作费</v>
      </c>
      <c r="D21" s="95" t="str">
        <v>营销费用</v>
      </c>
      <c r="E21" s="98">
        <f>H21&amp;"-"&amp;LEFT(C21,6)</f>
      </c>
      <c r="F21" s="100">
        <f>VLOOKUP(E21,'收集数据表'!A:K,6,0)</f>
      </c>
      <c r="G21" s="100" t="str">
        <v>品类内容推广</v>
      </c>
      <c r="H21" s="97" t="str">
        <v>AD竞价内容创意</v>
      </c>
      <c r="I21" s="95" t="str">
        <v>品牌运营中心</v>
      </c>
      <c r="J21" s="95" t="str">
        <v>市场广告推广部</v>
      </c>
      <c r="K21" s="95" t="str">
        <v>广告投放部</v>
      </c>
      <c r="L21" s="95" t="str">
        <v>内容策划组</v>
      </c>
      <c r="M21" s="98">
        <f>"销售费用_"&amp;D21&amp;"_"&amp;C21</f>
      </c>
      <c r="N21" s="98" t="str">
        <v>6601.36.32</v>
      </c>
      <c r="O21" s="98"/>
      <c r="P21" s="98">
        <f>C21</f>
      </c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</row>
    <row r="22">
      <c r="A22" s="95">
        <f>ROW(B22)-2</f>
      </c>
      <c r="B22" s="96" t="str">
        <v>内容制作费</v>
      </c>
      <c r="C22" s="96" t="str">
        <v>服化道费用</v>
      </c>
      <c r="D22" s="95" t="str">
        <v>营销费用</v>
      </c>
      <c r="E22" s="98">
        <f>H22&amp;"-"&amp;LEFT(C22,4)</f>
      </c>
      <c r="F22" s="100">
        <f>VLOOKUP(E22,'收集数据表'!A:K,6,0)</f>
      </c>
      <c r="G22" s="100" t="str">
        <v>品类内容推广</v>
      </c>
      <c r="H22" s="97" t="str">
        <v>AD竞价内容创意</v>
      </c>
      <c r="I22" s="95" t="str">
        <v>品牌运营中心</v>
      </c>
      <c r="J22" s="95" t="str">
        <v>市场广告推广部</v>
      </c>
      <c r="K22" s="95" t="str">
        <v>广告投放部</v>
      </c>
      <c r="L22" s="95" t="str">
        <v>内容策划组</v>
      </c>
      <c r="M22" s="98">
        <f>"销售费用_"&amp;D22&amp;"_"&amp;C22</f>
      </c>
      <c r="N22" s="98" t="str">
        <v>6601.36.08</v>
      </c>
      <c r="O22" s="98"/>
      <c r="P22" s="98" t="str">
        <v>服装费、化妆费、道具费</v>
      </c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</row>
    <row r="23">
      <c r="A23" s="95">
        <f>ROW(B23)-2</f>
      </c>
      <c r="B23" s="96" t="str">
        <v>内容制作费</v>
      </c>
      <c r="C23" s="96" t="str">
        <v>拍摄服务费</v>
      </c>
      <c r="D23" s="95" t="str">
        <v>营销费用</v>
      </c>
      <c r="E23" s="98">
        <f>H23&amp;"-"&amp;LEFT(C23,4)</f>
      </c>
      <c r="F23" s="100">
        <f>VLOOKUP(E23,'收集数据表'!A:K,6,0)</f>
      </c>
      <c r="G23" s="100" t="str">
        <v>品类内容推广</v>
      </c>
      <c r="H23" s="97" t="str">
        <v>AD竞价内容创意</v>
      </c>
      <c r="I23" s="95" t="str">
        <v>品牌运营中心</v>
      </c>
      <c r="J23" s="95" t="str">
        <v>市场广告推广部</v>
      </c>
      <c r="K23" s="95" t="str">
        <v>广告投放部</v>
      </c>
      <c r="L23" s="95" t="str">
        <v>内容策划组</v>
      </c>
      <c r="M23" s="98">
        <f>"销售费用_"&amp;D23&amp;"_"&amp;C23</f>
      </c>
      <c r="N23" s="98" t="str">
        <v>6601.36.15</v>
      </c>
      <c r="O23" s="98"/>
      <c r="P23" s="98">
        <f>C23</f>
      </c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</row>
    <row r="24">
      <c r="A24" s="95">
        <f>ROW(B24)-2</f>
      </c>
      <c r="B24" s="96" t="str">
        <v>内容制作费</v>
      </c>
      <c r="C24" s="96" t="str">
        <v>拍摄物料费</v>
      </c>
      <c r="D24" s="95" t="str">
        <v>营销费用</v>
      </c>
      <c r="E24" s="98">
        <f>H24&amp;"-"&amp;LEFT(C24,4)</f>
      </c>
      <c r="F24" s="100">
        <f>VLOOKUP(E24,'收集数据表'!A:K,6,0)</f>
      </c>
      <c r="G24" s="100" t="str">
        <v>品类内容推广</v>
      </c>
      <c r="H24" s="97" t="str">
        <v>AD竞价内容创意</v>
      </c>
      <c r="I24" s="95" t="str">
        <v>品牌运营中心</v>
      </c>
      <c r="J24" s="95" t="str">
        <v>市场广告推广部</v>
      </c>
      <c r="K24" s="95" t="str">
        <v>广告投放部</v>
      </c>
      <c r="L24" s="95" t="str">
        <v>内容策划组</v>
      </c>
      <c r="M24" s="98">
        <f>"销售费用_"&amp;D24&amp;"_"&amp;C24</f>
      </c>
      <c r="N24" s="98" t="str">
        <v>6601.36.16</v>
      </c>
      <c r="O24" s="98"/>
      <c r="P24" s="98">
        <f>C24</f>
      </c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</row>
    <row r="25">
      <c r="A25" s="95">
        <f>ROW(B25)-2</f>
      </c>
      <c r="B25" s="96" t="str">
        <v>内容制作费</v>
      </c>
      <c r="C25" s="96" t="str">
        <v>内容制作费</v>
      </c>
      <c r="D25" s="95" t="str">
        <v>营销费用</v>
      </c>
      <c r="E25" s="98">
        <f>H25&amp;"-"&amp;LEFT(C25,4)</f>
      </c>
      <c r="F25" s="100">
        <f>VLOOKUP(E25,'收集数据表'!A:K,6,0)</f>
      </c>
      <c r="G25" s="100" t="str">
        <v>品类内容推广</v>
      </c>
      <c r="H25" s="97" t="str">
        <v>AD竞价内容创意</v>
      </c>
      <c r="I25" s="95" t="str">
        <v>品牌运营中心</v>
      </c>
      <c r="J25" s="95" t="str">
        <v>市场广告推广部</v>
      </c>
      <c r="K25" s="95" t="str">
        <v>广告投放部</v>
      </c>
      <c r="L25" s="95" t="str">
        <v>内容策划组</v>
      </c>
      <c r="M25" s="98">
        <f>"销售费用_"&amp;D25&amp;"_"&amp;C25</f>
      </c>
      <c r="N25" s="98" t="str">
        <v>6601.36.14</v>
      </c>
      <c r="O25" s="98"/>
      <c r="P25" s="98">
        <f>C25</f>
      </c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</row>
    <row r="26">
      <c r="A26" s="95">
        <f>ROW(B26)-2</f>
      </c>
      <c r="B26" s="96" t="str">
        <v>达人推广费</v>
      </c>
      <c r="C26" s="96" t="str">
        <v>内容推广费</v>
      </c>
      <c r="D26" s="95" t="str">
        <v>营销费用</v>
      </c>
      <c r="E26" s="98" t="str">
        <v>DOU+</v>
      </c>
      <c r="F26" s="100">
        <f>VLOOKUP(E26,'收集数据表'!A:K,6,0)</f>
      </c>
      <c r="G26" s="100" t="str">
        <v>品类内容推广</v>
      </c>
      <c r="H26" s="97" t="str">
        <v>内容加热</v>
      </c>
      <c r="I26" s="95" t="str">
        <v>品牌运营中心</v>
      </c>
      <c r="J26" s="95" t="str">
        <v>市场广告推广部</v>
      </c>
      <c r="K26" s="95" t="str">
        <v>市场推广部</v>
      </c>
      <c r="L26" s="95" t="str">
        <v>内容投放组</v>
      </c>
      <c r="M26" s="98" t="str">
        <v>销售费用_营销费用_线上推广费</v>
      </c>
      <c r="N26" s="98" t="str">
        <v>6601.36.24</v>
      </c>
      <c r="O26" s="98"/>
      <c r="P26" s="98" t="str">
        <v>技术服务费？服务费？</v>
      </c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</row>
    <row r="27">
      <c r="A27" s="95">
        <f>ROW(B27)-2</f>
      </c>
      <c r="B27" s="96" t="str">
        <v>达人推广费</v>
      </c>
      <c r="C27" s="96" t="str">
        <v>内容推广费</v>
      </c>
      <c r="D27" s="95" t="str">
        <v>营销费用</v>
      </c>
      <c r="E27" s="98" t="str">
        <v>快手作品推荐</v>
      </c>
      <c r="F27" s="100">
        <f>VLOOKUP(E27,'收集数据表'!A:K,6,0)</f>
      </c>
      <c r="G27" s="100" t="str">
        <v>品类内容推广</v>
      </c>
      <c r="H27" s="97" t="str">
        <v>内容加热</v>
      </c>
      <c r="I27" s="95" t="str">
        <v>品牌运营中心</v>
      </c>
      <c r="J27" s="95" t="str">
        <v>市场广告推广部</v>
      </c>
      <c r="K27" s="95" t="str">
        <v>市场推广部</v>
      </c>
      <c r="L27" s="95" t="str">
        <v>内容投放组</v>
      </c>
      <c r="M27" s="98" t="str">
        <v>销售费用_营销费用_线上推广费</v>
      </c>
      <c r="N27" s="98" t="str">
        <v>6601.36.24</v>
      </c>
      <c r="O27" s="98"/>
      <c r="P27" s="98" t="str">
        <v>技术服务费？服务费？</v>
      </c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>
      <c r="A28" s="95">
        <f>ROW(B28)-2</f>
      </c>
      <c r="B28" s="96" t="str">
        <v>达人推广费</v>
      </c>
      <c r="C28" s="96" t="str">
        <v>内容推广费</v>
      </c>
      <c r="D28" s="95" t="str">
        <v>营销费用</v>
      </c>
      <c r="E28" s="98" t="str">
        <v>内容热推</v>
      </c>
      <c r="F28" s="100">
        <f>VLOOKUP(E28,'收集数据表'!A:K,6,0)</f>
      </c>
      <c r="G28" s="100" t="str">
        <v>品类内容推广</v>
      </c>
      <c r="H28" s="97" t="str">
        <v>内容加热</v>
      </c>
      <c r="I28" s="95" t="str">
        <v>品牌运营中心</v>
      </c>
      <c r="J28" s="95" t="str">
        <v>市场广告推广部</v>
      </c>
      <c r="K28" s="95" t="str">
        <v>市场推广部</v>
      </c>
      <c r="L28" s="95" t="str">
        <v>内容投放组</v>
      </c>
      <c r="M28" s="98" t="str">
        <v>销售费用_营销费用_线上推广费</v>
      </c>
      <c r="N28" s="98" t="str">
        <v>6601.36.24</v>
      </c>
      <c r="O28" s="98"/>
      <c r="P28" s="98" t="str">
        <v>技术服务费？服务费？</v>
      </c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</row>
    <row r="29">
      <c r="A29" s="95">
        <f>ROW(B29)-2</f>
      </c>
      <c r="B29" s="96" t="str">
        <v>达人推广费</v>
      </c>
      <c r="C29" s="96" t="str">
        <v>内容推广费</v>
      </c>
      <c r="D29" s="95" t="str">
        <v>营销费用</v>
      </c>
      <c r="E29" s="98" t="str">
        <v>内容服务</v>
      </c>
      <c r="F29" s="100">
        <f>VLOOKUP(E29,'收集数据表'!A:K,6,0)</f>
      </c>
      <c r="G29" s="100" t="str">
        <v>品类内容推广</v>
      </c>
      <c r="H29" s="97" t="str">
        <v>内容加热</v>
      </c>
      <c r="I29" s="95" t="str">
        <v>品牌运营中心</v>
      </c>
      <c r="J29" s="95" t="str">
        <v>市场广告推广部</v>
      </c>
      <c r="K29" s="95" t="str">
        <v>市场推广部</v>
      </c>
      <c r="L29" s="95" t="str">
        <v>内容投放组</v>
      </c>
      <c r="M29" s="98" t="str">
        <v>销售费用_营销费用_线上推广费</v>
      </c>
      <c r="N29" s="98" t="str">
        <v>6601.36.24</v>
      </c>
      <c r="O29" s="98"/>
      <c r="P29" s="98" t="str">
        <v>技术服务费？服务费？</v>
      </c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</row>
    <row r="30">
      <c r="A30" s="95">
        <f>ROW(B30)-2</f>
      </c>
      <c r="B30" s="96" t="str">
        <v>达人推广费</v>
      </c>
      <c r="C30" s="96" t="str">
        <v>内容推广费</v>
      </c>
      <c r="D30" s="95" t="str">
        <v>营销费用</v>
      </c>
      <c r="E30" s="98" t="str">
        <v>星聚力</v>
      </c>
      <c r="F30" s="100">
        <f>VLOOKUP(E30,'收集数据表'!A:K,6,0)</f>
      </c>
      <c r="G30" s="100" t="str">
        <v>品类内容推广</v>
      </c>
      <c r="H30" s="97" t="str">
        <v>内容加热</v>
      </c>
      <c r="I30" s="95" t="str">
        <v>品牌运营中心</v>
      </c>
      <c r="J30" s="95" t="str">
        <v>市场广告推广部</v>
      </c>
      <c r="K30" s="95" t="str">
        <v>市场推广部</v>
      </c>
      <c r="L30" s="95" t="str">
        <v>内容投放组</v>
      </c>
      <c r="M30" s="98" t="str">
        <v>销售费用_营销费用_线上推广费</v>
      </c>
      <c r="N30" s="98" t="str">
        <v>6601.36.24</v>
      </c>
      <c r="O30" s="98"/>
      <c r="P30" s="98" t="str">
        <v>技术服务费？服务费？</v>
      </c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</row>
    <row r="31">
      <c r="A31" s="95">
        <f>ROW(B31)-2</f>
      </c>
      <c r="B31" s="96" t="str">
        <v>达人推广费</v>
      </c>
      <c r="C31" s="96" t="str">
        <v>内容推广费</v>
      </c>
      <c r="D31" s="95" t="str">
        <v>营销费用</v>
      </c>
      <c r="E31" s="98" t="str">
        <v>小红书加热</v>
      </c>
      <c r="F31" s="100">
        <f>VLOOKUP(E31,'收集数据表'!A:K,6,0)</f>
      </c>
      <c r="G31" s="62" t="str">
        <v>品类内容推广</v>
      </c>
      <c r="H31" s="115" t="str">
        <v>其他新媒体加热</v>
      </c>
      <c r="I31" s="116" t="str">
        <v>品牌运营中心</v>
      </c>
      <c r="J31" s="95" t="str">
        <v>市场广告推广部</v>
      </c>
      <c r="K31" s="95" t="str">
        <v>市场推广部</v>
      </c>
      <c r="L31" s="95" t="str">
        <v>内容投放组</v>
      </c>
      <c r="M31" s="98" t="str">
        <v>销售费用_营销费用_线上推广费</v>
      </c>
      <c r="N31" s="98" t="str">
        <v>6601.36.24</v>
      </c>
      <c r="O31" s="98"/>
      <c r="P31" s="98" t="str">
        <v>技术服务费？服务费？</v>
      </c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</row>
    <row r="32">
      <c r="A32" s="95">
        <f>ROW(B32)-2</f>
      </c>
      <c r="B32" s="96" t="str">
        <v>达人推广费</v>
      </c>
      <c r="C32" s="96" t="str">
        <v>内容推广费</v>
      </c>
      <c r="D32" s="95" t="str">
        <v>营销费用</v>
      </c>
      <c r="E32" s="98" t="str">
        <v>B站起飞加热</v>
      </c>
      <c r="F32" s="100">
        <f>VLOOKUP(E32,'收集数据表'!A:K,6,0)</f>
      </c>
      <c r="G32" s="62" t="str">
        <v>品类内容推广</v>
      </c>
      <c r="H32" s="115" t="str">
        <v>其他新媒体加热</v>
      </c>
      <c r="I32" s="116" t="str">
        <v>品牌运营中心</v>
      </c>
      <c r="J32" s="95" t="str">
        <v>市场广告推广部</v>
      </c>
      <c r="K32" s="95" t="str">
        <v>市场推广部</v>
      </c>
      <c r="L32" s="95" t="str">
        <v>内容投放组</v>
      </c>
      <c r="M32" s="98" t="str">
        <v>销售费用_营销费用_线上推广费</v>
      </c>
      <c r="N32" s="98" t="str">
        <v>6601.36.24</v>
      </c>
      <c r="O32" s="98"/>
      <c r="P32" s="98" t="str">
        <v>技术服务费？服务费？</v>
      </c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</row>
    <row r="33">
      <c r="A33" s="95">
        <f>ROW(B33)-2</f>
      </c>
      <c r="B33" s="96" t="str">
        <v>达人推广费</v>
      </c>
      <c r="C33" s="96" t="str">
        <v>内容推广费</v>
      </c>
      <c r="D33" s="95" t="str">
        <v>营销费用</v>
      </c>
      <c r="E33" s="98" t="str">
        <v>微博粉条</v>
      </c>
      <c r="F33" s="100">
        <f>VLOOKUP(E33,'收集数据表'!A:K,6,0)</f>
      </c>
      <c r="G33" s="62" t="str">
        <v>品类内容推广</v>
      </c>
      <c r="H33" s="115" t="str">
        <v>其他新媒体加热</v>
      </c>
      <c r="I33" s="116" t="str">
        <v>品牌运营中心</v>
      </c>
      <c r="J33" s="95" t="str">
        <v>市场广告推广部</v>
      </c>
      <c r="K33" s="95" t="str">
        <v>市场推广部</v>
      </c>
      <c r="L33" s="95" t="str">
        <v>内容投放组</v>
      </c>
      <c r="M33" s="98" t="str">
        <v>销售费用_营销费用_线上推广费</v>
      </c>
      <c r="N33" s="98" t="str">
        <v>6601.36.24</v>
      </c>
      <c r="O33" s="98"/>
      <c r="P33" s="98" t="str">
        <v>技术服务费？服务费？</v>
      </c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</row>
    <row r="34">
      <c r="A34" s="95">
        <f>ROW(B34)-2</f>
      </c>
      <c r="B34" s="96" t="str">
        <v>达人推广费</v>
      </c>
      <c r="C34" s="96" t="str">
        <v>内容推广费</v>
      </c>
      <c r="D34" s="95" t="str">
        <v>营销费用</v>
      </c>
      <c r="E34" s="98" t="str">
        <v>粉丝通</v>
      </c>
      <c r="F34" s="100">
        <f>VLOOKUP(E34,'收集数据表'!A:K,6,0)</f>
      </c>
      <c r="G34" s="62" t="str">
        <v>品类内容推广</v>
      </c>
      <c r="H34" s="115" t="str">
        <v>其他新媒体加热</v>
      </c>
      <c r="I34" s="116" t="str">
        <v>品牌运营中心</v>
      </c>
      <c r="J34" s="95" t="str">
        <v>市场广告推广部</v>
      </c>
      <c r="K34" s="95" t="str">
        <v>市场推广部</v>
      </c>
      <c r="L34" s="95" t="str">
        <v>内容投放组</v>
      </c>
      <c r="M34" s="98" t="str">
        <v>销售费用_营销费用_线上推广费</v>
      </c>
      <c r="N34" s="98" t="str">
        <v>6601.36.24</v>
      </c>
      <c r="O34" s="98"/>
      <c r="P34" s="98" t="str">
        <v>技术服务费？服务费？</v>
      </c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</row>
    <row r="35">
      <c r="A35" s="95">
        <f>ROW(B35)-2</f>
      </c>
      <c r="B35" s="96" t="str">
        <v>达人推广费</v>
      </c>
      <c r="C35" s="96" t="str">
        <v>内容推广费</v>
      </c>
      <c r="D35" s="95" t="str">
        <v>营销费用</v>
      </c>
      <c r="E35" s="98" t="str">
        <v>微博搜索</v>
      </c>
      <c r="F35" s="100">
        <f>VLOOKUP(E35,'收集数据表'!A:K,6,0)</f>
      </c>
      <c r="G35" s="62" t="str">
        <v>品类内容推广</v>
      </c>
      <c r="H35" s="115" t="str">
        <v>其他新媒体加热</v>
      </c>
      <c r="I35" s="116" t="str">
        <v>品牌运营中心</v>
      </c>
      <c r="J35" s="95" t="str">
        <v>市场广告推广部</v>
      </c>
      <c r="K35" s="95" t="str">
        <v>市场推广部</v>
      </c>
      <c r="L35" s="95" t="str">
        <v>内容投放组</v>
      </c>
      <c r="M35" s="98" t="str">
        <v>销售费用_营销费用_线上推广费</v>
      </c>
      <c r="N35" s="98" t="str">
        <v>6601.36.24</v>
      </c>
      <c r="O35" s="98"/>
      <c r="P35" s="98" t="str">
        <v>技术服务费？服务费？</v>
      </c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</row>
    <row r="36">
      <c r="A36" s="95">
        <f>ROW(B36)-2</f>
      </c>
      <c r="B36" s="96" t="str">
        <v>渠道推广费</v>
      </c>
      <c r="C36" s="101" t="str">
        <v>站内推广费</v>
      </c>
      <c r="D36" s="95" t="str">
        <v>营销费用</v>
      </c>
      <c r="E36" s="98" t="str">
        <v>天猫-直通车</v>
      </c>
      <c r="F36" s="100">
        <f>VLOOKUP(E36,'收集数据表'!A:K,6,0)</f>
      </c>
      <c r="G36" s="100" t="str">
        <v>平台电商推广</v>
      </c>
      <c r="H36" s="97" t="str">
        <v>淘内-推广</v>
      </c>
      <c r="I36" s="95" t="str">
        <v>品牌运营中心</v>
      </c>
      <c r="J36" s="95" t="str">
        <v>运营策略部</v>
      </c>
      <c r="K36" s="95" t="str">
        <v>天猫运营部</v>
      </c>
      <c r="L36" s="95" t="str">
        <v>天猫推广组</v>
      </c>
      <c r="M36" s="98" t="str">
        <v>销售费用_营销费用_线上推广费</v>
      </c>
      <c r="N36" s="98" t="str">
        <v>6601.36.24</v>
      </c>
      <c r="O36" s="98"/>
      <c r="P36" s="98" t="str">
        <v>技术服务费？服务费？</v>
      </c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</row>
    <row r="37">
      <c r="A37" s="95">
        <f>ROW(B37)-2</f>
      </c>
      <c r="B37" s="96" t="str">
        <v>渠道推广费</v>
      </c>
      <c r="C37" s="101" t="str">
        <v>站内推广费</v>
      </c>
      <c r="D37" s="95" t="str">
        <v>营销费用</v>
      </c>
      <c r="E37" s="98" t="str">
        <v>天猫-引力魔方</v>
      </c>
      <c r="F37" s="100">
        <f>VLOOKUP(E37,'收集数据表'!A:K,6,0)</f>
      </c>
      <c r="G37" s="100" t="str">
        <v>平台电商推广</v>
      </c>
      <c r="H37" s="97" t="str">
        <v>淘内-推广</v>
      </c>
      <c r="I37" s="95" t="str">
        <v>品牌运营中心</v>
      </c>
      <c r="J37" s="95" t="str">
        <v>运营策略部</v>
      </c>
      <c r="K37" s="95" t="str">
        <v>天猫运营部</v>
      </c>
      <c r="L37" s="95" t="str">
        <v>天猫推广组</v>
      </c>
      <c r="M37" s="98" t="str">
        <v>销售费用_营销费用_线上推广费</v>
      </c>
      <c r="N37" s="98" t="str">
        <v>6601.36.24</v>
      </c>
      <c r="O37" s="98"/>
      <c r="P37" s="98" t="str">
        <v>技术服务费？服务费？</v>
      </c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</row>
    <row r="38">
      <c r="A38" s="95">
        <f>ROW(B38)-2</f>
      </c>
      <c r="B38" s="96" t="str">
        <v>渠道推广费</v>
      </c>
      <c r="C38" s="101" t="str">
        <v>站内推广费</v>
      </c>
      <c r="D38" s="95" t="str">
        <v>营销费用</v>
      </c>
      <c r="E38" s="98" t="str">
        <v>天猫-万向台-超级短视频</v>
      </c>
      <c r="F38" s="100">
        <f>VLOOKUP(E38,'收集数据表'!A:K,6,0)</f>
      </c>
      <c r="G38" s="100" t="str">
        <v>平台电商推广</v>
      </c>
      <c r="H38" s="97" t="str">
        <v>淘内-推广</v>
      </c>
      <c r="I38" s="95" t="str">
        <v>品牌运营中心</v>
      </c>
      <c r="J38" s="95" t="str">
        <v>运营策略部</v>
      </c>
      <c r="K38" s="95" t="str">
        <v>天猫运营部</v>
      </c>
      <c r="L38" s="95" t="str">
        <v>天猫推广组</v>
      </c>
      <c r="M38" s="98" t="str">
        <v>销售费用_营销费用_线上推广费</v>
      </c>
      <c r="N38" s="98" t="str">
        <v>6601.36.24</v>
      </c>
      <c r="O38" s="98"/>
      <c r="P38" s="98" t="str">
        <v>技术服务费？服务费？</v>
      </c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</row>
    <row r="39">
      <c r="A39" s="95">
        <f>ROW(B39)-2</f>
      </c>
      <c r="B39" s="96" t="str">
        <v>渠道推广费</v>
      </c>
      <c r="C39" s="101" t="str">
        <v>站内推广费</v>
      </c>
      <c r="D39" s="95" t="str">
        <v>营销费用</v>
      </c>
      <c r="E39" s="98" t="str">
        <v>天猫-明星店铺</v>
      </c>
      <c r="F39" s="100">
        <f>VLOOKUP(E39,'收集数据表'!A:K,6,0)</f>
      </c>
      <c r="G39" s="100" t="str">
        <v>平台电商推广</v>
      </c>
      <c r="H39" s="97" t="str">
        <v>淘内-推广</v>
      </c>
      <c r="I39" s="95" t="str">
        <v>品牌运营中心</v>
      </c>
      <c r="J39" s="95" t="str">
        <v>运营策略部</v>
      </c>
      <c r="K39" s="95" t="str">
        <v>天猫运营部</v>
      </c>
      <c r="L39" s="95" t="str">
        <v>天猫推广组</v>
      </c>
      <c r="M39" s="98" t="str">
        <v>销售费用_营销费用_线上推广费</v>
      </c>
      <c r="N39" s="98" t="str">
        <v>6601.36.24</v>
      </c>
      <c r="O39" s="98"/>
      <c r="P39" s="98" t="str">
        <v>技术服务费？服务费？</v>
      </c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</row>
    <row r="40">
      <c r="A40" s="95">
        <f>ROW(B40)-2</f>
      </c>
      <c r="B40" s="96" t="str">
        <v>渠道推广费</v>
      </c>
      <c r="C40" s="101" t="str">
        <v>站内推广费</v>
      </c>
      <c r="D40" s="95" t="str">
        <v>营销费用</v>
      </c>
      <c r="E40" s="98" t="str">
        <v>天猫-互动城</v>
      </c>
      <c r="F40" s="100">
        <f>VLOOKUP(E40,'收集数据表'!A:K,6,0)</f>
      </c>
      <c r="G40" s="100" t="str">
        <v>平台电商推广</v>
      </c>
      <c r="H40" s="97" t="str">
        <v>淘内-推广</v>
      </c>
      <c r="I40" s="95" t="str">
        <v>品牌运营中心</v>
      </c>
      <c r="J40" s="95" t="str">
        <v>运营策略部</v>
      </c>
      <c r="K40" s="95" t="str">
        <v>天猫运营部</v>
      </c>
      <c r="L40" s="95" t="str">
        <v>天猫推广组</v>
      </c>
      <c r="M40" s="98" t="str">
        <v>销售费用_营销费用_线上推广费</v>
      </c>
      <c r="N40" s="98" t="str">
        <v>6601.36.24</v>
      </c>
      <c r="O40" s="98"/>
      <c r="P40" s="98" t="str">
        <v>技术服务费？服务费？</v>
      </c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</row>
    <row r="41">
      <c r="A41" s="95">
        <f>ROW(B41)-2</f>
      </c>
      <c r="B41" s="96" t="str">
        <v>渠道推广费</v>
      </c>
      <c r="C41" s="101" t="str">
        <v>站内推广费</v>
      </c>
      <c r="D41" s="95" t="str">
        <v>营销费用</v>
      </c>
      <c r="E41" s="98" t="str">
        <v>天猫-万向台-超级直播</v>
      </c>
      <c r="F41" s="100">
        <f>VLOOKUP(E41,'收集数据表'!A:K,6,0)</f>
      </c>
      <c r="G41" s="100" t="str">
        <v>平台电商推广</v>
      </c>
      <c r="H41" s="97" t="str">
        <v>淘内-推广</v>
      </c>
      <c r="I41" s="95" t="str">
        <v>品牌运营中心</v>
      </c>
      <c r="J41" s="95" t="str">
        <v>运营策略部</v>
      </c>
      <c r="K41" s="95" t="str">
        <v>天猫运营部</v>
      </c>
      <c r="L41" s="95" t="str">
        <v>天猫推广组</v>
      </c>
      <c r="M41" s="98" t="str">
        <v>销售费用_营销费用_线上推广费</v>
      </c>
      <c r="N41" s="98" t="str">
        <v>6601.36.24</v>
      </c>
      <c r="O41" s="98"/>
      <c r="P41" s="98" t="str">
        <v>技术服务费？服务费？</v>
      </c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</row>
    <row r="42">
      <c r="A42" s="95">
        <f>ROW(B42)-2</f>
      </c>
      <c r="B42" s="96" t="str">
        <v>渠道推广费</v>
      </c>
      <c r="C42" s="101" t="str">
        <v>站内推广费</v>
      </c>
      <c r="D42" s="95" t="str">
        <v>营销费用</v>
      </c>
      <c r="E42" s="98" t="str">
        <v>天猫-超级互动城</v>
      </c>
      <c r="F42" s="100">
        <f>VLOOKUP(E42,'收集数据表'!A:K,6,0)</f>
      </c>
      <c r="G42" s="100" t="str">
        <v>平台电商推广</v>
      </c>
      <c r="H42" s="97" t="str">
        <v>淘内-推广</v>
      </c>
      <c r="I42" s="95" t="str">
        <v>品牌运营中心</v>
      </c>
      <c r="J42" s="95" t="str">
        <v>运营策略部</v>
      </c>
      <c r="K42" s="95" t="str">
        <v>天猫运营部</v>
      </c>
      <c r="L42" s="95" t="str">
        <v>天猫推广组</v>
      </c>
      <c r="M42" s="98" t="str">
        <v>销售费用_营销费用_线上推广费</v>
      </c>
      <c r="N42" s="98" t="str">
        <v>6601.36.24</v>
      </c>
      <c r="O42" s="98"/>
      <c r="P42" s="98" t="str">
        <v>技术服务费？服务费？</v>
      </c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</row>
    <row r="43">
      <c r="A43" s="95">
        <f>ROW(B43)-2</f>
      </c>
      <c r="B43" s="96" t="str">
        <v>渠道推广费</v>
      </c>
      <c r="C43" s="101" t="str">
        <v>站内推广费</v>
      </c>
      <c r="D43" s="95" t="str">
        <v>营销费用</v>
      </c>
      <c r="E43" s="98" t="str">
        <v>天猫-极速推</v>
      </c>
      <c r="F43" s="100">
        <f>VLOOKUP(E43,'收集数据表'!A:K,6,0)</f>
      </c>
      <c r="G43" s="100" t="str">
        <v>平台电商推广</v>
      </c>
      <c r="H43" s="97" t="str">
        <v>淘内-推广</v>
      </c>
      <c r="I43" s="95" t="str">
        <v>品牌运营中心</v>
      </c>
      <c r="J43" s="95" t="str">
        <v>运营策略部</v>
      </c>
      <c r="K43" s="95" t="str">
        <v>天猫运营部</v>
      </c>
      <c r="L43" s="95" t="str">
        <v>天猫推广组</v>
      </c>
      <c r="M43" s="98" t="str">
        <v>销售费用_营销费用_线上推广费</v>
      </c>
      <c r="N43" s="98" t="str">
        <v>6601.36.24</v>
      </c>
      <c r="O43" s="98"/>
      <c r="P43" s="98" t="str">
        <v>技术服务费？服务费？</v>
      </c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</row>
    <row r="44">
      <c r="A44" s="95">
        <f>ROW(B44)-2</f>
      </c>
      <c r="B44" s="96" t="str">
        <v>渠道推广费</v>
      </c>
      <c r="C44" s="101" t="str">
        <v>站内推广费</v>
      </c>
      <c r="D44" s="95" t="str">
        <v>营销费用</v>
      </c>
      <c r="E44" s="98" t="str">
        <v>天猫-妈妈Club</v>
      </c>
      <c r="F44" s="100">
        <f>VLOOKUP(E44,'收集数据表'!A:K,6,0)</f>
      </c>
      <c r="G44" s="100" t="str">
        <v>平台电商推广</v>
      </c>
      <c r="H44" s="97" t="str">
        <v>淘内-推广</v>
      </c>
      <c r="I44" s="95" t="str">
        <v>品牌运营中心</v>
      </c>
      <c r="J44" s="95" t="str">
        <v>运营策略部</v>
      </c>
      <c r="K44" s="95" t="str">
        <v>天猫运营部</v>
      </c>
      <c r="L44" s="95" t="str">
        <v>天猫推广组</v>
      </c>
      <c r="M44" s="98" t="str">
        <v>销售费用_营销费用_线上推广费</v>
      </c>
      <c r="N44" s="98" t="str">
        <v>6601.36.24</v>
      </c>
      <c r="O44" s="98"/>
      <c r="P44" s="98" t="str">
        <v>技术服务费？服务费？</v>
      </c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</row>
    <row r="45">
      <c r="A45" s="95">
        <f>ROW(B45)-2</f>
      </c>
      <c r="B45" s="96" t="str">
        <v>渠道推广费</v>
      </c>
      <c r="C45" s="101" t="str">
        <v>站内推广费</v>
      </c>
      <c r="D45" s="95" t="str">
        <v>营销费用</v>
      </c>
      <c r="E45" s="98" t="str">
        <v>天猫-品牌专区</v>
      </c>
      <c r="F45" s="100">
        <f>VLOOKUP(E45,'收集数据表'!A:K,6,0)</f>
      </c>
      <c r="G45" s="100" t="str">
        <v>平台电商推广</v>
      </c>
      <c r="H45" s="97" t="str">
        <v>淘内-品专</v>
      </c>
      <c r="I45" s="95" t="str">
        <v>品牌运营中心</v>
      </c>
      <c r="J45" s="95" t="str">
        <v>运营策略部</v>
      </c>
      <c r="K45" s="95" t="str">
        <v>天猫运营部</v>
      </c>
      <c r="L45" s="95" t="str">
        <v>天猫推广组</v>
      </c>
      <c r="M45" s="98" t="str">
        <v>销售费用_营销费用_线上推广费</v>
      </c>
      <c r="N45" s="98" t="str">
        <v>6601.36.24</v>
      </c>
      <c r="O45" s="98"/>
      <c r="P45" s="98" t="str">
        <v>技术服务费？服务费？</v>
      </c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</row>
    <row r="46">
      <c r="A46" s="95">
        <f>ROW(B46)-2</f>
      </c>
      <c r="B46" s="96" t="str">
        <v>渠道推广费</v>
      </c>
      <c r="C46" s="101" t="str">
        <v>站内推广费</v>
      </c>
      <c r="D46" s="95" t="str">
        <v>营销费用</v>
      </c>
      <c r="E46" s="98" t="str">
        <v>淘宝客</v>
      </c>
      <c r="F46" s="100">
        <f>VLOOKUP(E46,'收集数据表'!A:K,6,0)</f>
      </c>
      <c r="G46" s="100" t="str">
        <v>平台电商推广</v>
      </c>
      <c r="H46" s="97" t="str">
        <v>淘内-淘宝客</v>
      </c>
      <c r="I46" s="95" t="str">
        <v>品牌运营中心</v>
      </c>
      <c r="J46" s="95" t="str">
        <v>运营策略部</v>
      </c>
      <c r="K46" s="95" t="str">
        <v>天猫运营部</v>
      </c>
      <c r="L46" s="95" t="str">
        <v>天猫推广组</v>
      </c>
      <c r="M46" s="98" t="str">
        <v>销售费用_营销费用_线上推广费</v>
      </c>
      <c r="N46" s="98" t="str">
        <v>6601.36.24</v>
      </c>
      <c r="O46" s="98"/>
      <c r="P46" s="98" t="str">
        <v>技术服务费？服务费？</v>
      </c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</row>
    <row r="47">
      <c r="A47" s="95">
        <f>ROW(B47)-2</f>
      </c>
      <c r="B47" s="96" t="str">
        <v>渠道推广费</v>
      </c>
      <c r="C47" s="101" t="str">
        <v>站内推广费</v>
      </c>
      <c r="D47" s="95" t="str">
        <v>营销费用</v>
      </c>
      <c r="E47" s="105" t="str">
        <v>京东自营-京准通常规投放</v>
      </c>
      <c r="F47" s="100">
        <f>VLOOKUP(E47,'收集数据表'!A:K,6,0)</f>
      </c>
      <c r="G47" s="100" t="str">
        <v>平台电商推广</v>
      </c>
      <c r="H47" s="97" t="str">
        <v>京东渠道推广（自营）</v>
      </c>
      <c r="I47" s="95" t="str">
        <v>品牌运营中心</v>
      </c>
      <c r="J47" s="95" t="str">
        <v>渠道运营部</v>
      </c>
      <c r="K47" s="95" t="str">
        <v>特色电商部</v>
      </c>
      <c r="L47" s="95" t="str">
        <v>京东唯品推广组</v>
      </c>
      <c r="M47" s="98" t="str">
        <v>销售费用_营销费用_线上推广费</v>
      </c>
      <c r="N47" s="98" t="str">
        <v>6601.36.24</v>
      </c>
      <c r="O47" s="98"/>
      <c r="P47" s="98" t="str">
        <v>技术服务费？服务费？广告费？</v>
      </c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</row>
    <row r="48">
      <c r="A48" s="95">
        <f>ROW(B48)-2</f>
      </c>
      <c r="B48" s="96" t="str">
        <v>渠道推广费</v>
      </c>
      <c r="C48" s="101" t="str">
        <v>站内推广费</v>
      </c>
      <c r="D48" s="95" t="str">
        <v>营销费用</v>
      </c>
      <c r="E48" s="105" t="str">
        <v>京东自营-京挑客</v>
      </c>
      <c r="F48" s="100">
        <f>VLOOKUP(E48,'收集数据表'!A:K,6,0)</f>
      </c>
      <c r="G48" s="100" t="str">
        <v>平台电商推广</v>
      </c>
      <c r="H48" s="97" t="str">
        <v>京东渠道推广（自营）</v>
      </c>
      <c r="I48" s="95" t="str">
        <v>品牌运营中心</v>
      </c>
      <c r="J48" s="95" t="str">
        <v>渠道运营部</v>
      </c>
      <c r="K48" s="95" t="str">
        <v>特色电商部</v>
      </c>
      <c r="L48" s="95" t="str">
        <v>京东唯品推广组</v>
      </c>
      <c r="M48" s="98" t="str">
        <v>销售费用_营销费用_线上推广费</v>
      </c>
      <c r="N48" s="98" t="str">
        <v>6601.36.24</v>
      </c>
      <c r="O48" s="98"/>
      <c r="P48" s="98" t="str">
        <v>技术服务费？服务费？广告费？</v>
      </c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</row>
    <row r="49">
      <c r="A49" s="95">
        <f>ROW(B49)-2</f>
      </c>
      <c r="B49" s="96" t="str">
        <v>渠道推广费</v>
      </c>
      <c r="C49" s="101" t="str">
        <v>站内推广费</v>
      </c>
      <c r="D49" s="95" t="str">
        <v>营销费用</v>
      </c>
      <c r="E49" s="105" t="str">
        <v>京东自营-京任务</v>
      </c>
      <c r="F49" s="100">
        <f>VLOOKUP(E49,'收集数据表'!A:K,6,0)</f>
      </c>
      <c r="G49" s="100" t="str">
        <v>平台电商推广</v>
      </c>
      <c r="H49" s="97" t="str">
        <v>京东渠道推广（自营）</v>
      </c>
      <c r="I49" s="95" t="str">
        <v>品牌运营中心</v>
      </c>
      <c r="J49" s="95" t="str">
        <v>渠道运营部</v>
      </c>
      <c r="K49" s="95" t="str">
        <v>特色电商部</v>
      </c>
      <c r="L49" s="95" t="str">
        <v>京东唯品推广组</v>
      </c>
      <c r="M49" s="98" t="str">
        <v>销售费用_营销费用_线上推广费</v>
      </c>
      <c r="N49" s="98" t="str">
        <v>6601.36.24</v>
      </c>
      <c r="O49" s="98"/>
      <c r="P49" s="98" t="str">
        <v>技术服务费？服务费？广告费？</v>
      </c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</row>
    <row r="50">
      <c r="A50" s="95">
        <f>ROW(B50)-2</f>
      </c>
      <c r="B50" s="96" t="str">
        <v>渠道推广费</v>
      </c>
      <c r="C50" s="101" t="str">
        <v>站内推广费</v>
      </c>
      <c r="D50" s="95" t="str">
        <v>营销费用</v>
      </c>
      <c r="E50" s="105" t="str">
        <v>京东自营-京桥</v>
      </c>
      <c r="F50" s="100">
        <f>VLOOKUP(E50,'收集数据表'!A:K,6,0)</f>
      </c>
      <c r="G50" s="100" t="str">
        <v>平台电商推广</v>
      </c>
      <c r="H50" s="97" t="str">
        <v>京东渠道推广（自营）</v>
      </c>
      <c r="I50" s="95" t="str">
        <v>品牌运营中心</v>
      </c>
      <c r="J50" s="95" t="str">
        <v>渠道运营部</v>
      </c>
      <c r="K50" s="95" t="str">
        <v>特色电商部</v>
      </c>
      <c r="L50" s="95" t="str">
        <v>京东唯品推广组</v>
      </c>
      <c r="M50" s="98" t="str">
        <v>销售费用_营销费用_线上推广费</v>
      </c>
      <c r="N50" s="98" t="str">
        <v>6601.36.24</v>
      </c>
      <c r="O50" s="98"/>
      <c r="P50" s="98" t="str">
        <v>技术服务费？服务费？广告费？</v>
      </c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</row>
    <row r="51">
      <c r="A51" s="95">
        <f>ROW(B51)-2</f>
      </c>
      <c r="B51" s="96" t="str">
        <v>渠道推广费</v>
      </c>
      <c r="C51" s="101" t="str">
        <v>站内推广费</v>
      </c>
      <c r="D51" s="95" t="str">
        <v>营销费用</v>
      </c>
      <c r="E51" s="105" t="str">
        <v>京东自营-合约展位</v>
      </c>
      <c r="F51" s="100">
        <f>VLOOKUP(E51,'收集数据表'!A:K,6,0)</f>
      </c>
      <c r="G51" s="100" t="str">
        <v>平台电商推广</v>
      </c>
      <c r="H51" s="97" t="str">
        <v>京东渠道推广（自营）</v>
      </c>
      <c r="I51" s="95" t="str">
        <v>品牌运营中心</v>
      </c>
      <c r="J51" s="95" t="str">
        <v>渠道运营部</v>
      </c>
      <c r="K51" s="95" t="str">
        <v>特色电商部</v>
      </c>
      <c r="L51" s="95" t="str">
        <v>京东唯品推广组</v>
      </c>
      <c r="M51" s="98" t="str">
        <v>销售费用_营销费用_线上推广费</v>
      </c>
      <c r="N51" s="98" t="str">
        <v>6601.36.24</v>
      </c>
      <c r="O51" s="98"/>
      <c r="P51" s="98" t="str">
        <v>技术服务费？服务费？广告费？</v>
      </c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</row>
    <row r="52">
      <c r="A52" s="95">
        <f>ROW(B52)-2</f>
      </c>
      <c r="B52" s="96" t="str">
        <v>渠道推广费</v>
      </c>
      <c r="C52" s="101" t="str">
        <v>站内推广费</v>
      </c>
      <c r="D52" s="95" t="str">
        <v>营销费用</v>
      </c>
      <c r="E52" s="105" t="str">
        <v>京东自营-联合活动</v>
      </c>
      <c r="F52" s="100">
        <f>VLOOKUP(E52,'收集数据表'!A:K,6,0)</f>
      </c>
      <c r="G52" s="100" t="str">
        <v>平台电商推广</v>
      </c>
      <c r="H52" s="97" t="str">
        <v>京东渠道推广（自营）</v>
      </c>
      <c r="I52" s="95" t="str">
        <v>品牌运营中心</v>
      </c>
      <c r="J52" s="95" t="str">
        <v>渠道运营部</v>
      </c>
      <c r="K52" s="95" t="str">
        <v>特色电商部</v>
      </c>
      <c r="L52" s="95" t="str">
        <v>京东唯品推广组</v>
      </c>
      <c r="M52" s="98" t="str">
        <v>销售费用_营销费用_线上推广费</v>
      </c>
      <c r="N52" s="98" t="str">
        <v>6601.36.24</v>
      </c>
      <c r="O52" s="98"/>
      <c r="P52" s="98" t="str">
        <v>技术服务费？服务费？广告费？</v>
      </c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</row>
    <row r="53">
      <c r="A53" s="95">
        <f>ROW(B53)-2</f>
      </c>
      <c r="B53" s="96" t="str">
        <v>渠道推广费</v>
      </c>
      <c r="C53" s="101" t="str">
        <v>站内推广费</v>
      </c>
      <c r="D53" s="95" t="str">
        <v>营销费用</v>
      </c>
      <c r="E53" s="105" t="str">
        <v>京东POP-京准通常规投放</v>
      </c>
      <c r="F53" s="100">
        <f>VLOOKUP(E53,'收集数据表'!A:K,6,0)</f>
      </c>
      <c r="G53" s="100" t="str">
        <v>平台电商推广</v>
      </c>
      <c r="H53" s="97" t="str">
        <v>京东渠道推广（POP）</v>
      </c>
      <c r="I53" s="95" t="str">
        <v>品牌运营中心</v>
      </c>
      <c r="J53" s="95" t="str">
        <v>渠道运营部</v>
      </c>
      <c r="K53" s="95" t="str">
        <v>特色电商部</v>
      </c>
      <c r="L53" s="95" t="str">
        <v>京东唯品推广组</v>
      </c>
      <c r="M53" s="98" t="str">
        <v>销售费用_营销费用_线上推广费</v>
      </c>
      <c r="N53" s="98" t="str">
        <v>6601.36.24</v>
      </c>
      <c r="O53" s="98"/>
      <c r="P53" s="98" t="str">
        <v>技术服务费？服务费？广告费？</v>
      </c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</row>
    <row r="54">
      <c r="A54" s="95">
        <f>ROW(B54)-2</f>
      </c>
      <c r="B54" s="96" t="str">
        <v>渠道推广费</v>
      </c>
      <c r="C54" s="101" t="str">
        <v>站内推广费</v>
      </c>
      <c r="D54" s="95" t="str">
        <v>营销费用</v>
      </c>
      <c r="E54" s="105" t="str">
        <v>京东POP-京挑客</v>
      </c>
      <c r="F54" s="100">
        <f>VLOOKUP(E54,'收集数据表'!A:K,6,0)</f>
      </c>
      <c r="G54" s="100" t="str">
        <v>平台电商推广</v>
      </c>
      <c r="H54" s="97" t="str">
        <v>京东渠道推广（POP）</v>
      </c>
      <c r="I54" s="95" t="str">
        <v>品牌运营中心</v>
      </c>
      <c r="J54" s="95" t="str">
        <v>渠道运营部</v>
      </c>
      <c r="K54" s="95" t="str">
        <v>特色电商部</v>
      </c>
      <c r="L54" s="95" t="str">
        <v>京东唯品推广组</v>
      </c>
      <c r="M54" s="98" t="str">
        <v>销售费用_营销费用_线上推广费</v>
      </c>
      <c r="N54" s="98" t="str">
        <v>6601.36.24</v>
      </c>
      <c r="O54" s="98"/>
      <c r="P54" s="98" t="str">
        <v>技术服务费？服务费？广告费？</v>
      </c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</row>
    <row r="55">
      <c r="A55" s="95">
        <f>ROW(B55)-2</f>
      </c>
      <c r="B55" s="96" t="str">
        <v>渠道推广费</v>
      </c>
      <c r="C55" s="101" t="str">
        <v>站内推广费</v>
      </c>
      <c r="D55" s="95" t="str">
        <v>营销费用</v>
      </c>
      <c r="E55" s="105" t="str">
        <v>京东POP-京任务</v>
      </c>
      <c r="F55" s="100">
        <f>VLOOKUP(E55,'收集数据表'!A:K,6,0)</f>
      </c>
      <c r="G55" s="100" t="str">
        <v>平台电商推广</v>
      </c>
      <c r="H55" s="97" t="str">
        <v>京东渠道推广（POP）</v>
      </c>
      <c r="I55" s="95" t="str">
        <v>品牌运营中心</v>
      </c>
      <c r="J55" s="95" t="str">
        <v>渠道运营部</v>
      </c>
      <c r="K55" s="95" t="str">
        <v>特色电商部</v>
      </c>
      <c r="L55" s="95" t="str">
        <v>京东唯品推广组</v>
      </c>
      <c r="M55" s="98" t="str">
        <v>销售费用_营销费用_线上推广费</v>
      </c>
      <c r="N55" s="98" t="str">
        <v>6601.36.24</v>
      </c>
      <c r="O55" s="98"/>
      <c r="P55" s="98" t="str">
        <v>技术服务费？服务费？广告费？</v>
      </c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</row>
    <row r="56">
      <c r="A56" s="95">
        <f>ROW(B56)-2</f>
      </c>
      <c r="B56" s="96" t="str">
        <v>渠道推广费</v>
      </c>
      <c r="C56" s="101" t="str">
        <v>站内推广费</v>
      </c>
      <c r="D56" s="95" t="str">
        <v>营销费用</v>
      </c>
      <c r="E56" s="105" t="str">
        <v>京东POP-京桥</v>
      </c>
      <c r="F56" s="100">
        <f>VLOOKUP(E56,'收集数据表'!A:K,6,0)</f>
      </c>
      <c r="G56" s="100" t="str">
        <v>平台电商推广</v>
      </c>
      <c r="H56" s="97" t="str">
        <v>京东渠道推广（POP）</v>
      </c>
      <c r="I56" s="95" t="str">
        <v>品牌运营中心</v>
      </c>
      <c r="J56" s="95" t="str">
        <v>渠道运营部</v>
      </c>
      <c r="K56" s="95" t="str">
        <v>特色电商部</v>
      </c>
      <c r="L56" s="95" t="str">
        <v>京东唯品推广组</v>
      </c>
      <c r="M56" s="98" t="str">
        <v>销售费用_营销费用_线上推广费</v>
      </c>
      <c r="N56" s="98" t="str">
        <v>6601.36.24</v>
      </c>
      <c r="O56" s="98"/>
      <c r="P56" s="98" t="str">
        <v>技术服务费？服务费？广告费？</v>
      </c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</row>
    <row r="57">
      <c r="A57" s="95">
        <f>ROW(B57)-2</f>
      </c>
      <c r="B57" s="96" t="str">
        <v>渠道推广费</v>
      </c>
      <c r="C57" s="101" t="str">
        <v>站内推广费</v>
      </c>
      <c r="D57" s="95" t="str">
        <v>营销费用</v>
      </c>
      <c r="E57" s="105" t="str">
        <v>京东POP-合约展位</v>
      </c>
      <c r="F57" s="100">
        <f>VLOOKUP(E57,'收集数据表'!A:K,6,0)</f>
      </c>
      <c r="G57" s="100" t="str">
        <v>平台电商推广</v>
      </c>
      <c r="H57" s="97" t="str">
        <v>京东渠道推广（POP）</v>
      </c>
      <c r="I57" s="95" t="str">
        <v>品牌运营中心</v>
      </c>
      <c r="J57" s="95" t="str">
        <v>渠道运营部</v>
      </c>
      <c r="K57" s="95" t="str">
        <v>特色电商部</v>
      </c>
      <c r="L57" s="95" t="str">
        <v>京东唯品推广组</v>
      </c>
      <c r="M57" s="98" t="str">
        <v>销售费用_营销费用_线上推广费</v>
      </c>
      <c r="N57" s="98" t="str">
        <v>6601.36.24</v>
      </c>
      <c r="O57" s="98"/>
      <c r="P57" s="98" t="str">
        <v>技术服务费？服务费？广告费？</v>
      </c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</row>
    <row r="58">
      <c r="A58" s="95">
        <f>ROW(B58)-2</f>
      </c>
      <c r="B58" s="96" t="str">
        <v>渠道推广费</v>
      </c>
      <c r="C58" s="101" t="str">
        <v>站内推广费</v>
      </c>
      <c r="D58" s="95" t="str">
        <v>营销费用</v>
      </c>
      <c r="E58" s="105" t="str">
        <v>京东POP-联合活动</v>
      </c>
      <c r="F58" s="100">
        <f>VLOOKUP(E58,'收集数据表'!A:K,6,0)</f>
      </c>
      <c r="G58" s="100" t="str">
        <v>平台电商推广</v>
      </c>
      <c r="H58" s="97" t="str">
        <v>京东渠道推广（POP）</v>
      </c>
      <c r="I58" s="95" t="str">
        <v>品牌运营中心</v>
      </c>
      <c r="J58" s="95" t="str">
        <v>渠道运营部</v>
      </c>
      <c r="K58" s="95" t="str">
        <v>特色电商部</v>
      </c>
      <c r="L58" s="95" t="str">
        <v>京东唯品推广组</v>
      </c>
      <c r="M58" s="98" t="str">
        <v>销售费用_营销费用_线上推广费</v>
      </c>
      <c r="N58" s="98" t="str">
        <v>6601.36.24</v>
      </c>
      <c r="O58" s="98"/>
      <c r="P58" s="98" t="str">
        <v>技术服务费？服务费？广告费？</v>
      </c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</row>
    <row r="59">
      <c r="A59" s="95">
        <f>ROW(B59)-2</f>
      </c>
      <c r="B59" s="96" t="str">
        <v>品牌宣传费</v>
      </c>
      <c r="C59" s="96" t="str">
        <v>明星合作费</v>
      </c>
      <c r="D59" s="95" t="str">
        <v>营销费用</v>
      </c>
      <c r="E59" s="99">
        <f>H59</f>
      </c>
      <c r="F59" s="100">
        <f>VLOOKUP(E59,'收集数据表'!A:K,6,0)</f>
      </c>
      <c r="G59" s="100" t="str">
        <v>品牌项目</v>
      </c>
      <c r="H59" s="97" t="str">
        <v>日常-创意与物料</v>
      </c>
      <c r="I59" s="95" t="str">
        <v>品牌产品中心</v>
      </c>
      <c r="J59" s="95" t="str">
        <v>品牌营销部</v>
      </c>
      <c r="K59" s="95"/>
      <c r="L59" s="95"/>
      <c r="M59" s="98" t="str">
        <v>销售费用_营销费用_明星合作费</v>
      </c>
      <c r="N59" s="98" t="str">
        <v>6601.36.12</v>
      </c>
      <c r="O59" s="98"/>
      <c r="P59" s="98" t="str">
        <v>代言费</v>
      </c>
      <c r="Q59" s="95" t="str">
        <v>Y</v>
      </c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</row>
    <row r="60">
      <c r="A60" s="95">
        <f>ROW(B60)-2</f>
      </c>
      <c r="B60" s="96" t="str">
        <v>渠道推广费</v>
      </c>
      <c r="C60" s="101" t="str">
        <v>站内推广费</v>
      </c>
      <c r="D60" s="95" t="str">
        <v>营销费用</v>
      </c>
      <c r="E60" s="98" t="str">
        <v>唯品会-唯品常规投放</v>
      </c>
      <c r="F60" s="100">
        <f>VLOOKUP(E60,'收集数据表'!A:K,6,0)</f>
      </c>
      <c r="G60" s="100" t="str">
        <v>平台电商推广</v>
      </c>
      <c r="H60" s="97" t="str">
        <v>唯品渠道推广</v>
      </c>
      <c r="I60" s="95" t="str">
        <v>品牌运营中心</v>
      </c>
      <c r="J60" s="95" t="str">
        <v>渠道运营部</v>
      </c>
      <c r="K60" s="95" t="str">
        <v>特色电商部</v>
      </c>
      <c r="L60" s="95" t="str">
        <v>京东唯品推广组</v>
      </c>
      <c r="M60" s="98" t="str">
        <v>销售费用_营销费用_线上推广费</v>
      </c>
      <c r="N60" s="98" t="str">
        <v>6601.36.24</v>
      </c>
      <c r="O60" s="98"/>
      <c r="P60" s="98" t="str">
        <v>技术服务费？服务费？</v>
      </c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</row>
    <row r="61">
      <c r="A61" s="95">
        <f>ROW(B61)-2</f>
      </c>
      <c r="B61" s="96" t="str">
        <v>渠道推广费</v>
      </c>
      <c r="C61" s="101" t="str">
        <v>站内推广费</v>
      </c>
      <c r="D61" s="95" t="str">
        <v>营销费用</v>
      </c>
      <c r="E61" s="98" t="str">
        <v>唯品会-达人卖货</v>
      </c>
      <c r="F61" s="100">
        <f>VLOOKUP(E61,'收集数据表'!A:K,6,0)</f>
      </c>
      <c r="G61" s="100" t="str">
        <v>平台电商推广</v>
      </c>
      <c r="H61" s="97" t="str">
        <v>唯品渠道推广</v>
      </c>
      <c r="I61" s="95" t="str">
        <v>品牌运营中心</v>
      </c>
      <c r="J61" s="95" t="str">
        <v>渠道运营部</v>
      </c>
      <c r="K61" s="95" t="str">
        <v>特色电商部</v>
      </c>
      <c r="L61" s="95" t="str">
        <v>京东唯品推广组</v>
      </c>
      <c r="M61" s="98" t="str">
        <v>销售费用_营销费用_线上推广费</v>
      </c>
      <c r="N61" s="98" t="str">
        <v>6601.36.24</v>
      </c>
      <c r="O61" s="98"/>
      <c r="P61" s="98" t="str">
        <v>技术服务费？服务费？</v>
      </c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</row>
    <row r="62">
      <c r="A62" s="95">
        <f>ROW(B62)-2</f>
      </c>
      <c r="B62" s="96" t="str">
        <v>渠道推广费</v>
      </c>
      <c r="C62" s="101" t="str">
        <v>站内推广费</v>
      </c>
      <c r="D62" s="95" t="str">
        <v>营销费用</v>
      </c>
      <c r="E62" s="98" t="str">
        <v>自营其他</v>
      </c>
      <c r="F62" s="100">
        <f>VLOOKUP(E62,'收集数据表'!A:K,6,0)</f>
      </c>
      <c r="G62" s="100" t="str">
        <v>平台电商推广</v>
      </c>
      <c r="H62" s="97" t="str">
        <v>自营其他渠道推广</v>
      </c>
      <c r="I62" s="95" t="str">
        <v>品牌运营中心</v>
      </c>
      <c r="J62" s="95" t="str">
        <v>渠道运营部</v>
      </c>
      <c r="K62" s="95" t="str">
        <v>综合渠道运营部</v>
      </c>
      <c r="L62" s="95" t="str">
        <v>综合渠道推广部</v>
      </c>
      <c r="M62" s="98" t="str">
        <v>销售费用_营销费用_线上推广费</v>
      </c>
      <c r="N62" s="98" t="str">
        <v>6601.36.24</v>
      </c>
      <c r="O62" s="98"/>
      <c r="P62" s="98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</row>
    <row r="63">
      <c r="A63" s="95">
        <f>ROW(B63)-2</f>
      </c>
      <c r="B63" s="96" t="str">
        <v>渠道推广费</v>
      </c>
      <c r="C63" s="101" t="str">
        <v>站内推广费</v>
      </c>
      <c r="D63" s="95" t="str">
        <v>营销费用</v>
      </c>
      <c r="E63" s="98" t="str">
        <v>拼多多</v>
      </c>
      <c r="F63" s="100">
        <f>VLOOKUP(E63,'收集数据表'!A:K,6,0)</f>
      </c>
      <c r="G63" s="100" t="str">
        <v>平台电商推广</v>
      </c>
      <c r="H63" s="97" t="str">
        <v>拼多多渠道推广</v>
      </c>
      <c r="I63" s="95" t="str">
        <v>品牌运营中心</v>
      </c>
      <c r="J63" s="95" t="str">
        <v>渠道运营部</v>
      </c>
      <c r="K63" s="95" t="str">
        <v>综合渠道运营部</v>
      </c>
      <c r="L63" s="95" t="str">
        <v>综合渠道推广部</v>
      </c>
      <c r="M63" s="98" t="str">
        <v>销售费用_营销费用_线上推广费</v>
      </c>
      <c r="N63" s="98" t="str">
        <v>6601.36.24</v>
      </c>
      <c r="O63" s="98"/>
      <c r="P63" s="98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</row>
    <row r="64">
      <c r="A64" s="95">
        <f>ROW(B64)-2</f>
      </c>
      <c r="B64" s="96" t="str">
        <v>渠道推广费</v>
      </c>
      <c r="C64" s="101" t="str">
        <v>站外推广费</v>
      </c>
      <c r="D64" s="95" t="str">
        <v>营销费用</v>
      </c>
      <c r="E64" s="98" t="str">
        <v>AD信息流</v>
      </c>
      <c r="F64" s="100">
        <f>VLOOKUP(E64,'收集数据表'!A:K,6,0)</f>
      </c>
      <c r="G64" s="100" t="str">
        <v>平台电商推广</v>
      </c>
      <c r="H64" s="97" t="str">
        <v>竞价信息流-天猫</v>
      </c>
      <c r="I64" s="95" t="str">
        <v>品牌运营中心</v>
      </c>
      <c r="J64" s="95" t="str">
        <v>运营策略部</v>
      </c>
      <c r="K64" s="95" t="str">
        <v>天猫运营部</v>
      </c>
      <c r="L64" s="95" t="str">
        <v>天猫推广组</v>
      </c>
      <c r="M64" s="98" t="str">
        <v>销售费用_营销费用_线上推广费</v>
      </c>
      <c r="N64" s="98" t="str">
        <v>6601.36.24</v>
      </c>
      <c r="O64" s="98"/>
      <c r="P64" s="98" t="str">
        <v>技术服务费？服务费？</v>
      </c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</row>
    <row r="65">
      <c r="A65" s="95">
        <f>ROW(B65)-2</f>
      </c>
      <c r="B65" s="96" t="str">
        <v>渠道推广费</v>
      </c>
      <c r="C65" s="101" t="str">
        <v>站外推广费</v>
      </c>
      <c r="D65" s="95" t="str">
        <v>营销费用</v>
      </c>
      <c r="E65" s="98" t="str">
        <v>UD信息流</v>
      </c>
      <c r="F65" s="100">
        <f>VLOOKUP(E65,'收集数据表'!A:K,6,0)</f>
      </c>
      <c r="G65" s="100" t="str">
        <v>平台电商推广</v>
      </c>
      <c r="H65" s="97" t="str">
        <v>竞价信息流-天猫</v>
      </c>
      <c r="I65" s="95" t="str">
        <v>品牌运营中心</v>
      </c>
      <c r="J65" s="95" t="str">
        <v>运营策略部</v>
      </c>
      <c r="K65" s="95" t="str">
        <v>天猫运营部</v>
      </c>
      <c r="L65" s="95" t="str">
        <v>天猫推广组</v>
      </c>
      <c r="M65" s="98" t="str">
        <v>销售费用_营销费用_线上推广费</v>
      </c>
      <c r="N65" s="98" t="str">
        <v>6601.36.24</v>
      </c>
      <c r="O65" s="98"/>
      <c r="P65" s="98" t="str">
        <v>技术服务费？服务费？</v>
      </c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</row>
    <row r="66">
      <c r="A66" s="95">
        <f>ROW(B66)-2</f>
      </c>
      <c r="B66" s="96" t="str">
        <v>渠道推广费</v>
      </c>
      <c r="C66" s="101" t="str">
        <v>站外推广费</v>
      </c>
      <c r="D66" s="95" t="str">
        <v>营销费用</v>
      </c>
      <c r="E66" s="98" t="str">
        <v>磁力引擎</v>
      </c>
      <c r="F66" s="100">
        <f>VLOOKUP(E66,'收集数据表'!A:K,6,0)</f>
      </c>
      <c r="G66" s="100" t="str">
        <v>平台电商推广</v>
      </c>
      <c r="H66" s="97" t="str">
        <v>竞价信息流-天猫</v>
      </c>
      <c r="I66" s="95" t="str">
        <v>品牌运营中心</v>
      </c>
      <c r="J66" s="95" t="str">
        <v>运营策略部</v>
      </c>
      <c r="K66" s="95" t="str">
        <v>天猫运营部</v>
      </c>
      <c r="L66" s="95" t="str">
        <v>天猫推广组</v>
      </c>
      <c r="M66" s="98" t="str">
        <v>销售费用_营销费用_线上推广费</v>
      </c>
      <c r="N66" s="98" t="str">
        <v>6601.36.24</v>
      </c>
      <c r="O66" s="98"/>
      <c r="P66" s="98" t="str">
        <v>技术服务费？服务费？</v>
      </c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</row>
    <row r="67">
      <c r="A67" s="95">
        <f>ROW(B67)-2</f>
      </c>
      <c r="B67" s="96" t="str">
        <v>渠道推广费</v>
      </c>
      <c r="C67" s="101" t="str">
        <v>站内推广费</v>
      </c>
      <c r="D67" s="95" t="str">
        <v>营销费用</v>
      </c>
      <c r="E67" s="98" t="str">
        <v>磁力金牛</v>
      </c>
      <c r="F67" s="100">
        <f>VLOOKUP(E67,'收集数据表'!A:K,6,0)</f>
      </c>
      <c r="G67" s="100" t="str">
        <v>直播电商推广</v>
      </c>
      <c r="H67" s="97" t="str">
        <v>快手电商渠道推广</v>
      </c>
      <c r="I67" s="95" t="str">
        <v>品牌运营中心</v>
      </c>
      <c r="J67" s="95" t="str">
        <v>运营策略部</v>
      </c>
      <c r="K67" s="95" t="str">
        <v>天猫运营部</v>
      </c>
      <c r="L67" s="95" t="str">
        <v>天猫推广组</v>
      </c>
      <c r="M67" s="98" t="str">
        <v>销售费用_营销费用_线上推广费</v>
      </c>
      <c r="N67" s="98" t="str">
        <v>6601.36.24</v>
      </c>
      <c r="O67" s="98"/>
      <c r="P67" s="98" t="str">
        <v>技术服务费？服务费？</v>
      </c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</row>
    <row r="68">
      <c r="A68" s="95">
        <f>ROW(B68)-2</f>
      </c>
      <c r="B68" s="96" t="str">
        <v>渠道推广费</v>
      </c>
      <c r="C68" s="101" t="str">
        <v>站外推广费</v>
      </c>
      <c r="D68" s="95" t="str">
        <v>营销费用</v>
      </c>
      <c r="E68" s="98" t="str">
        <v>百度SEO竞价广告</v>
      </c>
      <c r="F68" s="100">
        <f>VLOOKUP(E68,'收集数据表'!A:K,6,0)</f>
      </c>
      <c r="G68" s="100" t="str">
        <v>平台电商推广</v>
      </c>
      <c r="H68" s="97" t="str">
        <v>竞价信息流-天猫</v>
      </c>
      <c r="I68" s="95" t="str">
        <v>品牌运营中心</v>
      </c>
      <c r="J68" s="95" t="str">
        <v>运营策略部</v>
      </c>
      <c r="K68" s="95" t="str">
        <v>天猫运营部</v>
      </c>
      <c r="L68" s="95" t="str">
        <v>天猫推广组</v>
      </c>
      <c r="M68" s="98" t="str">
        <v>销售费用_营销费用_线上推广费</v>
      </c>
      <c r="N68" s="98" t="str">
        <v>6601.36.24</v>
      </c>
      <c r="O68" s="98"/>
      <c r="P68" s="98" t="str">
        <v>技术服务费？服务费？</v>
      </c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</row>
    <row r="69">
      <c r="A69" s="95">
        <f>ROW(B69)-2</f>
      </c>
      <c r="B69" s="96" t="str">
        <v>渠道推广费</v>
      </c>
      <c r="C69" s="101" t="str">
        <v>站外推广费</v>
      </c>
      <c r="D69" s="95" t="str">
        <v>营销费用</v>
      </c>
      <c r="E69" s="98" t="str">
        <v>百度SEO搜索广告</v>
      </c>
      <c r="F69" s="100">
        <f>VLOOKUP(E69,'收集数据表'!A:K,6,0)</f>
      </c>
      <c r="G69" s="100" t="str">
        <v>平台电商推广</v>
      </c>
      <c r="H69" s="97" t="str">
        <v>竞价信息流-天猫</v>
      </c>
      <c r="I69" s="95" t="str">
        <v>品牌运营中心</v>
      </c>
      <c r="J69" s="95" t="str">
        <v>运营策略部</v>
      </c>
      <c r="K69" s="95" t="str">
        <v>天猫运营部</v>
      </c>
      <c r="L69" s="95" t="str">
        <v>天猫推广组</v>
      </c>
      <c r="M69" s="98" t="str">
        <v>销售费用_营销费用_线上推广费</v>
      </c>
      <c r="N69" s="98" t="str">
        <v>6601.36.24</v>
      </c>
      <c r="O69" s="98"/>
      <c r="P69" s="98" t="str">
        <v>技术服务费？服务费？</v>
      </c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</row>
    <row r="70">
      <c r="A70" s="95">
        <f>ROW(B70)-2</f>
      </c>
      <c r="B70" s="96" t="str">
        <v>渠道推广费</v>
      </c>
      <c r="C70" s="101" t="str">
        <v>站内推广费</v>
      </c>
      <c r="D70" s="95" t="str">
        <v>营销费用</v>
      </c>
      <c r="E70" s="100" t="str">
        <v>微信-店铺</v>
      </c>
      <c r="F70" s="100">
        <f>VLOOKUP(E70,'收集数据表'!A:K,6,0)</f>
      </c>
      <c r="G70" s="100" t="str">
        <v>社交电商推广</v>
      </c>
      <c r="H70" s="97" t="str">
        <v>微信-店铺</v>
      </c>
      <c r="I70" s="95" t="str">
        <v>品牌运营中心</v>
      </c>
      <c r="J70" s="95" t="str">
        <v>渠道运营部</v>
      </c>
      <c r="K70" s="95" t="str">
        <v>综合渠道运营部</v>
      </c>
      <c r="L70" s="95" t="str">
        <v>综合渠道推广部</v>
      </c>
      <c r="M70" s="98" t="str">
        <v>销售费用_营销费用_线上推广费</v>
      </c>
      <c r="N70" s="98" t="str">
        <v>6601.36.24</v>
      </c>
      <c r="O70" s="98"/>
      <c r="P70" s="98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</row>
    <row r="71">
      <c r="A71" s="95">
        <f>ROW(B71)-2</f>
      </c>
      <c r="B71" s="96" t="str">
        <v>其他费用</v>
      </c>
      <c r="C71" s="96" t="str">
        <v>场地租赁费</v>
      </c>
      <c r="D71" s="95" t="str">
        <v>营销费用</v>
      </c>
      <c r="E71" s="98">
        <f>H71&amp;"-"&amp;LEFT(C71,4)</f>
      </c>
      <c r="F71" s="100">
        <f>VLOOKUP(E71,'收集数据表'!A:K,6,0)</f>
      </c>
      <c r="G71" s="100" t="str">
        <v>品类内容推广</v>
      </c>
      <c r="H71" s="97" t="str">
        <v>AD竞价内容创意</v>
      </c>
      <c r="I71" s="95" t="str">
        <v>品牌运营中心</v>
      </c>
      <c r="J71" s="95" t="str">
        <v>市场广告推广部</v>
      </c>
      <c r="K71" s="95" t="str">
        <v>广告投放部</v>
      </c>
      <c r="L71" s="95" t="str">
        <v>内容策划组</v>
      </c>
      <c r="M71" s="98">
        <f>"销售费用_"&amp;D71&amp;"_"&amp;C71</f>
      </c>
      <c r="N71" s="98" t="str">
        <v>6601.36.02</v>
      </c>
      <c r="O71" s="98"/>
      <c r="P71" s="98">
        <f>C71</f>
      </c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</row>
    <row r="72">
      <c r="A72" s="95">
        <f>ROW(B72)-2</f>
      </c>
      <c r="B72" s="123" t="str">
        <v>其他费用</v>
      </c>
      <c r="C72" s="96" t="str">
        <v>舞台场地搭建费</v>
      </c>
      <c r="D72" s="95" t="str">
        <v>营销费用</v>
      </c>
      <c r="E72" s="98">
        <f>H72&amp;"-"&amp;LEFT(C72,4)</f>
      </c>
      <c r="F72" s="100">
        <f>VLOOKUP(E72,'收集数据表'!A:K,6,0)</f>
      </c>
      <c r="G72" s="100" t="str">
        <v>品类内容推广</v>
      </c>
      <c r="H72" s="97" t="str">
        <v>AD竞价内容创意</v>
      </c>
      <c r="I72" s="95" t="str">
        <v>品牌运营中心</v>
      </c>
      <c r="J72" s="95" t="str">
        <v>市场广告推广部</v>
      </c>
      <c r="K72" s="95" t="str">
        <v>广告投放部</v>
      </c>
      <c r="L72" s="95" t="str">
        <v>内容策划组</v>
      </c>
      <c r="M72" s="98" t="str">
        <v>销售费用_营销费用_搭建服务费</v>
      </c>
      <c r="N72" s="98" t="str">
        <v>6601.36.03</v>
      </c>
      <c r="O72" s="98"/>
      <c r="P72" s="98" t="str">
        <v>搭建服务费</v>
      </c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</row>
    <row r="73">
      <c r="A73" s="95">
        <f>ROW(B73)-2</f>
      </c>
      <c r="B73" s="96" t="str">
        <v>其他费用</v>
      </c>
      <c r="C73" s="96" t="str">
        <v>设备租赁费</v>
      </c>
      <c r="D73" s="95" t="str">
        <v>营销费用</v>
      </c>
      <c r="E73" s="98">
        <f>H73&amp;"-"&amp;LEFT(C73,4)</f>
      </c>
      <c r="F73" s="100">
        <f>VLOOKUP(E73,'收集数据表'!A:K,6,0)</f>
      </c>
      <c r="G73" s="100" t="str">
        <v>品类内容推广</v>
      </c>
      <c r="H73" s="97" t="str">
        <v>AD竞价内容创意</v>
      </c>
      <c r="I73" s="95" t="str">
        <v>品牌运营中心</v>
      </c>
      <c r="J73" s="95" t="str">
        <v>市场广告推广部</v>
      </c>
      <c r="K73" s="95" t="str">
        <v>广告投放部</v>
      </c>
      <c r="L73" s="95" t="str">
        <v>内容策划组</v>
      </c>
      <c r="M73" s="98">
        <f>"销售费用_"&amp;D73&amp;"_"&amp;C73</f>
      </c>
      <c r="N73" s="98" t="str">
        <v>6601.36.19</v>
      </c>
      <c r="O73" s="98"/>
      <c r="P73" s="98">
        <f>C73</f>
      </c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</row>
    <row r="74">
      <c r="A74" s="95">
        <f>ROW(B74)-2</f>
      </c>
      <c r="B74" s="96" t="str">
        <v>内容制作费</v>
      </c>
      <c r="C74" s="96" t="str">
        <v>视频制作费</v>
      </c>
      <c r="D74" s="95" t="str">
        <v>营销费用</v>
      </c>
      <c r="E74" s="99">
        <f>H74</f>
      </c>
      <c r="F74" s="100">
        <f>VLOOKUP(E74,'收集数据表'!A:K,6,0)</f>
      </c>
      <c r="G74" s="100" t="str">
        <v>品牌项目</v>
      </c>
      <c r="H74" s="97" t="str">
        <v>IMC花养</v>
      </c>
      <c r="I74" s="95" t="str">
        <v>品牌产品中心</v>
      </c>
      <c r="J74" s="95" t="str">
        <v>品牌营销部</v>
      </c>
      <c r="K74" s="95"/>
      <c r="L74" s="95"/>
      <c r="M74" s="98">
        <f>"销售费用_"&amp;D74&amp;"_"&amp;C74</f>
      </c>
      <c r="N74" s="98" t="str">
        <v>6601.36.21</v>
      </c>
      <c r="O74" s="98"/>
      <c r="P74" s="98">
        <f>C74</f>
      </c>
      <c r="Q74" s="95" t="str">
        <v>Y</v>
      </c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</row>
    <row r="75">
      <c r="A75" s="95">
        <f>ROW(B75)-2</f>
      </c>
      <c r="B75" s="96" t="str">
        <v>内容制作费</v>
      </c>
      <c r="C75" s="96" t="str">
        <v>视频制作费</v>
      </c>
      <c r="D75" s="95" t="str">
        <v>营销费用</v>
      </c>
      <c r="E75" s="99">
        <f>H75</f>
      </c>
      <c r="F75" s="100">
        <f>VLOOKUP(E75,'收集数据表'!A:K,6,0)</f>
      </c>
      <c r="G75" s="100" t="str">
        <v>品牌项目</v>
      </c>
      <c r="H75" s="97" t="str">
        <v>IMC国妆</v>
      </c>
      <c r="I75" s="95" t="str">
        <v>品牌产品中心</v>
      </c>
      <c r="J75" s="95" t="str">
        <v>品牌营销部</v>
      </c>
      <c r="K75" s="95"/>
      <c r="L75" s="95"/>
      <c r="M75" s="98">
        <f>"销售费用_"&amp;D75&amp;"_"&amp;C75</f>
      </c>
      <c r="N75" s="98" t="str">
        <v>6601.36.21</v>
      </c>
      <c r="O75" s="98"/>
      <c r="P75" s="98">
        <f>C75</f>
      </c>
      <c r="Q75" s="95" t="str">
        <v>Y</v>
      </c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</row>
    <row r="76">
      <c r="A76" s="95">
        <f>ROW(B76)-2</f>
      </c>
      <c r="B76" s="96" t="str">
        <v>内容制作费</v>
      </c>
      <c r="C76" s="96" t="str">
        <v>视频制作费</v>
      </c>
      <c r="D76" s="95" t="str">
        <v>营销费用</v>
      </c>
      <c r="E76" s="99">
        <f>H76</f>
      </c>
      <c r="F76" s="100">
        <f>VLOOKUP(E76,'收集数据表'!A:K,6,0)</f>
      </c>
      <c r="G76" s="100" t="str">
        <v>品牌项目</v>
      </c>
      <c r="H76" s="97" t="str">
        <v>IMC文化</v>
      </c>
      <c r="I76" s="95" t="str">
        <v>品牌产品中心</v>
      </c>
      <c r="J76" s="95" t="str">
        <v>品牌营销部</v>
      </c>
      <c r="K76" s="95"/>
      <c r="L76" s="95"/>
      <c r="M76" s="98">
        <f>"销售费用_"&amp;D76&amp;"_"&amp;C76</f>
      </c>
      <c r="N76" s="98" t="str">
        <v>6601.36.21</v>
      </c>
      <c r="O76" s="98"/>
      <c r="P76" s="98">
        <f>C76</f>
      </c>
      <c r="Q76" s="95" t="str">
        <v>Y</v>
      </c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</row>
    <row r="77">
      <c r="A77" s="95">
        <f>ROW(B77)-2</f>
      </c>
      <c r="B77" s="96" t="str">
        <v>内容制作费</v>
      </c>
      <c r="C77" s="96" t="str">
        <v>视频制作费</v>
      </c>
      <c r="D77" s="95" t="str">
        <v>营销费用</v>
      </c>
      <c r="E77" s="99">
        <f>H77</f>
      </c>
      <c r="F77" s="100">
        <f>VLOOKUP(E77,'收集数据表'!A:K,6,0)</f>
      </c>
      <c r="G77" s="100" t="str">
        <v>品牌项目</v>
      </c>
      <c r="H77" s="97" t="str">
        <v>日常-创意与物料</v>
      </c>
      <c r="I77" s="95" t="str">
        <v>品牌产品中心</v>
      </c>
      <c r="J77" s="95" t="str">
        <v>品牌营销部</v>
      </c>
      <c r="K77" s="95"/>
      <c r="L77" s="95"/>
      <c r="M77" s="98">
        <f>"销售费用_"&amp;D77&amp;"_"&amp;C77</f>
      </c>
      <c r="N77" s="98" t="str">
        <v>6601.36.21</v>
      </c>
      <c r="O77" s="98"/>
      <c r="P77" s="98">
        <f>C77</f>
      </c>
      <c r="Q77" s="95" t="str">
        <v>Y</v>
      </c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</row>
    <row r="78">
      <c r="A78" s="95">
        <f>ROW(B78)-2</f>
      </c>
      <c r="B78" s="96" t="str">
        <v>内容制作费</v>
      </c>
      <c r="C78" s="96" t="str">
        <v>动画制作费</v>
      </c>
      <c r="D78" s="95" t="str">
        <v>营销费用</v>
      </c>
      <c r="E78" s="99">
        <f>H78</f>
      </c>
      <c r="F78" s="100">
        <f>VLOOKUP(E78,'收集数据表'!A:K,6,0)</f>
      </c>
      <c r="G78" s="100" t="str">
        <v>品牌项目</v>
      </c>
      <c r="H78" s="97" t="str">
        <v>IMC花养</v>
      </c>
      <c r="I78" s="95" t="str">
        <v>品牌产品中心</v>
      </c>
      <c r="J78" s="95" t="str">
        <v>品牌营销部</v>
      </c>
      <c r="K78" s="95"/>
      <c r="L78" s="95"/>
      <c r="M78" s="98">
        <f>"销售费用_"&amp;D78&amp;"_"&amp;C78</f>
      </c>
      <c r="N78" s="98" t="str">
        <v>6601.36.07</v>
      </c>
      <c r="O78" s="98"/>
      <c r="P78" s="98">
        <f>C78</f>
      </c>
      <c r="Q78" s="95" t="str">
        <v>Y</v>
      </c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</row>
    <row r="79">
      <c r="A79" s="95">
        <f>ROW(B79)-2</f>
      </c>
      <c r="B79" s="96" t="str">
        <v>内容制作费</v>
      </c>
      <c r="C79" s="96" t="str">
        <v>动画制作费</v>
      </c>
      <c r="D79" s="95" t="str">
        <v>营销费用</v>
      </c>
      <c r="E79" s="99">
        <f>H79</f>
      </c>
      <c r="F79" s="100">
        <f>VLOOKUP(E79,'收集数据表'!A:K,6,0)</f>
      </c>
      <c r="G79" s="100" t="str">
        <v>品牌项目</v>
      </c>
      <c r="H79" s="97" t="str">
        <v>IMC国妆</v>
      </c>
      <c r="I79" s="95" t="str">
        <v>品牌产品中心</v>
      </c>
      <c r="J79" s="95" t="str">
        <v>品牌营销部</v>
      </c>
      <c r="K79" s="95"/>
      <c r="L79" s="95"/>
      <c r="M79" s="98">
        <f>"销售费用_"&amp;D79&amp;"_"&amp;C79</f>
      </c>
      <c r="N79" s="98" t="str">
        <v>6601.36.07</v>
      </c>
      <c r="O79" s="98"/>
      <c r="P79" s="98">
        <f>C79</f>
      </c>
      <c r="Q79" s="95" t="str">
        <v>Y</v>
      </c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</row>
    <row r="80">
      <c r="A80" s="95">
        <f>ROW(B80)-2</f>
      </c>
      <c r="B80" s="96" t="str">
        <v>内容制作费</v>
      </c>
      <c r="C80" s="96" t="str">
        <v>动画制作费</v>
      </c>
      <c r="D80" s="95" t="str">
        <v>营销费用</v>
      </c>
      <c r="E80" s="99">
        <f>H80</f>
      </c>
      <c r="F80" s="100">
        <f>VLOOKUP(E80,'收集数据表'!A:K,6,0)</f>
      </c>
      <c r="G80" s="100" t="str">
        <v>品牌项目</v>
      </c>
      <c r="H80" s="97" t="str">
        <v>IMC文化</v>
      </c>
      <c r="I80" s="95" t="str">
        <v>品牌产品中心</v>
      </c>
      <c r="J80" s="95" t="str">
        <v>品牌营销部</v>
      </c>
      <c r="K80" s="95"/>
      <c r="L80" s="95"/>
      <c r="M80" s="98">
        <f>"销售费用_"&amp;D80&amp;"_"&amp;C80</f>
      </c>
      <c r="N80" s="98" t="str">
        <v>6601.36.07</v>
      </c>
      <c r="O80" s="98"/>
      <c r="P80" s="98">
        <f>C80</f>
      </c>
      <c r="Q80" s="95" t="str">
        <v>Y</v>
      </c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</row>
    <row r="81">
      <c r="A81" s="95">
        <f>ROW(B81)-2</f>
      </c>
      <c r="B81" s="96" t="str">
        <v>内容制作费</v>
      </c>
      <c r="C81" s="96" t="str">
        <v>动画制作费</v>
      </c>
      <c r="D81" s="95" t="str">
        <v>营销费用</v>
      </c>
      <c r="E81" s="99">
        <f>H81</f>
      </c>
      <c r="F81" s="100">
        <f>VLOOKUP(E81,'收集数据表'!A:K,6,0)</f>
      </c>
      <c r="G81" s="100" t="str">
        <v>品牌项目</v>
      </c>
      <c r="H81" s="97" t="str">
        <v>日常-创意与物料</v>
      </c>
      <c r="I81" s="95" t="str">
        <v>品牌产品中心</v>
      </c>
      <c r="J81" s="95" t="str">
        <v>品牌营销部</v>
      </c>
      <c r="K81" s="95"/>
      <c r="L81" s="95"/>
      <c r="M81" s="98">
        <f>"销售费用_"&amp;D81&amp;"_"&amp;C81</f>
      </c>
      <c r="N81" s="98" t="str">
        <v>6601.36.07</v>
      </c>
      <c r="O81" s="98"/>
      <c r="P81" s="98">
        <f>C81</f>
      </c>
      <c r="Q81" s="95" t="str">
        <v>Y</v>
      </c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</row>
    <row r="82">
      <c r="A82" s="95">
        <f>ROW(B82)-2</f>
      </c>
      <c r="B82" s="96" t="str">
        <v>内容制作费</v>
      </c>
      <c r="C82" s="96" t="str">
        <v>图文平面制作费</v>
      </c>
      <c r="D82" s="95" t="str">
        <v>营销费用</v>
      </c>
      <c r="E82" s="99">
        <f>H82</f>
      </c>
      <c r="F82" s="100">
        <f>VLOOKUP(E82,'收集数据表'!A:K,6,0)</f>
      </c>
      <c r="G82" s="100" t="str">
        <v>品牌项目</v>
      </c>
      <c r="H82" s="97" t="str">
        <v>IMC花养</v>
      </c>
      <c r="I82" s="95" t="str">
        <v>品牌产品中心</v>
      </c>
      <c r="J82" s="95" t="str">
        <v>品牌营销部</v>
      </c>
      <c r="K82" s="95"/>
      <c r="L82" s="95"/>
      <c r="M82" s="98">
        <f>"销售费用_"&amp;D82&amp;"_"&amp;C82</f>
      </c>
      <c r="N82" s="98" t="str">
        <v>6601.36.22</v>
      </c>
      <c r="O82" s="98"/>
      <c r="P82" s="98">
        <f>C82</f>
      </c>
      <c r="Q82" s="95" t="str">
        <v>Y</v>
      </c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</row>
    <row r="83">
      <c r="A83" s="95">
        <f>ROW(B83)-2</f>
      </c>
      <c r="B83" s="96" t="str">
        <v>内容制作费</v>
      </c>
      <c r="C83" s="96" t="str">
        <v>图文平面制作费</v>
      </c>
      <c r="D83" s="95" t="str">
        <v>营销费用</v>
      </c>
      <c r="E83" s="99">
        <f>H83</f>
      </c>
      <c r="F83" s="100">
        <f>VLOOKUP(E83,'收集数据表'!A:K,6,0)</f>
      </c>
      <c r="G83" s="100" t="str">
        <v>品牌项目</v>
      </c>
      <c r="H83" s="97" t="str">
        <v>IMC国妆</v>
      </c>
      <c r="I83" s="95" t="str">
        <v>品牌产品中心</v>
      </c>
      <c r="J83" s="95" t="str">
        <v>品牌营销部</v>
      </c>
      <c r="K83" s="95"/>
      <c r="L83" s="95"/>
      <c r="M83" s="98">
        <f>"销售费用_"&amp;D83&amp;"_"&amp;C83</f>
      </c>
      <c r="N83" s="98" t="str">
        <v>6601.36.22</v>
      </c>
      <c r="O83" s="98"/>
      <c r="P83" s="98">
        <f>C83</f>
      </c>
      <c r="Q83" s="95" t="str">
        <v>Y</v>
      </c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</row>
    <row r="84">
      <c r="A84" s="95">
        <f>ROW(B84)-2</f>
      </c>
      <c r="B84" s="96" t="str">
        <v>内容制作费</v>
      </c>
      <c r="C84" s="96" t="str">
        <v>图文平面制作费</v>
      </c>
      <c r="D84" s="95" t="str">
        <v>营销费用</v>
      </c>
      <c r="E84" s="99">
        <f>H84</f>
      </c>
      <c r="F84" s="100">
        <f>VLOOKUP(E84,'收集数据表'!A:K,6,0)</f>
      </c>
      <c r="G84" s="100" t="str">
        <v>品牌项目</v>
      </c>
      <c r="H84" s="97" t="str">
        <v>IMC文化</v>
      </c>
      <c r="I84" s="95" t="str">
        <v>品牌产品中心</v>
      </c>
      <c r="J84" s="95" t="str">
        <v>品牌营销部</v>
      </c>
      <c r="K84" s="95"/>
      <c r="L84" s="95"/>
      <c r="M84" s="98">
        <f>"销售费用_"&amp;D84&amp;"_"&amp;C84</f>
      </c>
      <c r="N84" s="98" t="str">
        <v>6601.36.22</v>
      </c>
      <c r="O84" s="98"/>
      <c r="P84" s="98">
        <f>C84</f>
      </c>
      <c r="Q84" s="95" t="str">
        <v>Y</v>
      </c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</row>
    <row r="85">
      <c r="A85" s="95">
        <f>ROW(B85)-2</f>
      </c>
      <c r="B85" s="96" t="str">
        <v>内容制作费</v>
      </c>
      <c r="C85" s="96" t="str">
        <v>图文平面制作费</v>
      </c>
      <c r="D85" s="95" t="str">
        <v>营销费用</v>
      </c>
      <c r="E85" s="99">
        <f>H85</f>
      </c>
      <c r="F85" s="100">
        <f>VLOOKUP(E85,'收集数据表'!A:K,6,0)</f>
      </c>
      <c r="G85" s="100" t="str">
        <v>品牌项目</v>
      </c>
      <c r="H85" s="97" t="str">
        <v>日常-创意与物料</v>
      </c>
      <c r="I85" s="95" t="str">
        <v>品牌产品中心</v>
      </c>
      <c r="J85" s="95" t="str">
        <v>品牌营销部</v>
      </c>
      <c r="K85" s="95"/>
      <c r="L85" s="95"/>
      <c r="M85" s="98">
        <f>"销售费用_"&amp;D85&amp;"_"&amp;C85</f>
      </c>
      <c r="N85" s="98" t="str">
        <v>6601.36.22</v>
      </c>
      <c r="O85" s="98"/>
      <c r="P85" s="98">
        <f>C85</f>
      </c>
      <c r="Q85" s="95" t="str">
        <v>Y</v>
      </c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</row>
    <row r="86">
      <c r="A86" s="95">
        <f>ROW(B86)-2</f>
      </c>
      <c r="B86" s="96" t="str">
        <v>内容制作费</v>
      </c>
      <c r="C86" s="96" t="str">
        <v>建模服务费</v>
      </c>
      <c r="D86" s="95" t="str">
        <v>营销费用</v>
      </c>
      <c r="E86" s="99">
        <f>H86</f>
      </c>
      <c r="F86" s="100">
        <f>VLOOKUP(E86,'收集数据表'!A:K,6,0)</f>
      </c>
      <c r="G86" s="100" t="str">
        <v>品牌项目</v>
      </c>
      <c r="H86" s="97" t="str">
        <v>IMC花养</v>
      </c>
      <c r="I86" s="95" t="str">
        <v>品牌产品中心</v>
      </c>
      <c r="J86" s="95" t="str">
        <v>品牌营销部</v>
      </c>
      <c r="K86" s="95"/>
      <c r="L86" s="95"/>
      <c r="M86" s="98">
        <f>"销售费用_"&amp;D86&amp;"_"&amp;C86</f>
      </c>
      <c r="N86" s="98" t="str">
        <v>6601.36.10</v>
      </c>
      <c r="O86" s="98"/>
      <c r="P86" s="98">
        <f>C86</f>
      </c>
      <c r="Q86" s="95" t="str">
        <v>Y</v>
      </c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</row>
    <row r="87">
      <c r="A87" s="95">
        <f>ROW(B87)-2</f>
      </c>
      <c r="B87" s="96" t="str">
        <v>内容制作费</v>
      </c>
      <c r="C87" s="96" t="str">
        <v>建模服务费</v>
      </c>
      <c r="D87" s="95" t="str">
        <v>营销费用</v>
      </c>
      <c r="E87" s="99">
        <f>H87</f>
      </c>
      <c r="F87" s="100">
        <f>VLOOKUP(E87,'收集数据表'!A:K,6,0)</f>
      </c>
      <c r="G87" s="100" t="str">
        <v>品牌项目</v>
      </c>
      <c r="H87" s="97" t="str">
        <v>IMC国妆</v>
      </c>
      <c r="I87" s="95" t="str">
        <v>品牌产品中心</v>
      </c>
      <c r="J87" s="95" t="str">
        <v>品牌营销部</v>
      </c>
      <c r="K87" s="95"/>
      <c r="L87" s="95"/>
      <c r="M87" s="98">
        <f>"销售费用_"&amp;D87&amp;"_"&amp;C87</f>
      </c>
      <c r="N87" s="98" t="str">
        <v>6601.36.10</v>
      </c>
      <c r="O87" s="98"/>
      <c r="P87" s="98">
        <f>C87</f>
      </c>
      <c r="Q87" s="95" t="str">
        <v>Y</v>
      </c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</row>
    <row r="88">
      <c r="A88" s="95">
        <f>ROW(B88)-2</f>
      </c>
      <c r="B88" s="96" t="str">
        <v>内容制作费</v>
      </c>
      <c r="C88" s="96" t="str">
        <v>建模服务费</v>
      </c>
      <c r="D88" s="95" t="str">
        <v>营销费用</v>
      </c>
      <c r="E88" s="99">
        <f>H88</f>
      </c>
      <c r="F88" s="100">
        <f>VLOOKUP(E88,'收集数据表'!A:K,6,0)</f>
      </c>
      <c r="G88" s="100" t="str">
        <v>品牌项目</v>
      </c>
      <c r="H88" s="97" t="str">
        <v>IMC文化</v>
      </c>
      <c r="I88" s="95" t="str">
        <v>品牌产品中心</v>
      </c>
      <c r="J88" s="95" t="str">
        <v>品牌营销部</v>
      </c>
      <c r="K88" s="95"/>
      <c r="L88" s="95"/>
      <c r="M88" s="98">
        <f>"销售费用_"&amp;D88&amp;"_"&amp;C88</f>
      </c>
      <c r="N88" s="98" t="str">
        <v>6601.36.10</v>
      </c>
      <c r="O88" s="98"/>
      <c r="P88" s="98">
        <f>C88</f>
      </c>
      <c r="Q88" s="95" t="str">
        <v>Y</v>
      </c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</row>
    <row r="89">
      <c r="A89" s="95">
        <f>ROW(B89)-2</f>
      </c>
      <c r="B89" s="96" t="str">
        <v>内容制作费</v>
      </c>
      <c r="C89" s="96" t="str">
        <v>建模服务费</v>
      </c>
      <c r="D89" s="95" t="str">
        <v>营销费用</v>
      </c>
      <c r="E89" s="99">
        <f>H89</f>
      </c>
      <c r="F89" s="100">
        <f>VLOOKUP(E89,'收集数据表'!A:K,6,0)</f>
      </c>
      <c r="G89" s="100" t="str">
        <v>品牌项目</v>
      </c>
      <c r="H89" s="97" t="str">
        <v>日常-创意与物料</v>
      </c>
      <c r="I89" s="95" t="str">
        <v>品牌产品中心</v>
      </c>
      <c r="J89" s="95" t="str">
        <v>品牌营销部</v>
      </c>
      <c r="K89" s="95"/>
      <c r="L89" s="95"/>
      <c r="M89" s="98">
        <f>"销售费用_"&amp;D89&amp;"_"&amp;C89</f>
      </c>
      <c r="N89" s="98" t="str">
        <v>6601.36.10</v>
      </c>
      <c r="O89" s="98"/>
      <c r="P89" s="98">
        <f>C89</f>
      </c>
      <c r="Q89" s="95" t="str">
        <v>Y</v>
      </c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</row>
    <row r="90">
      <c r="A90" s="95">
        <f>ROW(B90)-2</f>
      </c>
      <c r="B90" s="96" t="str">
        <v>内容制作费</v>
      </c>
      <c r="C90" s="96" t="str">
        <v>渲染服务费</v>
      </c>
      <c r="D90" s="95" t="str">
        <v>营销费用</v>
      </c>
      <c r="E90" s="99">
        <f>H90</f>
      </c>
      <c r="F90" s="100">
        <f>VLOOKUP(E90,'收集数据表'!A:K,6,0)</f>
      </c>
      <c r="G90" s="100" t="str">
        <v>品牌项目</v>
      </c>
      <c r="H90" s="97" t="str">
        <v>IMC花养</v>
      </c>
      <c r="I90" s="95" t="str">
        <v>品牌产品中心</v>
      </c>
      <c r="J90" s="95" t="str">
        <v>品牌营销部</v>
      </c>
      <c r="K90" s="95"/>
      <c r="L90" s="95"/>
      <c r="M90" s="98">
        <f>"销售费用_"&amp;D90&amp;"_"&amp;C90</f>
      </c>
      <c r="N90" s="98" t="str">
        <v>6601.36.26</v>
      </c>
      <c r="O90" s="98"/>
      <c r="P90" s="98">
        <f>C90</f>
      </c>
      <c r="Q90" s="95" t="str">
        <v>Y</v>
      </c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</row>
    <row r="91">
      <c r="A91" s="95">
        <f>ROW(B91)-2</f>
      </c>
      <c r="B91" s="96" t="str">
        <v>内容制作费</v>
      </c>
      <c r="C91" s="96" t="str">
        <v>渲染服务费</v>
      </c>
      <c r="D91" s="95" t="str">
        <v>营销费用</v>
      </c>
      <c r="E91" s="99">
        <f>H91</f>
      </c>
      <c r="F91" s="100">
        <f>VLOOKUP(E91,'收集数据表'!A:K,6,0)</f>
      </c>
      <c r="G91" s="100" t="str">
        <v>品牌项目</v>
      </c>
      <c r="H91" s="97" t="str">
        <v>IMC国妆</v>
      </c>
      <c r="I91" s="95" t="str">
        <v>品牌产品中心</v>
      </c>
      <c r="J91" s="95" t="str">
        <v>品牌营销部</v>
      </c>
      <c r="K91" s="95"/>
      <c r="L91" s="95"/>
      <c r="M91" s="98">
        <f>"销售费用_"&amp;D91&amp;"_"&amp;C91</f>
      </c>
      <c r="N91" s="98" t="str">
        <v>6601.36.26</v>
      </c>
      <c r="O91" s="98"/>
      <c r="P91" s="98">
        <f>C91</f>
      </c>
      <c r="Q91" s="95" t="str">
        <v>Y</v>
      </c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</row>
    <row r="92">
      <c r="A92" s="95">
        <f>ROW(B92)-2</f>
      </c>
      <c r="B92" s="96" t="str">
        <v>内容制作费</v>
      </c>
      <c r="C92" s="96" t="str">
        <v>渲染服务费</v>
      </c>
      <c r="D92" s="95" t="str">
        <v>营销费用</v>
      </c>
      <c r="E92" s="99">
        <f>H92</f>
      </c>
      <c r="F92" s="100">
        <f>VLOOKUP(E92,'收集数据表'!A:K,6,0)</f>
      </c>
      <c r="G92" s="100" t="str">
        <v>品牌项目</v>
      </c>
      <c r="H92" s="97" t="str">
        <v>IMC文化</v>
      </c>
      <c r="I92" s="95" t="str">
        <v>品牌产品中心</v>
      </c>
      <c r="J92" s="95" t="str">
        <v>品牌营销部</v>
      </c>
      <c r="K92" s="95"/>
      <c r="L92" s="95"/>
      <c r="M92" s="98">
        <f>"销售费用_"&amp;D92&amp;"_"&amp;C92</f>
      </c>
      <c r="N92" s="98" t="str">
        <v>6601.36.26</v>
      </c>
      <c r="O92" s="98"/>
      <c r="P92" s="98">
        <f>C92</f>
      </c>
      <c r="Q92" s="95" t="str">
        <v>Y</v>
      </c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</row>
    <row r="93">
      <c r="A93" s="95">
        <f>ROW(B93)-2</f>
      </c>
      <c r="B93" s="96" t="str">
        <v>内容制作费</v>
      </c>
      <c r="C93" s="96" t="str">
        <v>渲染服务费</v>
      </c>
      <c r="D93" s="95" t="str">
        <v>营销费用</v>
      </c>
      <c r="E93" s="99">
        <f>H93</f>
      </c>
      <c r="F93" s="100">
        <f>VLOOKUP(E93,'收集数据表'!A:K,6,0)</f>
      </c>
      <c r="G93" s="100" t="str">
        <v>品牌项目</v>
      </c>
      <c r="H93" s="97" t="str">
        <v>日常-创意与物料</v>
      </c>
      <c r="I93" s="95" t="str">
        <v>品牌产品中心</v>
      </c>
      <c r="J93" s="95" t="str">
        <v>品牌营销部</v>
      </c>
      <c r="K93" s="95"/>
      <c r="L93" s="95"/>
      <c r="M93" s="98">
        <f>"销售费用_"&amp;D93&amp;"_"&amp;C93</f>
      </c>
      <c r="N93" s="98" t="str">
        <v>6601.36.26</v>
      </c>
      <c r="O93" s="98"/>
      <c r="P93" s="98">
        <f>C93</f>
      </c>
      <c r="Q93" s="95" t="str">
        <v>Y</v>
      </c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</row>
    <row r="94">
      <c r="A94" s="95">
        <f>ROW(B94)-2</f>
      </c>
      <c r="B94" s="96" t="str">
        <v>内容制作费</v>
      </c>
      <c r="C94" s="96" t="str">
        <v>模特服务费</v>
      </c>
      <c r="D94" s="95" t="str">
        <v>营销费用</v>
      </c>
      <c r="E94" s="99">
        <f>H94</f>
      </c>
      <c r="F94" s="100">
        <f>VLOOKUP(E94,'收集数据表'!A:K,6,0)</f>
      </c>
      <c r="G94" s="100" t="str">
        <v>品牌项目</v>
      </c>
      <c r="H94" s="97" t="str">
        <v>IMC花养</v>
      </c>
      <c r="I94" s="95" t="str">
        <v>品牌产品中心</v>
      </c>
      <c r="J94" s="95" t="str">
        <v>品牌营销部</v>
      </c>
      <c r="K94" s="95"/>
      <c r="L94" s="95"/>
      <c r="M94" s="98">
        <f>"销售费用_"&amp;D94&amp;"_"&amp;C94</f>
      </c>
      <c r="N94" s="98" t="str">
        <v>6601.36.13</v>
      </c>
      <c r="O94" s="98"/>
      <c r="P94" s="98">
        <f>C94</f>
      </c>
      <c r="Q94" s="95" t="str">
        <v>Y</v>
      </c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</row>
    <row r="95">
      <c r="A95" s="95">
        <f>ROW(B95)-2</f>
      </c>
      <c r="B95" s="96" t="str">
        <v>内容制作费</v>
      </c>
      <c r="C95" s="96" t="str">
        <v>模特服务费</v>
      </c>
      <c r="D95" s="95" t="str">
        <v>营销费用</v>
      </c>
      <c r="E95" s="99">
        <f>H95</f>
      </c>
      <c r="F95" s="100">
        <f>VLOOKUP(E95,'收集数据表'!A:K,6,0)</f>
      </c>
      <c r="G95" s="100" t="str">
        <v>品牌项目</v>
      </c>
      <c r="H95" s="97" t="str">
        <v>IMC国妆</v>
      </c>
      <c r="I95" s="95" t="str">
        <v>品牌产品中心</v>
      </c>
      <c r="J95" s="95" t="str">
        <v>品牌营销部</v>
      </c>
      <c r="K95" s="95"/>
      <c r="L95" s="95"/>
      <c r="M95" s="98">
        <f>"销售费用_"&amp;D95&amp;"_"&amp;C95</f>
      </c>
      <c r="N95" s="98" t="str">
        <v>6601.36.13</v>
      </c>
      <c r="O95" s="98"/>
      <c r="P95" s="98">
        <f>C95</f>
      </c>
      <c r="Q95" s="95" t="str">
        <v>Y</v>
      </c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</row>
    <row r="96">
      <c r="A96" s="95">
        <f>ROW(B96)-2</f>
      </c>
      <c r="B96" s="96" t="str">
        <v>内容制作费</v>
      </c>
      <c r="C96" s="96" t="str">
        <v>模特服务费</v>
      </c>
      <c r="D96" s="95" t="str">
        <v>营销费用</v>
      </c>
      <c r="E96" s="99">
        <f>H96</f>
      </c>
      <c r="F96" s="100">
        <f>VLOOKUP(E96,'收集数据表'!A:K,6,0)</f>
      </c>
      <c r="G96" s="100" t="str">
        <v>品牌项目</v>
      </c>
      <c r="H96" s="97" t="str">
        <v>IMC文化</v>
      </c>
      <c r="I96" s="95" t="str">
        <v>品牌产品中心</v>
      </c>
      <c r="J96" s="95" t="str">
        <v>品牌营销部</v>
      </c>
      <c r="K96" s="95"/>
      <c r="L96" s="95"/>
      <c r="M96" s="98">
        <f>"销售费用_"&amp;D96&amp;"_"&amp;C96</f>
      </c>
      <c r="N96" s="98" t="str">
        <v>6601.36.13</v>
      </c>
      <c r="O96" s="98"/>
      <c r="P96" s="98">
        <f>C96</f>
      </c>
      <c r="Q96" s="95" t="str">
        <v>Y</v>
      </c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</row>
    <row r="97">
      <c r="A97" s="95">
        <f>ROW(B97)-2</f>
      </c>
      <c r="B97" s="96" t="str">
        <v>内容制作费</v>
      </c>
      <c r="C97" s="96" t="str">
        <v>模特服务费</v>
      </c>
      <c r="D97" s="95" t="str">
        <v>营销费用</v>
      </c>
      <c r="E97" s="99">
        <f>H97</f>
      </c>
      <c r="F97" s="100">
        <f>VLOOKUP(E97,'收集数据表'!A:K,6,0)</f>
      </c>
      <c r="G97" s="100" t="str">
        <v>品牌项目</v>
      </c>
      <c r="H97" s="97" t="str">
        <v>日常-创意与物料</v>
      </c>
      <c r="I97" s="95" t="str">
        <v>品牌产品中心</v>
      </c>
      <c r="J97" s="95" t="str">
        <v>品牌营销部</v>
      </c>
      <c r="K97" s="95"/>
      <c r="L97" s="95"/>
      <c r="M97" s="98">
        <f>"销售费用_"&amp;D97&amp;"_"&amp;C97</f>
      </c>
      <c r="N97" s="98" t="str">
        <v>6601.36.13</v>
      </c>
      <c r="O97" s="98"/>
      <c r="P97" s="98">
        <f>C97</f>
      </c>
      <c r="Q97" s="95" t="str">
        <v>Y</v>
      </c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</row>
    <row r="98">
      <c r="A98" s="95">
        <f>ROW(B98)-2</f>
      </c>
      <c r="B98" s="96" t="str">
        <v>内容制作费</v>
      </c>
      <c r="C98" s="96" t="str">
        <v>专业人物合作费</v>
      </c>
      <c r="D98" s="95" t="str">
        <v>营销费用</v>
      </c>
      <c r="E98" s="99">
        <f>H98</f>
      </c>
      <c r="F98" s="100">
        <f>VLOOKUP(E98,'收集数据表'!A:K,6,0)</f>
      </c>
      <c r="G98" s="100" t="str">
        <v>品牌项目</v>
      </c>
      <c r="H98" s="97" t="str">
        <v>IMC花养</v>
      </c>
      <c r="I98" s="95" t="str">
        <v>品牌产品中心</v>
      </c>
      <c r="J98" s="95" t="str">
        <v>品牌营销部</v>
      </c>
      <c r="K98" s="95"/>
      <c r="L98" s="95"/>
      <c r="M98" s="98">
        <f>"销售费用_"&amp;D98&amp;"_"&amp;C98</f>
      </c>
      <c r="N98" s="98" t="str">
        <v>6601.36.32</v>
      </c>
      <c r="O98" s="98"/>
      <c r="P98" s="98">
        <f>C98</f>
      </c>
      <c r="Q98" s="95" t="str">
        <v>Y</v>
      </c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</row>
    <row r="99">
      <c r="A99" s="95">
        <f>ROW(B99)-2</f>
      </c>
      <c r="B99" s="96" t="str">
        <v>内容制作费</v>
      </c>
      <c r="C99" s="96" t="str">
        <v>专业人物合作费</v>
      </c>
      <c r="D99" s="95" t="str">
        <v>营销费用</v>
      </c>
      <c r="E99" s="99">
        <f>H99</f>
      </c>
      <c r="F99" s="100">
        <f>VLOOKUP(E99,'收集数据表'!A:K,6,0)</f>
      </c>
      <c r="G99" s="100" t="str">
        <v>品牌项目</v>
      </c>
      <c r="H99" s="97" t="str">
        <v>IMC国妆</v>
      </c>
      <c r="I99" s="95" t="str">
        <v>品牌产品中心</v>
      </c>
      <c r="J99" s="95" t="str">
        <v>品牌营销部</v>
      </c>
      <c r="K99" s="95"/>
      <c r="L99" s="95"/>
      <c r="M99" s="98">
        <f>"销售费用_"&amp;D99&amp;"_"&amp;C99</f>
      </c>
      <c r="N99" s="98" t="str">
        <v>6601.36.32</v>
      </c>
      <c r="O99" s="98"/>
      <c r="P99" s="98">
        <f>C99</f>
      </c>
      <c r="Q99" s="95" t="str">
        <v>Y</v>
      </c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</row>
    <row r="100">
      <c r="A100" s="95">
        <f>ROW(B100)-2</f>
      </c>
      <c r="B100" s="96" t="str">
        <v>内容制作费</v>
      </c>
      <c r="C100" s="96" t="str">
        <v>专业人物合作费</v>
      </c>
      <c r="D100" s="95" t="str">
        <v>营销费用</v>
      </c>
      <c r="E100" s="99">
        <f>H100</f>
      </c>
      <c r="F100" s="100">
        <f>VLOOKUP(E100,'收集数据表'!A:K,6,0)</f>
      </c>
      <c r="G100" s="100" t="str">
        <v>品牌项目</v>
      </c>
      <c r="H100" s="97" t="str">
        <v>IMC文化</v>
      </c>
      <c r="I100" s="95" t="str">
        <v>品牌产品中心</v>
      </c>
      <c r="J100" s="95" t="str">
        <v>品牌营销部</v>
      </c>
      <c r="K100" s="95"/>
      <c r="L100" s="95"/>
      <c r="M100" s="98">
        <f>"销售费用_"&amp;D100&amp;"_"&amp;C100</f>
      </c>
      <c r="N100" s="98" t="str">
        <v>6601.36.32</v>
      </c>
      <c r="O100" s="98"/>
      <c r="P100" s="98">
        <f>C100</f>
      </c>
      <c r="Q100" s="95" t="str">
        <v>Y</v>
      </c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</row>
    <row r="101">
      <c r="A101" s="95">
        <f>ROW(B101)-2</f>
      </c>
      <c r="B101" s="96" t="str">
        <v>内容制作费</v>
      </c>
      <c r="C101" s="96" t="str">
        <v>专业人物合作费</v>
      </c>
      <c r="D101" s="95" t="str">
        <v>营销费用</v>
      </c>
      <c r="E101" s="99">
        <f>H101</f>
      </c>
      <c r="F101" s="100">
        <f>VLOOKUP(E101,'收集数据表'!A:K,6,0)</f>
      </c>
      <c r="G101" s="100" t="str">
        <v>品牌项目</v>
      </c>
      <c r="H101" s="97" t="str">
        <v>日常-创意与物料</v>
      </c>
      <c r="I101" s="95" t="str">
        <v>品牌产品中心</v>
      </c>
      <c r="J101" s="95" t="str">
        <v>品牌营销部</v>
      </c>
      <c r="K101" s="95"/>
      <c r="L101" s="95"/>
      <c r="M101" s="98">
        <f>"销售费用_"&amp;D101&amp;"_"&amp;C101</f>
      </c>
      <c r="N101" s="98" t="str">
        <v>6601.36.32</v>
      </c>
      <c r="O101" s="98"/>
      <c r="P101" s="98">
        <f>C101</f>
      </c>
      <c r="Q101" s="95" t="str">
        <v>Y</v>
      </c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</row>
    <row r="102">
      <c r="A102" s="95">
        <f>ROW(B102)-2</f>
      </c>
      <c r="B102" s="96" t="str">
        <v>内容制作费</v>
      </c>
      <c r="C102" s="96" t="str">
        <v>服化道费用</v>
      </c>
      <c r="D102" s="95" t="str">
        <v>营销费用</v>
      </c>
      <c r="E102" s="99">
        <f>H102</f>
      </c>
      <c r="F102" s="100">
        <f>VLOOKUP(E102,'收集数据表'!A:K,6,0)</f>
      </c>
      <c r="G102" s="100" t="str">
        <v>品牌项目</v>
      </c>
      <c r="H102" s="97" t="str">
        <v>IMC花养</v>
      </c>
      <c r="I102" s="95" t="str">
        <v>品牌产品中心</v>
      </c>
      <c r="J102" s="95" t="str">
        <v>品牌营销部</v>
      </c>
      <c r="K102" s="95"/>
      <c r="L102" s="95"/>
      <c r="M102" s="98">
        <f>"销售费用_"&amp;D102&amp;"_"&amp;C102</f>
      </c>
      <c r="N102" s="98" t="str">
        <v>6601.36.08</v>
      </c>
      <c r="O102" s="98"/>
      <c r="P102" s="98" t="str">
        <v>服装费、化妆费、道具费</v>
      </c>
      <c r="Q102" s="95" t="str">
        <v>Y</v>
      </c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</row>
    <row r="103">
      <c r="A103" s="95">
        <f>ROW(B103)-2</f>
      </c>
      <c r="B103" s="96" t="str">
        <v>内容制作费</v>
      </c>
      <c r="C103" s="96" t="str">
        <v>服化道费用</v>
      </c>
      <c r="D103" s="95" t="str">
        <v>营销费用</v>
      </c>
      <c r="E103" s="99">
        <f>H103</f>
      </c>
      <c r="F103" s="100">
        <f>VLOOKUP(E103,'收集数据表'!A:K,6,0)</f>
      </c>
      <c r="G103" s="100" t="str">
        <v>品牌项目</v>
      </c>
      <c r="H103" s="97" t="str">
        <v>IMC国妆</v>
      </c>
      <c r="I103" s="95" t="str">
        <v>品牌产品中心</v>
      </c>
      <c r="J103" s="95" t="str">
        <v>品牌营销部</v>
      </c>
      <c r="K103" s="95"/>
      <c r="L103" s="95"/>
      <c r="M103" s="98">
        <f>"销售费用_"&amp;D103&amp;"_"&amp;C103</f>
      </c>
      <c r="N103" s="98" t="str">
        <v>6601.36.08</v>
      </c>
      <c r="O103" s="98"/>
      <c r="P103" s="98" t="str">
        <v>服装费、化妆费、道具费</v>
      </c>
      <c r="Q103" s="95" t="str">
        <v>Y</v>
      </c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</row>
    <row r="104">
      <c r="A104" s="95">
        <f>ROW(B104)-2</f>
      </c>
      <c r="B104" s="96" t="str">
        <v>内容制作费</v>
      </c>
      <c r="C104" s="96" t="str">
        <v>服化道费用</v>
      </c>
      <c r="D104" s="95" t="str">
        <v>营销费用</v>
      </c>
      <c r="E104" s="99">
        <f>H104</f>
      </c>
      <c r="F104" s="100">
        <f>VLOOKUP(E104,'收集数据表'!A:K,6,0)</f>
      </c>
      <c r="G104" s="100" t="str">
        <v>品牌项目</v>
      </c>
      <c r="H104" s="97" t="str">
        <v>IMC文化</v>
      </c>
      <c r="I104" s="95" t="str">
        <v>品牌产品中心</v>
      </c>
      <c r="J104" s="95" t="str">
        <v>品牌营销部</v>
      </c>
      <c r="K104" s="95"/>
      <c r="L104" s="95"/>
      <c r="M104" s="98">
        <f>"销售费用_"&amp;D104&amp;"_"&amp;C104</f>
      </c>
      <c r="N104" s="98" t="str">
        <v>6601.36.08</v>
      </c>
      <c r="O104" s="98"/>
      <c r="P104" s="98" t="str">
        <v>服装费、化妆费、道具费</v>
      </c>
      <c r="Q104" s="95" t="str">
        <v>Y</v>
      </c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</row>
    <row r="105">
      <c r="A105" s="95">
        <f>ROW(B105)-2</f>
      </c>
      <c r="B105" s="96" t="str">
        <v>内容制作费</v>
      </c>
      <c r="C105" s="96" t="str">
        <v>服化道费用</v>
      </c>
      <c r="D105" s="95" t="str">
        <v>营销费用</v>
      </c>
      <c r="E105" s="99">
        <f>H105</f>
      </c>
      <c r="F105" s="100">
        <f>VLOOKUP(E105,'收集数据表'!A:K,6,0)</f>
      </c>
      <c r="G105" s="100" t="str">
        <v>品牌项目</v>
      </c>
      <c r="H105" s="97" t="str">
        <v>日常-创意与物料</v>
      </c>
      <c r="I105" s="95" t="str">
        <v>品牌产品中心</v>
      </c>
      <c r="J105" s="95" t="str">
        <v>品牌营销部</v>
      </c>
      <c r="K105" s="95"/>
      <c r="L105" s="95"/>
      <c r="M105" s="98">
        <f>"销售费用_"&amp;D105&amp;"_"&amp;C105</f>
      </c>
      <c r="N105" s="98" t="str">
        <v>6601.36.08</v>
      </c>
      <c r="O105" s="98"/>
      <c r="P105" s="98" t="str">
        <v>服装费、化妆费、道具费</v>
      </c>
      <c r="Q105" s="95" t="str">
        <v>Y</v>
      </c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</row>
    <row r="106">
      <c r="A106" s="95">
        <f>ROW(B106)-2</f>
      </c>
      <c r="B106" s="96" t="str">
        <v>内容制作费</v>
      </c>
      <c r="C106" s="96" t="str">
        <v>拍摄服务费</v>
      </c>
      <c r="D106" s="95" t="str">
        <v>营销费用</v>
      </c>
      <c r="E106" s="99">
        <f>H106</f>
      </c>
      <c r="F106" s="100">
        <f>VLOOKUP(E106,'收集数据表'!A:K,6,0)</f>
      </c>
      <c r="G106" s="100" t="str">
        <v>品牌项目</v>
      </c>
      <c r="H106" s="97" t="str">
        <v>IMC花养</v>
      </c>
      <c r="I106" s="95" t="str">
        <v>品牌产品中心</v>
      </c>
      <c r="J106" s="95" t="str">
        <v>品牌营销部</v>
      </c>
      <c r="K106" s="95"/>
      <c r="L106" s="95"/>
      <c r="M106" s="98">
        <f>"销售费用_"&amp;D106&amp;"_"&amp;C106</f>
      </c>
      <c r="N106" s="98" t="str">
        <v>6601.36.15</v>
      </c>
      <c r="O106" s="98"/>
      <c r="P106" s="98">
        <f>C106</f>
      </c>
      <c r="Q106" s="95" t="str">
        <v>Y</v>
      </c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</row>
    <row r="107">
      <c r="A107" s="95">
        <f>ROW(B107)-2</f>
      </c>
      <c r="B107" s="96" t="str">
        <v>内容制作费</v>
      </c>
      <c r="C107" s="96" t="str">
        <v>拍摄服务费</v>
      </c>
      <c r="D107" s="95" t="str">
        <v>营销费用</v>
      </c>
      <c r="E107" s="99">
        <f>H107</f>
      </c>
      <c r="F107" s="100">
        <f>VLOOKUP(E107,'收集数据表'!A:K,6,0)</f>
      </c>
      <c r="G107" s="100" t="str">
        <v>品牌项目</v>
      </c>
      <c r="H107" s="97" t="str">
        <v>IMC国妆</v>
      </c>
      <c r="I107" s="95" t="str">
        <v>品牌产品中心</v>
      </c>
      <c r="J107" s="95" t="str">
        <v>品牌营销部</v>
      </c>
      <c r="K107" s="95"/>
      <c r="L107" s="95"/>
      <c r="M107" s="98">
        <f>"销售费用_"&amp;D107&amp;"_"&amp;C107</f>
      </c>
      <c r="N107" s="98" t="str">
        <v>6601.36.15</v>
      </c>
      <c r="O107" s="98"/>
      <c r="P107" s="98">
        <f>C107</f>
      </c>
      <c r="Q107" s="95" t="str">
        <v>Y</v>
      </c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</row>
    <row r="108">
      <c r="A108" s="95">
        <f>ROW(B108)-2</f>
      </c>
      <c r="B108" s="96" t="str">
        <v>内容制作费</v>
      </c>
      <c r="C108" s="96" t="str">
        <v>拍摄服务费</v>
      </c>
      <c r="D108" s="95" t="str">
        <v>营销费用</v>
      </c>
      <c r="E108" s="99">
        <f>H108</f>
      </c>
      <c r="F108" s="100">
        <f>VLOOKUP(E108,'收集数据表'!A:K,6,0)</f>
      </c>
      <c r="G108" s="100" t="str">
        <v>品牌项目</v>
      </c>
      <c r="H108" s="97" t="str">
        <v>IMC文化</v>
      </c>
      <c r="I108" s="95" t="str">
        <v>品牌产品中心</v>
      </c>
      <c r="J108" s="95" t="str">
        <v>品牌营销部</v>
      </c>
      <c r="K108" s="95"/>
      <c r="L108" s="95"/>
      <c r="M108" s="98">
        <f>"销售费用_"&amp;D108&amp;"_"&amp;C108</f>
      </c>
      <c r="N108" s="98" t="str">
        <v>6601.36.15</v>
      </c>
      <c r="O108" s="98"/>
      <c r="P108" s="98">
        <f>C108</f>
      </c>
      <c r="Q108" s="95" t="str">
        <v>Y</v>
      </c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</row>
    <row r="109">
      <c r="A109" s="95">
        <f>ROW(B109)-2</f>
      </c>
      <c r="B109" s="96" t="str">
        <v>内容制作费</v>
      </c>
      <c r="C109" s="96" t="str">
        <v>拍摄服务费</v>
      </c>
      <c r="D109" s="95" t="str">
        <v>营销费用</v>
      </c>
      <c r="E109" s="99">
        <f>H109</f>
      </c>
      <c r="F109" s="100">
        <f>VLOOKUP(E109,'收集数据表'!A:K,6,0)</f>
      </c>
      <c r="G109" s="100" t="str">
        <v>品牌项目</v>
      </c>
      <c r="H109" s="97" t="str">
        <v>日常-创意与物料</v>
      </c>
      <c r="I109" s="95" t="str">
        <v>品牌产品中心</v>
      </c>
      <c r="J109" s="95" t="str">
        <v>品牌营销部</v>
      </c>
      <c r="K109" s="95"/>
      <c r="L109" s="95"/>
      <c r="M109" s="98">
        <f>"销售费用_"&amp;D109&amp;"_"&amp;C109</f>
      </c>
      <c r="N109" s="98" t="str">
        <v>6601.36.15</v>
      </c>
      <c r="O109" s="98"/>
      <c r="P109" s="98">
        <f>C109</f>
      </c>
      <c r="Q109" s="95" t="str">
        <v>Y</v>
      </c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</row>
    <row r="110">
      <c r="A110" s="95">
        <f>ROW(B110)-2</f>
      </c>
      <c r="B110" s="96" t="str">
        <v>内容制作费</v>
      </c>
      <c r="C110" s="96" t="str">
        <v>拍摄物料费</v>
      </c>
      <c r="D110" s="95" t="str">
        <v>营销费用</v>
      </c>
      <c r="E110" s="99">
        <f>H110</f>
      </c>
      <c r="F110" s="100">
        <f>VLOOKUP(E110,'收集数据表'!A:K,6,0)</f>
      </c>
      <c r="G110" s="100" t="str">
        <v>品牌项目</v>
      </c>
      <c r="H110" s="97" t="str">
        <v>IMC花养</v>
      </c>
      <c r="I110" s="95" t="str">
        <v>品牌产品中心</v>
      </c>
      <c r="J110" s="95" t="str">
        <v>品牌营销部</v>
      </c>
      <c r="K110" s="95"/>
      <c r="L110" s="95"/>
      <c r="M110" s="98">
        <f>"销售费用_"&amp;D110&amp;"_"&amp;C110</f>
      </c>
      <c r="N110" s="98" t="str">
        <v>6601.36.16</v>
      </c>
      <c r="O110" s="98"/>
      <c r="P110" s="98">
        <f>C110</f>
      </c>
      <c r="Q110" s="95" t="str">
        <v>Y</v>
      </c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</row>
    <row r="111">
      <c r="A111" s="95">
        <f>ROW(B111)-2</f>
      </c>
      <c r="B111" s="96" t="str">
        <v>内容制作费</v>
      </c>
      <c r="C111" s="96" t="str">
        <v>拍摄物料费</v>
      </c>
      <c r="D111" s="95" t="str">
        <v>营销费用</v>
      </c>
      <c r="E111" s="99">
        <f>H111</f>
      </c>
      <c r="F111" s="100">
        <f>VLOOKUP(E111,'收集数据表'!A:K,6,0)</f>
      </c>
      <c r="G111" s="100" t="str">
        <v>品牌项目</v>
      </c>
      <c r="H111" s="97" t="str">
        <v>IMC国妆</v>
      </c>
      <c r="I111" s="95" t="str">
        <v>品牌产品中心</v>
      </c>
      <c r="J111" s="95" t="str">
        <v>品牌营销部</v>
      </c>
      <c r="K111" s="95"/>
      <c r="L111" s="95"/>
      <c r="M111" s="98">
        <f>"销售费用_"&amp;D111&amp;"_"&amp;C111</f>
      </c>
      <c r="N111" s="98" t="str">
        <v>6601.36.16</v>
      </c>
      <c r="O111" s="98"/>
      <c r="P111" s="98">
        <f>C111</f>
      </c>
      <c r="Q111" s="95" t="str">
        <v>Y</v>
      </c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</row>
    <row r="112">
      <c r="A112" s="95">
        <f>ROW(B112)-2</f>
      </c>
      <c r="B112" s="96" t="str">
        <v>内容制作费</v>
      </c>
      <c r="C112" s="96" t="str">
        <v>拍摄物料费</v>
      </c>
      <c r="D112" s="95" t="str">
        <v>营销费用</v>
      </c>
      <c r="E112" s="99">
        <f>H112</f>
      </c>
      <c r="F112" s="100">
        <f>VLOOKUP(E112,'收集数据表'!A:K,6,0)</f>
      </c>
      <c r="G112" s="100" t="str">
        <v>品牌项目</v>
      </c>
      <c r="H112" s="97" t="str">
        <v>IMC文化</v>
      </c>
      <c r="I112" s="95" t="str">
        <v>品牌产品中心</v>
      </c>
      <c r="J112" s="95" t="str">
        <v>品牌营销部</v>
      </c>
      <c r="K112" s="95"/>
      <c r="L112" s="95"/>
      <c r="M112" s="98">
        <f>"销售费用_"&amp;D112&amp;"_"&amp;C112</f>
      </c>
      <c r="N112" s="98" t="str">
        <v>6601.36.16</v>
      </c>
      <c r="O112" s="98"/>
      <c r="P112" s="98">
        <f>C112</f>
      </c>
      <c r="Q112" s="95" t="str">
        <v>Y</v>
      </c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</row>
    <row r="113">
      <c r="A113" s="95">
        <f>ROW(B113)-2</f>
      </c>
      <c r="B113" s="96" t="str">
        <v>内容制作费</v>
      </c>
      <c r="C113" s="96" t="str">
        <v>拍摄物料费</v>
      </c>
      <c r="D113" s="95" t="str">
        <v>营销费用</v>
      </c>
      <c r="E113" s="99">
        <f>H113</f>
      </c>
      <c r="F113" s="100">
        <f>VLOOKUP(E113,'收集数据表'!A:K,6,0)</f>
      </c>
      <c r="G113" s="100" t="str">
        <v>品牌项目</v>
      </c>
      <c r="H113" s="97" t="str">
        <v>日常-创意与物料</v>
      </c>
      <c r="I113" s="95" t="str">
        <v>品牌产品中心</v>
      </c>
      <c r="J113" s="95" t="str">
        <v>品牌营销部</v>
      </c>
      <c r="K113" s="95"/>
      <c r="L113" s="95"/>
      <c r="M113" s="98">
        <f>"销售费用_"&amp;D113&amp;"_"&amp;C113</f>
      </c>
      <c r="N113" s="98" t="str">
        <v>6601.36.16</v>
      </c>
      <c r="O113" s="98"/>
      <c r="P113" s="98">
        <f>C113</f>
      </c>
      <c r="Q113" s="95" t="str">
        <v>Y</v>
      </c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</row>
    <row r="114">
      <c r="A114" s="95">
        <f>ROW(B114)-2</f>
      </c>
      <c r="B114" s="96" t="str">
        <v>内容制作费</v>
      </c>
      <c r="C114" s="96" t="str">
        <v>内容制作费</v>
      </c>
      <c r="D114" s="95" t="str">
        <v>营销费用</v>
      </c>
      <c r="E114" s="99">
        <f>H114</f>
      </c>
      <c r="F114" s="100">
        <f>VLOOKUP(E114,'收集数据表'!A:K,6,0)</f>
      </c>
      <c r="G114" s="100" t="str">
        <v>品牌项目</v>
      </c>
      <c r="H114" s="97" t="str">
        <v>IMC花养</v>
      </c>
      <c r="I114" s="95" t="str">
        <v>品牌产品中心</v>
      </c>
      <c r="J114" s="95" t="str">
        <v>品牌营销部</v>
      </c>
      <c r="K114" s="95"/>
      <c r="L114" s="95"/>
      <c r="M114" s="98">
        <f>"销售费用_"&amp;D114&amp;"_"&amp;C114</f>
      </c>
      <c r="N114" s="98" t="str">
        <v>6601.36.14</v>
      </c>
      <c r="O114" s="98"/>
      <c r="P114" s="98">
        <f>C114</f>
      </c>
      <c r="Q114" s="95" t="str">
        <v>Y</v>
      </c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</row>
    <row r="115">
      <c r="A115" s="95">
        <f>ROW(B115)-2</f>
      </c>
      <c r="B115" s="96" t="str">
        <v>内容制作费</v>
      </c>
      <c r="C115" s="96" t="str">
        <v>内容制作费</v>
      </c>
      <c r="D115" s="95" t="str">
        <v>营销费用</v>
      </c>
      <c r="E115" s="99">
        <f>H115</f>
      </c>
      <c r="F115" s="100">
        <f>VLOOKUP(E115,'收集数据表'!A:K,6,0)</f>
      </c>
      <c r="G115" s="100" t="str">
        <v>品牌项目</v>
      </c>
      <c r="H115" s="97" t="str">
        <v>IMC国妆</v>
      </c>
      <c r="I115" s="95" t="str">
        <v>品牌产品中心</v>
      </c>
      <c r="J115" s="95" t="str">
        <v>品牌营销部</v>
      </c>
      <c r="K115" s="95"/>
      <c r="L115" s="95"/>
      <c r="M115" s="98">
        <f>"销售费用_"&amp;D115&amp;"_"&amp;C115</f>
      </c>
      <c r="N115" s="98" t="str">
        <v>6601.36.14</v>
      </c>
      <c r="O115" s="98"/>
      <c r="P115" s="98">
        <f>C115</f>
      </c>
      <c r="Q115" s="95" t="str">
        <v>Y</v>
      </c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</row>
    <row r="116">
      <c r="A116" s="95">
        <f>ROW(B116)-2</f>
      </c>
      <c r="B116" s="96" t="str">
        <v>内容制作费</v>
      </c>
      <c r="C116" s="96" t="str">
        <v>内容制作费</v>
      </c>
      <c r="D116" s="95" t="str">
        <v>营销费用</v>
      </c>
      <c r="E116" s="99">
        <f>H116</f>
      </c>
      <c r="F116" s="100">
        <f>VLOOKUP(E116,'收集数据表'!A:K,6,0)</f>
      </c>
      <c r="G116" s="100" t="str">
        <v>品牌项目</v>
      </c>
      <c r="H116" s="97" t="str">
        <v>IMC文化</v>
      </c>
      <c r="I116" s="95" t="str">
        <v>品牌产品中心</v>
      </c>
      <c r="J116" s="95" t="str">
        <v>品牌营销部</v>
      </c>
      <c r="K116" s="95"/>
      <c r="L116" s="95"/>
      <c r="M116" s="98">
        <f>"销售费用_"&amp;D116&amp;"_"&amp;C116</f>
      </c>
      <c r="N116" s="98" t="str">
        <v>6601.36.14</v>
      </c>
      <c r="O116" s="98"/>
      <c r="P116" s="98">
        <f>C116</f>
      </c>
      <c r="Q116" s="95" t="str">
        <v>Y</v>
      </c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</row>
    <row r="117">
      <c r="A117" s="95">
        <f>ROW(B117)-2</f>
      </c>
      <c r="B117" s="96" t="str">
        <v>内容制作费</v>
      </c>
      <c r="C117" s="96" t="str">
        <v>内容制作费</v>
      </c>
      <c r="D117" s="95" t="str">
        <v>营销费用</v>
      </c>
      <c r="E117" s="99">
        <f>H117</f>
      </c>
      <c r="F117" s="100">
        <f>VLOOKUP(E117,'收集数据表'!A:K,6,0)</f>
      </c>
      <c r="G117" s="100" t="str">
        <v>品牌项目</v>
      </c>
      <c r="H117" s="97" t="str">
        <v>日常-创意与物料</v>
      </c>
      <c r="I117" s="95" t="str">
        <v>品牌产品中心</v>
      </c>
      <c r="J117" s="95" t="str">
        <v>品牌营销部</v>
      </c>
      <c r="K117" s="95"/>
      <c r="L117" s="95"/>
      <c r="M117" s="98">
        <f>"销售费用_"&amp;D117&amp;"_"&amp;C117</f>
      </c>
      <c r="N117" s="98" t="str">
        <v>6601.36.14</v>
      </c>
      <c r="O117" s="98"/>
      <c r="P117" s="98">
        <f>C117</f>
      </c>
      <c r="Q117" s="95" t="str">
        <v>Y</v>
      </c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</row>
    <row r="118">
      <c r="A118" s="95">
        <f>ROW(B118)-2</f>
      </c>
      <c r="B118" s="96" t="str">
        <v>品牌宣传费</v>
      </c>
      <c r="C118" s="96" t="str">
        <v>创意策划服务费</v>
      </c>
      <c r="D118" s="95" t="str">
        <v>营销费用</v>
      </c>
      <c r="E118" s="99">
        <f>H118</f>
      </c>
      <c r="F118" s="100">
        <f>VLOOKUP(E118,'收集数据表'!A:K,6,0)</f>
      </c>
      <c r="G118" s="100" t="str">
        <v>品牌项目</v>
      </c>
      <c r="H118" s="97" t="str">
        <v>IMC花养</v>
      </c>
      <c r="I118" s="95" t="str">
        <v>品牌产品中心</v>
      </c>
      <c r="J118" s="95" t="str">
        <v>品牌营销部</v>
      </c>
      <c r="K118" s="95"/>
      <c r="L118" s="95"/>
      <c r="M118" s="98" t="str">
        <v>销售费用_营销费用_策划服务费</v>
      </c>
      <c r="N118" s="98" t="str">
        <v>6601.36.01</v>
      </c>
      <c r="O118" s="98"/>
      <c r="P118" s="98" t="str">
        <v>策划服务费</v>
      </c>
      <c r="Q118" s="95" t="str">
        <v>Y</v>
      </c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</row>
    <row r="119">
      <c r="A119" s="95">
        <f>ROW(B119)-2</f>
      </c>
      <c r="B119" s="96" t="str">
        <v>品牌宣传费</v>
      </c>
      <c r="C119" s="96" t="str">
        <v>创意策划服务费</v>
      </c>
      <c r="D119" s="95" t="str">
        <v>营销费用</v>
      </c>
      <c r="E119" s="99">
        <f>H119</f>
      </c>
      <c r="F119" s="100">
        <f>VLOOKUP(E119,'收集数据表'!A:K,6,0)</f>
      </c>
      <c r="G119" s="100" t="str">
        <v>品牌项目</v>
      </c>
      <c r="H119" s="97" t="str">
        <v>IMC国妆</v>
      </c>
      <c r="I119" s="95" t="str">
        <v>品牌产品中心</v>
      </c>
      <c r="J119" s="95" t="str">
        <v>品牌营销部</v>
      </c>
      <c r="K119" s="95"/>
      <c r="L119" s="95"/>
      <c r="M119" s="98" t="str">
        <v>销售费用_营销费用_策划服务费</v>
      </c>
      <c r="N119" s="98" t="str">
        <v>6601.36.01</v>
      </c>
      <c r="O119" s="98"/>
      <c r="P119" s="98" t="str">
        <v>策划服务费</v>
      </c>
      <c r="Q119" s="95" t="str">
        <v>Y</v>
      </c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</row>
    <row r="120">
      <c r="A120" s="95">
        <f>ROW(B120)-2</f>
      </c>
      <c r="B120" s="96" t="str">
        <v>品牌宣传费</v>
      </c>
      <c r="C120" s="96" t="str">
        <v>创意策划服务费</v>
      </c>
      <c r="D120" s="95" t="str">
        <v>营销费用</v>
      </c>
      <c r="E120" s="99">
        <f>H120</f>
      </c>
      <c r="F120" s="100">
        <f>VLOOKUP(E120,'收集数据表'!A:K,6,0)</f>
      </c>
      <c r="G120" s="100" t="str">
        <v>品牌项目</v>
      </c>
      <c r="H120" s="97" t="str">
        <v>IMC文化</v>
      </c>
      <c r="I120" s="95" t="str">
        <v>品牌产品中心</v>
      </c>
      <c r="J120" s="95" t="str">
        <v>品牌营销部</v>
      </c>
      <c r="K120" s="95"/>
      <c r="L120" s="95"/>
      <c r="M120" s="98" t="str">
        <v>销售费用_营销费用_策划服务费</v>
      </c>
      <c r="N120" s="98" t="str">
        <v>6601.36.01</v>
      </c>
      <c r="O120" s="98"/>
      <c r="P120" s="98" t="str">
        <v>策划服务费</v>
      </c>
      <c r="Q120" s="95" t="str">
        <v>Y</v>
      </c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</row>
    <row r="121">
      <c r="A121" s="95">
        <f>ROW(B121)-2</f>
      </c>
      <c r="B121" s="96" t="str">
        <v>品牌宣传费</v>
      </c>
      <c r="C121" s="96" t="str">
        <v>创意策划服务费</v>
      </c>
      <c r="D121" s="95" t="str">
        <v>营销费用</v>
      </c>
      <c r="E121" s="99">
        <f>H121</f>
      </c>
      <c r="F121" s="100">
        <f>VLOOKUP(E121,'收集数据表'!A:K,6,0)</f>
      </c>
      <c r="G121" s="100" t="str">
        <v>品牌项目</v>
      </c>
      <c r="H121" s="97" t="str">
        <v>日常-创意与物料</v>
      </c>
      <c r="I121" s="95" t="str">
        <v>品牌产品中心</v>
      </c>
      <c r="J121" s="95" t="str">
        <v>品牌营销部</v>
      </c>
      <c r="K121" s="95"/>
      <c r="L121" s="95"/>
      <c r="M121" s="98" t="str">
        <v>销售费用_营销费用_策划服务费</v>
      </c>
      <c r="N121" s="98" t="str">
        <v>6601.36.01</v>
      </c>
      <c r="O121" s="98"/>
      <c r="P121" s="98" t="str">
        <v>策划服务费</v>
      </c>
      <c r="Q121" s="95" t="str">
        <v>Y</v>
      </c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</row>
    <row r="122">
      <c r="A122" s="95">
        <f>ROW(B122)-2</f>
      </c>
      <c r="B122" s="96" t="str">
        <v>品牌宣传费</v>
      </c>
      <c r="C122" s="96" t="str">
        <v>市场调研费</v>
      </c>
      <c r="D122" s="95" t="str">
        <v>营销费用</v>
      </c>
      <c r="E122" s="98" t="str">
        <v>数据采买和调研费</v>
      </c>
      <c r="F122" s="100">
        <f>VLOOKUP(E122,'收集数据表'!A:K,6,0)</f>
      </c>
      <c r="G122" s="100" t="str">
        <v>品牌项目</v>
      </c>
      <c r="H122" s="97" t="str">
        <v>日常-测试</v>
      </c>
      <c r="I122" s="95" t="str">
        <v>品牌产品中心</v>
      </c>
      <c r="J122" s="95" t="str">
        <v>品牌营销部</v>
      </c>
      <c r="K122" s="95"/>
      <c r="L122" s="95"/>
      <c r="M122" s="98">
        <f>"销售费用_"&amp;D122&amp;"_"&amp;C122</f>
      </c>
      <c r="N122" s="98" t="str">
        <v>6601.36.20</v>
      </c>
      <c r="O122" s="98"/>
      <c r="P122" s="98">
        <f>C122</f>
      </c>
      <c r="Q122" s="95" t="str">
        <v>Y</v>
      </c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</row>
    <row r="123">
      <c r="A123" s="136">
        <f>ROW(B123)-2</f>
      </c>
      <c r="B123" s="134" t="str">
        <v>品牌宣传费</v>
      </c>
      <c r="C123" s="134" t="str">
        <v>明星合作费</v>
      </c>
      <c r="D123" s="136" t="str">
        <v>营销费用</v>
      </c>
      <c r="E123" s="99">
        <f>H123</f>
      </c>
      <c r="F123" s="100">
        <f>VLOOKUP(E123,'收集数据表'!A:K,6,0)</f>
      </c>
      <c r="G123" s="138" t="str">
        <v>品牌项目</v>
      </c>
      <c r="H123" s="137" t="str">
        <v>IMC花养</v>
      </c>
      <c r="I123" s="136" t="str">
        <v>品牌产品中心</v>
      </c>
      <c r="J123" s="136" t="str">
        <v>品牌营销部</v>
      </c>
      <c r="K123" s="136"/>
      <c r="L123" s="136"/>
      <c r="M123" s="135" t="str">
        <v>销售费用_营销费用_明星合作费</v>
      </c>
      <c r="N123" s="98" t="str">
        <v>6601.36.12</v>
      </c>
      <c r="O123" s="135"/>
      <c r="P123" s="135" t="str">
        <v>代言费</v>
      </c>
      <c r="Q123" s="136" t="str">
        <v>Y</v>
      </c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</row>
    <row r="124">
      <c r="A124" s="136">
        <f>ROW(B124)-2</f>
      </c>
      <c r="B124" s="134" t="str">
        <v>品牌宣传费</v>
      </c>
      <c r="C124" s="134" t="str">
        <v>明星合作费</v>
      </c>
      <c r="D124" s="136" t="str">
        <v>营销费用</v>
      </c>
      <c r="E124" s="99">
        <f>H124</f>
      </c>
      <c r="F124" s="100">
        <f>VLOOKUP(E124,'收集数据表'!A:K,6,0)</f>
      </c>
      <c r="G124" s="138" t="str">
        <v>品牌项目</v>
      </c>
      <c r="H124" s="137" t="str">
        <v>IMC国妆</v>
      </c>
      <c r="I124" s="136" t="str">
        <v>品牌产品中心</v>
      </c>
      <c r="J124" s="136" t="str">
        <v>品牌营销部</v>
      </c>
      <c r="K124" s="136"/>
      <c r="L124" s="136"/>
      <c r="M124" s="135" t="str">
        <v>销售费用_营销费用_明星合作费</v>
      </c>
      <c r="N124" s="98" t="str">
        <v>6601.36.12</v>
      </c>
      <c r="O124" s="135"/>
      <c r="P124" s="135" t="str">
        <v>代言费</v>
      </c>
      <c r="Q124" s="136" t="str">
        <v>Y</v>
      </c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</row>
    <row r="125">
      <c r="A125" s="136">
        <f>ROW(B125)-2</f>
      </c>
      <c r="B125" s="134" t="str">
        <v>品牌宣传费</v>
      </c>
      <c r="C125" s="134" t="str">
        <v>明星合作费</v>
      </c>
      <c r="D125" s="136" t="str">
        <v>营销费用</v>
      </c>
      <c r="E125" s="99">
        <f>H125</f>
      </c>
      <c r="F125" s="100">
        <f>VLOOKUP(E125,'收集数据表'!A:K,6,0)</f>
      </c>
      <c r="G125" s="138" t="str">
        <v>品牌项目</v>
      </c>
      <c r="H125" s="137" t="str">
        <v>IMC文化</v>
      </c>
      <c r="I125" s="136" t="str">
        <v>品牌产品中心</v>
      </c>
      <c r="J125" s="136" t="str">
        <v>品牌营销部</v>
      </c>
      <c r="K125" s="136"/>
      <c r="L125" s="136"/>
      <c r="M125" s="135" t="str">
        <v>销售费用_营销费用_明星合作费</v>
      </c>
      <c r="N125" s="98" t="str">
        <v>6601.36.12</v>
      </c>
      <c r="O125" s="135"/>
      <c r="P125" s="135" t="str">
        <v>代言费</v>
      </c>
      <c r="Q125" s="136" t="str">
        <v>Y</v>
      </c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</row>
    <row r="126">
      <c r="A126" s="95">
        <f>ROW(B126)-2</f>
      </c>
      <c r="B126" s="96" t="str">
        <v>品牌宣传费</v>
      </c>
      <c r="C126" s="96" t="str">
        <v>活动策划服务费</v>
      </c>
      <c r="D126" s="95" t="str">
        <v>营销费用</v>
      </c>
      <c r="E126" s="99">
        <f>H126</f>
      </c>
      <c r="F126" s="100">
        <f>VLOOKUP(E126,'收集数据表'!A:K,6,0)</f>
      </c>
      <c r="G126" s="100" t="str">
        <v>品牌项目</v>
      </c>
      <c r="H126" s="97" t="str">
        <v>IMC花养</v>
      </c>
      <c r="I126" s="95" t="str">
        <v>品牌产品中心</v>
      </c>
      <c r="J126" s="95" t="str">
        <v>品牌营销部</v>
      </c>
      <c r="K126" s="95"/>
      <c r="L126" s="95"/>
      <c r="M126" s="98" t="str">
        <v>销售费用_营销费用_策划服务费</v>
      </c>
      <c r="N126" s="98" t="str">
        <v>6601.36.01</v>
      </c>
      <c r="O126" s="98"/>
      <c r="P126" s="98" t="str">
        <v>策划服务费</v>
      </c>
      <c r="Q126" s="95" t="str">
        <v>Y</v>
      </c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</row>
    <row r="127">
      <c r="A127" s="95">
        <f>ROW(B127)-2</f>
      </c>
      <c r="B127" s="96" t="str">
        <v>品牌宣传费</v>
      </c>
      <c r="C127" s="96" t="str">
        <v>活动策划服务费</v>
      </c>
      <c r="D127" s="95" t="str">
        <v>营销费用</v>
      </c>
      <c r="E127" s="99">
        <f>H127</f>
      </c>
      <c r="F127" s="100">
        <f>VLOOKUP(E127,'收集数据表'!A:K,6,0)</f>
      </c>
      <c r="G127" s="100" t="str">
        <v>品牌项目</v>
      </c>
      <c r="H127" s="97" t="str">
        <v>IMC国妆</v>
      </c>
      <c r="I127" s="95" t="str">
        <v>品牌产品中心</v>
      </c>
      <c r="J127" s="95" t="str">
        <v>品牌营销部</v>
      </c>
      <c r="K127" s="95"/>
      <c r="L127" s="95"/>
      <c r="M127" s="98" t="str">
        <v>销售费用_营销费用_策划服务费</v>
      </c>
      <c r="N127" s="98" t="str">
        <v>6601.36.01</v>
      </c>
      <c r="O127" s="98"/>
      <c r="P127" s="98" t="str">
        <v>策划服务费</v>
      </c>
      <c r="Q127" s="95" t="str">
        <v>Y</v>
      </c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</row>
    <row r="128">
      <c r="A128" s="95">
        <f>ROW(B128)-2</f>
      </c>
      <c r="B128" s="96" t="str">
        <v>品牌宣传费</v>
      </c>
      <c r="C128" s="96" t="str">
        <v>活动策划服务费</v>
      </c>
      <c r="D128" s="95" t="str">
        <v>营销费用</v>
      </c>
      <c r="E128" s="99">
        <f>H128</f>
      </c>
      <c r="F128" s="100">
        <f>VLOOKUP(E128,'收集数据表'!A:K,6,0)</f>
      </c>
      <c r="G128" s="100" t="str">
        <v>品牌项目</v>
      </c>
      <c r="H128" s="97" t="str">
        <v>IMC文化</v>
      </c>
      <c r="I128" s="95" t="str">
        <v>品牌产品中心</v>
      </c>
      <c r="J128" s="95" t="str">
        <v>品牌营销部</v>
      </c>
      <c r="K128" s="95"/>
      <c r="L128" s="95"/>
      <c r="M128" s="98" t="str">
        <v>销售费用_营销费用_策划服务费</v>
      </c>
      <c r="N128" s="98" t="str">
        <v>6601.36.01</v>
      </c>
      <c r="O128" s="98"/>
      <c r="P128" s="98" t="str">
        <v>策划服务费</v>
      </c>
      <c r="Q128" s="95" t="str">
        <v>Y</v>
      </c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</row>
    <row r="129">
      <c r="A129" s="95">
        <f>ROW(B129)-2</f>
      </c>
      <c r="B129" s="96" t="str">
        <v>品牌宣传费</v>
      </c>
      <c r="C129" s="96" t="str">
        <v>活动策划服务费</v>
      </c>
      <c r="D129" s="95" t="str">
        <v>营销费用</v>
      </c>
      <c r="E129" s="99">
        <f>H129</f>
      </c>
      <c r="F129" s="100">
        <f>VLOOKUP(E129,'收集数据表'!A:K,6,0)</f>
      </c>
      <c r="G129" s="100" t="str">
        <v>品牌项目</v>
      </c>
      <c r="H129" s="97" t="str">
        <v>日常-创意与物料</v>
      </c>
      <c r="I129" s="95" t="str">
        <v>品牌产品中心</v>
      </c>
      <c r="J129" s="95" t="str">
        <v>品牌营销部</v>
      </c>
      <c r="K129" s="95"/>
      <c r="L129" s="95"/>
      <c r="M129" s="98" t="str">
        <v>销售费用_营销费用_策划服务费</v>
      </c>
      <c r="N129" s="98" t="str">
        <v>6601.36.01</v>
      </c>
      <c r="O129" s="98"/>
      <c r="P129" s="98" t="str">
        <v>策划服务费</v>
      </c>
      <c r="Q129" s="95" t="str">
        <v>Y</v>
      </c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</row>
    <row r="130">
      <c r="A130" s="95">
        <f>ROW(B130)-2</f>
      </c>
      <c r="B130" s="96" t="str">
        <v>媒介宣传费</v>
      </c>
      <c r="C130" s="96" t="str">
        <v>媒体宣发费</v>
      </c>
      <c r="D130" s="95" t="str">
        <v>营销费用</v>
      </c>
      <c r="E130" s="99">
        <f>H130</f>
      </c>
      <c r="F130" s="100">
        <f>VLOOKUP(E130,'收集数据表'!A:K,6,0)</f>
      </c>
      <c r="G130" s="100" t="str">
        <v>品牌项目</v>
      </c>
      <c r="H130" s="97" t="str">
        <v>IMC花养</v>
      </c>
      <c r="I130" s="95" t="str">
        <v>品牌产品中心</v>
      </c>
      <c r="J130" s="95" t="str">
        <v>品牌营销部</v>
      </c>
      <c r="K130" s="95"/>
      <c r="L130" s="95"/>
      <c r="M130" s="98">
        <f>"销售费用_"&amp;D130&amp;"_"&amp;C130</f>
      </c>
      <c r="N130" s="98" t="str">
        <v>#N/A</v>
      </c>
      <c r="O130" s="98"/>
      <c r="P130" s="98">
        <f>C130</f>
      </c>
      <c r="Q130" s="95" t="str">
        <v>Y</v>
      </c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</row>
    <row r="131">
      <c r="A131" s="95">
        <f>ROW(B131)-2</f>
      </c>
      <c r="B131" s="96" t="str">
        <v>媒介宣传费</v>
      </c>
      <c r="C131" s="96" t="str">
        <v>媒体宣发费</v>
      </c>
      <c r="D131" s="95" t="str">
        <v>营销费用</v>
      </c>
      <c r="E131" s="99">
        <f>H131</f>
      </c>
      <c r="F131" s="100">
        <f>VLOOKUP(E131,'收集数据表'!A:K,6,0)</f>
      </c>
      <c r="G131" s="100" t="str">
        <v>品牌项目</v>
      </c>
      <c r="H131" s="97" t="str">
        <v>IMC国妆</v>
      </c>
      <c r="I131" s="95" t="str">
        <v>品牌产品中心</v>
      </c>
      <c r="J131" s="95" t="str">
        <v>品牌营销部</v>
      </c>
      <c r="K131" s="95"/>
      <c r="L131" s="95"/>
      <c r="M131" s="98">
        <f>"销售费用_"&amp;D131&amp;"_"&amp;C131</f>
      </c>
      <c r="N131" s="98" t="str">
        <v>#N/A</v>
      </c>
      <c r="O131" s="98"/>
      <c r="P131" s="98">
        <f>C131</f>
      </c>
      <c r="Q131" s="95" t="str">
        <v>Y</v>
      </c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</row>
    <row r="132">
      <c r="A132" s="95">
        <f>ROW(B132)-2</f>
      </c>
      <c r="B132" s="96" t="str">
        <v>媒介宣传费</v>
      </c>
      <c r="C132" s="96" t="str">
        <v>媒体宣发费</v>
      </c>
      <c r="D132" s="95" t="str">
        <v>营销费用</v>
      </c>
      <c r="E132" s="99">
        <f>H132</f>
      </c>
      <c r="F132" s="100">
        <f>VLOOKUP(E132,'收集数据表'!A:K,6,0)</f>
      </c>
      <c r="G132" s="100" t="str">
        <v>品牌项目</v>
      </c>
      <c r="H132" s="97" t="str">
        <v>IMC文化</v>
      </c>
      <c r="I132" s="95" t="str">
        <v>品牌产品中心</v>
      </c>
      <c r="J132" s="95" t="str">
        <v>品牌营销部</v>
      </c>
      <c r="K132" s="95"/>
      <c r="L132" s="95"/>
      <c r="M132" s="98">
        <f>"销售费用_"&amp;D132&amp;"_"&amp;C132</f>
      </c>
      <c r="N132" s="98" t="str">
        <v>#N/A</v>
      </c>
      <c r="O132" s="98"/>
      <c r="P132" s="98">
        <f>C132</f>
      </c>
      <c r="Q132" s="95" t="str">
        <v>Y</v>
      </c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</row>
    <row r="133">
      <c r="A133" s="95">
        <f>ROW(B133)-2</f>
      </c>
      <c r="B133" s="96" t="str">
        <v>媒介宣传费</v>
      </c>
      <c r="C133" s="96" t="str">
        <v>媒体宣发费</v>
      </c>
      <c r="D133" s="95" t="str">
        <v>营销费用</v>
      </c>
      <c r="E133" s="99">
        <f>H133</f>
      </c>
      <c r="F133" s="100">
        <f>VLOOKUP(E133,'收集数据表'!A:K,6,0)</f>
      </c>
      <c r="G133" s="100" t="str">
        <v>品牌项目</v>
      </c>
      <c r="H133" s="97" t="str">
        <v>日常-创意与物料</v>
      </c>
      <c r="I133" s="95" t="str">
        <v>品牌产品中心</v>
      </c>
      <c r="J133" s="95" t="str">
        <v>品牌营销部</v>
      </c>
      <c r="K133" s="95"/>
      <c r="L133" s="95"/>
      <c r="M133" s="98">
        <f>"销售费用_"&amp;D133&amp;"_"&amp;C133</f>
      </c>
      <c r="N133" s="98" t="str">
        <v>#N/A</v>
      </c>
      <c r="O133" s="98"/>
      <c r="P133" s="98">
        <f>C133</f>
      </c>
      <c r="Q133" s="95" t="str">
        <v>Y</v>
      </c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</row>
    <row r="134">
      <c r="A134" s="95">
        <f>ROW(B134)-2</f>
      </c>
      <c r="B134" s="96" t="str">
        <v>其他费用</v>
      </c>
      <c r="C134" s="96" t="str">
        <v>场地租赁费</v>
      </c>
      <c r="D134" s="95" t="str">
        <v>营销费用</v>
      </c>
      <c r="E134" s="99">
        <f>H134</f>
      </c>
      <c r="F134" s="100">
        <f>VLOOKUP(E134,'收集数据表'!A:K,6,0)</f>
      </c>
      <c r="G134" s="100" t="str">
        <v>品牌项目</v>
      </c>
      <c r="H134" s="97" t="str">
        <v>IMC花养</v>
      </c>
      <c r="I134" s="95" t="str">
        <v>品牌产品中心</v>
      </c>
      <c r="J134" s="95" t="str">
        <v>品牌营销部</v>
      </c>
      <c r="K134" s="95"/>
      <c r="L134" s="95"/>
      <c r="M134" s="98">
        <f>"销售费用_"&amp;D134&amp;"_"&amp;C134</f>
      </c>
      <c r="N134" s="98" t="str">
        <v>6601.36.02</v>
      </c>
      <c r="O134" s="98"/>
      <c r="P134" s="98">
        <f>C134</f>
      </c>
      <c r="Q134" s="95" t="str">
        <v>Y</v>
      </c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</row>
    <row r="135">
      <c r="A135" s="95">
        <f>ROW(B135)-2</f>
      </c>
      <c r="B135" s="96" t="str">
        <v>其他费用</v>
      </c>
      <c r="C135" s="96" t="str">
        <v>场地租赁费</v>
      </c>
      <c r="D135" s="95" t="str">
        <v>营销费用</v>
      </c>
      <c r="E135" s="99">
        <f>H135</f>
      </c>
      <c r="F135" s="100">
        <f>VLOOKUP(E135,'收集数据表'!A:K,6,0)</f>
      </c>
      <c r="G135" s="100" t="str">
        <v>品牌项目</v>
      </c>
      <c r="H135" s="97" t="str">
        <v>IMC国妆</v>
      </c>
      <c r="I135" s="95" t="str">
        <v>品牌产品中心</v>
      </c>
      <c r="J135" s="95" t="str">
        <v>品牌营销部</v>
      </c>
      <c r="K135" s="95"/>
      <c r="L135" s="95"/>
      <c r="M135" s="98">
        <f>"销售费用_"&amp;D135&amp;"_"&amp;C135</f>
      </c>
      <c r="N135" s="98" t="str">
        <v>6601.36.02</v>
      </c>
      <c r="O135" s="98"/>
      <c r="P135" s="98">
        <f>C135</f>
      </c>
      <c r="Q135" s="95" t="str">
        <v>Y</v>
      </c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</row>
    <row r="136">
      <c r="A136" s="95">
        <f>ROW(B136)-2</f>
      </c>
      <c r="B136" s="96" t="str">
        <v>其他费用</v>
      </c>
      <c r="C136" s="96" t="str">
        <v>场地租赁费</v>
      </c>
      <c r="D136" s="95" t="str">
        <v>营销费用</v>
      </c>
      <c r="E136" s="99">
        <f>H136</f>
      </c>
      <c r="F136" s="100">
        <f>VLOOKUP(E136,'收集数据表'!A:K,6,0)</f>
      </c>
      <c r="G136" s="100" t="str">
        <v>品牌项目</v>
      </c>
      <c r="H136" s="97" t="str">
        <v>IMC文化</v>
      </c>
      <c r="I136" s="95" t="str">
        <v>品牌产品中心</v>
      </c>
      <c r="J136" s="95" t="str">
        <v>品牌营销部</v>
      </c>
      <c r="K136" s="95"/>
      <c r="L136" s="95"/>
      <c r="M136" s="98">
        <f>"销售费用_"&amp;D136&amp;"_"&amp;C136</f>
      </c>
      <c r="N136" s="98" t="str">
        <v>6601.36.02</v>
      </c>
      <c r="O136" s="98"/>
      <c r="P136" s="98">
        <f>C136</f>
      </c>
      <c r="Q136" s="95" t="str">
        <v>Y</v>
      </c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</row>
    <row r="137">
      <c r="A137" s="95">
        <f>ROW(B137)-2</f>
      </c>
      <c r="B137" s="96" t="str">
        <v>其他费用</v>
      </c>
      <c r="C137" s="96" t="str">
        <v>场地租赁费</v>
      </c>
      <c r="D137" s="95" t="str">
        <v>营销费用</v>
      </c>
      <c r="E137" s="99">
        <f>H137</f>
      </c>
      <c r="F137" s="100">
        <f>VLOOKUP(E137,'收集数据表'!A:K,6,0)</f>
      </c>
      <c r="G137" s="100" t="str">
        <v>品牌项目</v>
      </c>
      <c r="H137" s="97" t="str">
        <v>日常-创意与物料</v>
      </c>
      <c r="I137" s="95" t="str">
        <v>品牌产品中心</v>
      </c>
      <c r="J137" s="95" t="str">
        <v>品牌营销部</v>
      </c>
      <c r="K137" s="95"/>
      <c r="L137" s="95"/>
      <c r="M137" s="98">
        <f>"销售费用_"&amp;D137&amp;"_"&amp;C137</f>
      </c>
      <c r="N137" s="98" t="str">
        <v>6601.36.02</v>
      </c>
      <c r="O137" s="98"/>
      <c r="P137" s="98">
        <f>C137</f>
      </c>
      <c r="Q137" s="95" t="str">
        <v>Y</v>
      </c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</row>
    <row r="138">
      <c r="A138" s="95">
        <f>ROW(B138)-2</f>
      </c>
      <c r="B138" s="123" t="str">
        <v>其他费用</v>
      </c>
      <c r="C138" s="96" t="str">
        <v>舞台场地搭建费</v>
      </c>
      <c r="D138" s="95" t="str">
        <v>营销费用</v>
      </c>
      <c r="E138" s="99">
        <f>H138</f>
      </c>
      <c r="F138" s="100">
        <f>VLOOKUP(E138,'收集数据表'!A:K,6,0)</f>
      </c>
      <c r="G138" s="100" t="str">
        <v>品牌项目</v>
      </c>
      <c r="H138" s="97" t="str">
        <v>IMC花养</v>
      </c>
      <c r="I138" s="95" t="str">
        <v>品牌产品中心</v>
      </c>
      <c r="J138" s="95" t="str">
        <v>品牌营销部</v>
      </c>
      <c r="K138" s="95"/>
      <c r="L138" s="95"/>
      <c r="M138" s="98" t="str">
        <v>销售费用_营销费用_搭建服务费</v>
      </c>
      <c r="N138" s="98" t="str">
        <v>6601.36.03</v>
      </c>
      <c r="O138" s="98"/>
      <c r="P138" s="98" t="str">
        <v>搭建服务费</v>
      </c>
      <c r="Q138" s="95" t="str">
        <v>Y</v>
      </c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</row>
    <row r="139">
      <c r="A139" s="95">
        <f>ROW(B139)-2</f>
      </c>
      <c r="B139" s="123" t="str">
        <v>其他费用</v>
      </c>
      <c r="C139" s="96" t="str">
        <v>舞台场地搭建费</v>
      </c>
      <c r="D139" s="95" t="str">
        <v>营销费用</v>
      </c>
      <c r="E139" s="99">
        <f>H139</f>
      </c>
      <c r="F139" s="100">
        <f>VLOOKUP(E139,'收集数据表'!A:K,6,0)</f>
      </c>
      <c r="G139" s="100" t="str">
        <v>品牌项目</v>
      </c>
      <c r="H139" s="97" t="str">
        <v>IMC国妆</v>
      </c>
      <c r="I139" s="95" t="str">
        <v>品牌产品中心</v>
      </c>
      <c r="J139" s="95" t="str">
        <v>品牌营销部</v>
      </c>
      <c r="K139" s="95"/>
      <c r="L139" s="95"/>
      <c r="M139" s="98" t="str">
        <v>销售费用_营销费用_搭建服务费</v>
      </c>
      <c r="N139" s="98" t="str">
        <v>6601.36.03</v>
      </c>
      <c r="O139" s="98"/>
      <c r="P139" s="98" t="str">
        <v>搭建服务费</v>
      </c>
      <c r="Q139" s="95" t="str">
        <v>Y</v>
      </c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</row>
    <row r="140">
      <c r="A140" s="95">
        <f>ROW(B140)-2</f>
      </c>
      <c r="B140" s="123" t="str">
        <v>其他费用</v>
      </c>
      <c r="C140" s="96" t="str">
        <v>舞台场地搭建费</v>
      </c>
      <c r="D140" s="95" t="str">
        <v>营销费用</v>
      </c>
      <c r="E140" s="99">
        <f>H140</f>
      </c>
      <c r="F140" s="100">
        <f>VLOOKUP(E140,'收集数据表'!A:K,6,0)</f>
      </c>
      <c r="G140" s="100" t="str">
        <v>品牌项目</v>
      </c>
      <c r="H140" s="97" t="str">
        <v>IMC文化</v>
      </c>
      <c r="I140" s="95" t="str">
        <v>品牌产品中心</v>
      </c>
      <c r="J140" s="95" t="str">
        <v>品牌营销部</v>
      </c>
      <c r="K140" s="95"/>
      <c r="L140" s="95"/>
      <c r="M140" s="98" t="str">
        <v>销售费用_营销费用_搭建服务费</v>
      </c>
      <c r="N140" s="98" t="str">
        <v>6601.36.03</v>
      </c>
      <c r="O140" s="98"/>
      <c r="P140" s="98" t="str">
        <v>搭建服务费</v>
      </c>
      <c r="Q140" s="95" t="str">
        <v>Y</v>
      </c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</row>
    <row r="141">
      <c r="A141" s="95">
        <f>ROW(B141)-2</f>
      </c>
      <c r="B141" s="123" t="str">
        <v>其他费用</v>
      </c>
      <c r="C141" s="96" t="str">
        <v>舞台场地搭建费</v>
      </c>
      <c r="D141" s="95" t="str">
        <v>营销费用</v>
      </c>
      <c r="E141" s="99">
        <f>H141</f>
      </c>
      <c r="F141" s="100">
        <f>VLOOKUP(E141,'收集数据表'!A:K,6,0)</f>
      </c>
      <c r="G141" s="100" t="str">
        <v>品牌项目</v>
      </c>
      <c r="H141" s="97" t="str">
        <v>日常-创意与物料</v>
      </c>
      <c r="I141" s="95" t="str">
        <v>品牌产品中心</v>
      </c>
      <c r="J141" s="95" t="str">
        <v>品牌营销部</v>
      </c>
      <c r="K141" s="95"/>
      <c r="L141" s="95"/>
      <c r="M141" s="98" t="str">
        <v>销售费用_营销费用_搭建服务费</v>
      </c>
      <c r="N141" s="98" t="str">
        <v>6601.36.03</v>
      </c>
      <c r="O141" s="98"/>
      <c r="P141" s="98" t="str">
        <v>搭建服务费</v>
      </c>
      <c r="Q141" s="95" t="str">
        <v>Y</v>
      </c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</row>
    <row r="142">
      <c r="A142" s="95">
        <f>ROW(B142)-2</f>
      </c>
      <c r="B142" s="96" t="str">
        <v>其他费用</v>
      </c>
      <c r="C142" s="96" t="str">
        <v>设备租赁费</v>
      </c>
      <c r="D142" s="95" t="str">
        <v>营销费用</v>
      </c>
      <c r="E142" s="99">
        <f>H142</f>
      </c>
      <c r="F142" s="100">
        <f>VLOOKUP(E142,'收集数据表'!A:K,6,0)</f>
      </c>
      <c r="G142" s="100" t="str">
        <v>品牌项目</v>
      </c>
      <c r="H142" s="97" t="str">
        <v>IMC花养</v>
      </c>
      <c r="I142" s="95" t="str">
        <v>品牌产品中心</v>
      </c>
      <c r="J142" s="95" t="str">
        <v>品牌营销部</v>
      </c>
      <c r="K142" s="95"/>
      <c r="L142" s="95"/>
      <c r="M142" s="98">
        <f>"销售费用_"&amp;D142&amp;"_"&amp;C142</f>
      </c>
      <c r="N142" s="98" t="str">
        <v>6601.36.19</v>
      </c>
      <c r="O142" s="98"/>
      <c r="P142" s="98">
        <f>C142</f>
      </c>
      <c r="Q142" s="95" t="str">
        <v>Y</v>
      </c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</row>
    <row r="143">
      <c r="A143" s="95">
        <f>ROW(B143)-2</f>
      </c>
      <c r="B143" s="96" t="str">
        <v>其他费用</v>
      </c>
      <c r="C143" s="96" t="str">
        <v>设备租赁费</v>
      </c>
      <c r="D143" s="95" t="str">
        <v>营销费用</v>
      </c>
      <c r="E143" s="99">
        <f>H143</f>
      </c>
      <c r="F143" s="100">
        <f>VLOOKUP(E143,'收集数据表'!A:K,6,0)</f>
      </c>
      <c r="G143" s="100" t="str">
        <v>品牌项目</v>
      </c>
      <c r="H143" s="97" t="str">
        <v>IMC国妆</v>
      </c>
      <c r="I143" s="95" t="str">
        <v>品牌产品中心</v>
      </c>
      <c r="J143" s="95" t="str">
        <v>品牌营销部</v>
      </c>
      <c r="K143" s="95"/>
      <c r="L143" s="95"/>
      <c r="M143" s="98">
        <f>"销售费用_"&amp;D143&amp;"_"&amp;C143</f>
      </c>
      <c r="N143" s="98" t="str">
        <v>6601.36.19</v>
      </c>
      <c r="O143" s="98"/>
      <c r="P143" s="98">
        <f>C143</f>
      </c>
      <c r="Q143" s="95" t="str">
        <v>Y</v>
      </c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</row>
    <row r="144">
      <c r="A144" s="95">
        <f>ROW(B144)-2</f>
      </c>
      <c r="B144" s="96" t="str">
        <v>其他费用</v>
      </c>
      <c r="C144" s="96" t="str">
        <v>设备租赁费</v>
      </c>
      <c r="D144" s="95" t="str">
        <v>营销费用</v>
      </c>
      <c r="E144" s="99">
        <f>H144</f>
      </c>
      <c r="F144" s="100">
        <f>VLOOKUP(E144,'收集数据表'!A:K,6,0)</f>
      </c>
      <c r="G144" s="100" t="str">
        <v>品牌项目</v>
      </c>
      <c r="H144" s="97" t="str">
        <v>IMC文化</v>
      </c>
      <c r="I144" s="95" t="str">
        <v>品牌产品中心</v>
      </c>
      <c r="J144" s="95" t="str">
        <v>品牌营销部</v>
      </c>
      <c r="K144" s="95"/>
      <c r="L144" s="95"/>
      <c r="M144" s="98">
        <f>"销售费用_"&amp;D144&amp;"_"&amp;C144</f>
      </c>
      <c r="N144" s="98" t="str">
        <v>6601.36.19</v>
      </c>
      <c r="O144" s="98"/>
      <c r="P144" s="98">
        <f>C144</f>
      </c>
      <c r="Q144" s="95" t="str">
        <v>Y</v>
      </c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</row>
    <row r="145">
      <c r="A145" s="95">
        <f>ROW(B145)-2</f>
      </c>
      <c r="B145" s="96" t="str">
        <v>其他费用</v>
      </c>
      <c r="C145" s="96" t="str">
        <v>设备租赁费</v>
      </c>
      <c r="D145" s="95" t="str">
        <v>营销费用</v>
      </c>
      <c r="E145" s="99">
        <f>H145</f>
      </c>
      <c r="F145" s="100">
        <f>VLOOKUP(E145,'收集数据表'!A:K,6,0)</f>
      </c>
      <c r="G145" s="100" t="str">
        <v>品牌项目</v>
      </c>
      <c r="H145" s="97" t="str">
        <v>日常-创意与物料</v>
      </c>
      <c r="I145" s="95" t="str">
        <v>品牌产品中心</v>
      </c>
      <c r="J145" s="95" t="str">
        <v>品牌营销部</v>
      </c>
      <c r="K145" s="95"/>
      <c r="L145" s="95"/>
      <c r="M145" s="98">
        <f>"销售费用_"&amp;D145&amp;"_"&amp;C145</f>
      </c>
      <c r="N145" s="98" t="str">
        <v>6601.36.19</v>
      </c>
      <c r="O145" s="98"/>
      <c r="P145" s="98">
        <f>C145</f>
      </c>
      <c r="Q145" s="95" t="str">
        <v>Y</v>
      </c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</row>
    <row r="146">
      <c r="A146" s="95">
        <f>ROW(B146)-2</f>
      </c>
      <c r="B146" s="96" t="str">
        <v>内容制作费</v>
      </c>
      <c r="C146" s="96" t="str">
        <v>图文平面制作费</v>
      </c>
      <c r="D146" s="95" t="str">
        <v>营销费用</v>
      </c>
      <c r="E146" s="98" t="str">
        <v>私域图文制作费</v>
      </c>
      <c r="F146" s="100">
        <f>VLOOKUP(E146,'收集数据表'!A:K,6,0)</f>
      </c>
      <c r="G146" s="100" t="str">
        <v>品牌项目</v>
      </c>
      <c r="H146" s="97" t="str">
        <v>日常-私域</v>
      </c>
      <c r="I146" s="95" t="str">
        <v>品牌产品中心</v>
      </c>
      <c r="J146" s="95" t="str">
        <v>品牌营销部</v>
      </c>
      <c r="K146" s="95"/>
      <c r="L146" s="95"/>
      <c r="M146" s="98">
        <f>"销售费用_"&amp;D146&amp;"_"&amp;C146</f>
      </c>
      <c r="N146" s="98" t="str">
        <v>6601.36.22</v>
      </c>
      <c r="O146" s="98"/>
      <c r="P146" s="98">
        <f>C146</f>
      </c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</row>
    <row r="147">
      <c r="A147" s="95">
        <f>ROW(B147)-2</f>
      </c>
      <c r="B147" s="96" t="str">
        <v>内容制作费</v>
      </c>
      <c r="C147" s="96" t="str">
        <v>视频制作费</v>
      </c>
      <c r="D147" s="95" t="str">
        <v>营销费用</v>
      </c>
      <c r="E147" s="98" t="str">
        <v>私域视频制作</v>
      </c>
      <c r="F147" s="100">
        <f>VLOOKUP(E147,'收集数据表'!A:K,6,0)</f>
      </c>
      <c r="G147" s="100" t="str">
        <v>品牌项目</v>
      </c>
      <c r="H147" s="97" t="str">
        <v>日常-私域</v>
      </c>
      <c r="I147" s="95" t="str">
        <v>品牌产品中心</v>
      </c>
      <c r="J147" s="95" t="str">
        <v>品牌营销部</v>
      </c>
      <c r="K147" s="95"/>
      <c r="L147" s="95"/>
      <c r="M147" s="98">
        <f>"销售费用_"&amp;D147&amp;"_"&amp;C147</f>
      </c>
      <c r="N147" s="98" t="str">
        <v>6601.36.21</v>
      </c>
      <c r="O147" s="95"/>
      <c r="P147" s="98">
        <f>C147</f>
      </c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</row>
    <row r="148">
      <c r="A148" s="95">
        <f>ROW(B148)-2</f>
      </c>
      <c r="B148" s="96" t="str">
        <v>渠道推广费</v>
      </c>
      <c r="C148" s="96" t="str">
        <v>代运营服务费</v>
      </c>
      <c r="D148" s="95" t="str">
        <v>营销费用</v>
      </c>
      <c r="E148" s="98" t="str">
        <v>私域代运营费用</v>
      </c>
      <c r="F148" s="100">
        <f>VLOOKUP(E148,'收集数据表'!A:K,6,0)</f>
      </c>
      <c r="G148" s="100" t="str">
        <v>品牌项目</v>
      </c>
      <c r="H148" s="97" t="str">
        <v>日常-私域</v>
      </c>
      <c r="I148" s="95" t="str">
        <v>品牌产品中心</v>
      </c>
      <c r="J148" s="95" t="str">
        <v>品牌营销部</v>
      </c>
      <c r="K148" s="95"/>
      <c r="L148" s="95"/>
      <c r="M148" s="98">
        <f>"销售费用_"&amp;D148&amp;"_"&amp;C148</f>
      </c>
      <c r="N148" s="98" t="str">
        <v>6601.36.05</v>
      </c>
      <c r="O148" s="95"/>
      <c r="P148" s="98" t="str">
        <v>服务费</v>
      </c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</row>
    <row r="149">
      <c r="A149" s="95">
        <f>ROW(B149)-2</f>
      </c>
      <c r="B149" s="96" t="str">
        <v>其他费用</v>
      </c>
      <c r="C149" s="96" t="str">
        <v>日常营运费用</v>
      </c>
      <c r="D149" s="95" t="str">
        <v>营销费用</v>
      </c>
      <c r="E149" s="98" t="str">
        <v>私域账号运营费</v>
      </c>
      <c r="F149" s="100">
        <f>VLOOKUP(E149,'收集数据表'!A:K,6,0)</f>
      </c>
      <c r="G149" s="100" t="str">
        <v>品牌项目</v>
      </c>
      <c r="H149" s="97" t="str">
        <v>日常-私域</v>
      </c>
      <c r="I149" s="95" t="str">
        <v>品牌产品中心</v>
      </c>
      <c r="J149" s="95" t="str">
        <v>品牌营销部</v>
      </c>
      <c r="K149" s="95"/>
      <c r="L149" s="95"/>
      <c r="M149" s="98" t="str">
        <v>销售费用_营销费用_年审费</v>
      </c>
      <c r="N149" s="98" t="str">
        <v>#N/A</v>
      </c>
      <c r="O149" s="95"/>
      <c r="P149" s="98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</row>
    <row r="150">
      <c r="A150" s="95">
        <f>ROW(B150)-2</f>
      </c>
      <c r="B150" s="96" t="str">
        <v>渠道推广费</v>
      </c>
      <c r="C150" s="101" t="str">
        <v>站内推广费</v>
      </c>
      <c r="D150" s="95" t="str">
        <v>营销费用</v>
      </c>
      <c r="E150" s="98" t="str">
        <v>京东2B企业购</v>
      </c>
      <c r="F150" s="100">
        <f>VLOOKUP(E150,'收集数据表'!A:K,6,0)</f>
      </c>
      <c r="G150" s="100" t="str">
        <v>平台电商推广</v>
      </c>
      <c r="H150" s="97" t="str">
        <v>京东2B企业购</v>
      </c>
      <c r="I150" s="95" t="str">
        <v>品牌运营中心</v>
      </c>
      <c r="J150" s="95" t="str">
        <v>渠道运营部</v>
      </c>
      <c r="K150" s="95" t="str">
        <v>特色电商部</v>
      </c>
      <c r="L150" s="95" t="str">
        <v>京东部</v>
      </c>
      <c r="M150" s="98" t="str">
        <v>销售费用_营销费用_线上推广费</v>
      </c>
      <c r="N150" s="98" t="str">
        <v>6601.36.24</v>
      </c>
      <c r="O150" s="98"/>
      <c r="P150" s="98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</row>
    <row r="151">
      <c r="A151" s="95">
        <f>ROW(B151)-2</f>
      </c>
      <c r="B151" s="96" t="str">
        <v>渠道推广费</v>
      </c>
      <c r="C151" s="101" t="str">
        <v>直播服务费</v>
      </c>
      <c r="D151" s="95" t="str">
        <v>营销费用</v>
      </c>
      <c r="E151" s="98" t="str">
        <v>京东达播佣金</v>
      </c>
      <c r="F151" s="100">
        <f>VLOOKUP(E151,'收集数据表'!A:K,6,0)</f>
      </c>
      <c r="G151" s="100" t="str">
        <v>平台电商推广</v>
      </c>
      <c r="H151" s="97" t="str">
        <v>达播-京东</v>
      </c>
      <c r="I151" s="95" t="str">
        <v>品牌运营中心</v>
      </c>
      <c r="J151" s="95" t="str">
        <v>渠道运营部</v>
      </c>
      <c r="K151" s="95" t="str">
        <v>特色电商部</v>
      </c>
      <c r="L151" s="95" t="str">
        <v>京东部</v>
      </c>
      <c r="M151" s="98" t="str">
        <v>销售费用_营销费用_直播服务费</v>
      </c>
      <c r="N151" s="98" t="str">
        <v>6601.36.28</v>
      </c>
      <c r="O151" s="98"/>
      <c r="P151" s="98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</row>
    <row r="152">
      <c r="A152" s="95">
        <f>ROW(B152)-2</f>
      </c>
      <c r="B152" s="96" t="str">
        <v>渠道推广费</v>
      </c>
      <c r="C152" s="101" t="str">
        <v>直播坑位费</v>
      </c>
      <c r="D152" s="95" t="str">
        <v>营销费用</v>
      </c>
      <c r="E152" s="98" t="str">
        <v>京东达播服务费</v>
      </c>
      <c r="F152" s="100">
        <f>VLOOKUP(E152,'收集数据表'!A:K,6,0)</f>
      </c>
      <c r="G152" s="100" t="str">
        <v>平台电商推广</v>
      </c>
      <c r="H152" s="97" t="str">
        <v>达播-京东</v>
      </c>
      <c r="I152" s="95" t="str">
        <v>品牌运营中心</v>
      </c>
      <c r="J152" s="95" t="str">
        <v>渠道运营部</v>
      </c>
      <c r="K152" s="95" t="str">
        <v>特色电商部</v>
      </c>
      <c r="L152" s="95" t="str">
        <v>京东部</v>
      </c>
      <c r="M152" s="98" t="str">
        <v>销售费用_营销费用_直播坑位费</v>
      </c>
      <c r="N152" s="98" t="str">
        <v>6601.36.31</v>
      </c>
      <c r="O152" s="98"/>
      <c r="P152" s="98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</row>
    <row r="153">
      <c r="A153" s="95">
        <f>ROW(B153)-2</f>
      </c>
      <c r="B153" s="96" t="str">
        <v>渠道推广费</v>
      </c>
      <c r="C153" s="101" t="str">
        <v>直播服务费</v>
      </c>
      <c r="D153" s="95" t="str">
        <v>营销费用</v>
      </c>
      <c r="E153" s="98" t="str">
        <v>京东自播服务</v>
      </c>
      <c r="F153" s="100">
        <f>VLOOKUP(E153,'收集数据表'!A:K,6,0)</f>
      </c>
      <c r="G153" s="100" t="str">
        <v>平台电商推广</v>
      </c>
      <c r="H153" s="97" t="str">
        <v>京东自播服务费</v>
      </c>
      <c r="I153" s="95" t="str">
        <v>品牌运营中心</v>
      </c>
      <c r="J153" s="95" t="str">
        <v>渠道运营部</v>
      </c>
      <c r="K153" s="95" t="str">
        <v>特色电商部</v>
      </c>
      <c r="L153" s="95" t="str">
        <v>京东部</v>
      </c>
      <c r="M153" s="98">
        <f>"销售费用_"&amp;D153&amp;"_"&amp;C153</f>
      </c>
      <c r="N153" s="98" t="str">
        <v>6601.36.28</v>
      </c>
      <c r="O153" s="98"/>
      <c r="P153" s="98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</row>
    <row r="154">
      <c r="A154" s="95">
        <f>ROW(B154)-2</f>
      </c>
      <c r="B154" s="96" t="str">
        <v>渠道推广费</v>
      </c>
      <c r="C154" s="101" t="str">
        <v>站内推广费</v>
      </c>
      <c r="D154" s="95" t="str">
        <v>营销费用</v>
      </c>
      <c r="E154" s="100" t="str">
        <v>唯享客</v>
      </c>
      <c r="F154" s="100">
        <f>VLOOKUP(E154,'收集数据表'!A:K,6,0)</f>
      </c>
      <c r="G154" s="100" t="str">
        <v>平台电商推广</v>
      </c>
      <c r="H154" s="97" t="str">
        <v>唯享客</v>
      </c>
      <c r="I154" s="95" t="str">
        <v>品牌运营中心</v>
      </c>
      <c r="J154" s="95" t="str">
        <v>渠道运营部</v>
      </c>
      <c r="K154" s="95" t="str">
        <v>特色电商部</v>
      </c>
      <c r="L154" s="95" t="str">
        <v>唯品综合部</v>
      </c>
      <c r="M154" s="98" t="str">
        <v>销售费用_营销费用_线上推广费</v>
      </c>
      <c r="N154" s="98" t="str">
        <v>6601.36.24</v>
      </c>
      <c r="O154" s="98"/>
      <c r="P154" s="98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</row>
    <row r="155">
      <c r="A155" s="95">
        <f>ROW(B155)-2</f>
      </c>
      <c r="B155" s="96" t="str">
        <v>内容制作费</v>
      </c>
      <c r="C155" s="96" t="str">
        <v>内容制作费</v>
      </c>
      <c r="D155" s="95" t="str">
        <v>营销费用</v>
      </c>
      <c r="E155" s="100" t="str">
        <v>快手人设号-内容制作</v>
      </c>
      <c r="F155" s="100">
        <f>VLOOKUP(E155,'收集数据表'!A:K,6,0)</f>
      </c>
      <c r="G155" s="100" t="str">
        <v>直播电商推广</v>
      </c>
      <c r="H155" s="97" t="str">
        <v>快手人设号</v>
      </c>
      <c r="I155" s="95" t="str">
        <v>品牌运营中心</v>
      </c>
      <c r="J155" s="95" t="str">
        <v>渠道运营部</v>
      </c>
      <c r="K155" s="95" t="str">
        <v>创新部</v>
      </c>
      <c r="L155" s="95"/>
      <c r="M155" s="98">
        <f>"销售费用_"&amp;D155&amp;"_"&amp;C155</f>
      </c>
      <c r="N155" s="98" t="str">
        <v>6601.36.14</v>
      </c>
      <c r="O155" s="98"/>
      <c r="P155" s="98">
        <f>C155</f>
      </c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</row>
    <row r="156">
      <c r="A156" s="95">
        <f>ROW(B156)-2</f>
      </c>
      <c r="B156" s="96" t="str">
        <v>内容制作费</v>
      </c>
      <c r="C156" s="96" t="str">
        <v>图文平面制作费</v>
      </c>
      <c r="D156" s="95" t="str">
        <v>营销费用</v>
      </c>
      <c r="E156" s="100" t="str">
        <v>快手人设号-图文平面制作</v>
      </c>
      <c r="F156" s="100">
        <f>VLOOKUP(E156,'收集数据表'!A:K,6,0)</f>
      </c>
      <c r="G156" s="100" t="str">
        <v>直播电商推广</v>
      </c>
      <c r="H156" s="97" t="str">
        <v>快手人设号</v>
      </c>
      <c r="I156" s="95" t="str">
        <v>品牌运营中心</v>
      </c>
      <c r="J156" s="95" t="str">
        <v>渠道运营部</v>
      </c>
      <c r="K156" s="95" t="str">
        <v>创新部</v>
      </c>
      <c r="L156" s="95"/>
      <c r="M156" s="98">
        <f>"销售费用_"&amp;D156&amp;"_"&amp;C156</f>
      </c>
      <c r="N156" s="98" t="str">
        <v>6601.36.22</v>
      </c>
      <c r="O156" s="98"/>
      <c r="P156" s="98">
        <f>C156</f>
      </c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</row>
    <row r="157">
      <c r="A157" s="95">
        <f>ROW(B157)-2</f>
      </c>
      <c r="B157" s="96" t="str">
        <v>内容制作费</v>
      </c>
      <c r="C157" s="96" t="str">
        <v>视频制作费</v>
      </c>
      <c r="D157" s="95" t="str">
        <v>营销费用</v>
      </c>
      <c r="E157" s="100" t="str">
        <v>快手人设号-视频制作</v>
      </c>
      <c r="F157" s="100">
        <f>VLOOKUP(E157,'收集数据表'!A:K,6,0)</f>
      </c>
      <c r="G157" s="100" t="str">
        <v>直播电商推广</v>
      </c>
      <c r="H157" s="97" t="str">
        <v>快手人设号</v>
      </c>
      <c r="I157" s="95" t="str">
        <v>品牌运营中心</v>
      </c>
      <c r="J157" s="95" t="str">
        <v>渠道运营部</v>
      </c>
      <c r="K157" s="95" t="str">
        <v>创新部</v>
      </c>
      <c r="L157" s="95"/>
      <c r="M157" s="98">
        <f>"销售费用_"&amp;D157&amp;"_"&amp;C157</f>
      </c>
      <c r="N157" s="98" t="str">
        <v>6601.36.21</v>
      </c>
      <c r="O157" s="98"/>
      <c r="P157" s="98">
        <f>C157</f>
      </c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</row>
    <row r="158">
      <c r="A158" s="95">
        <f>ROW(B158)-2</f>
      </c>
      <c r="B158" s="96" t="str">
        <v>渠道推广费</v>
      </c>
      <c r="C158" s="101" t="str">
        <v>直播服务费</v>
      </c>
      <c r="D158" s="95" t="str">
        <v>营销费用</v>
      </c>
      <c r="E158" s="100" t="str">
        <v>微信-达播服务费</v>
      </c>
      <c r="F158" s="100">
        <f>VLOOKUP(E158,'收集数据表'!A:K,6,0)</f>
      </c>
      <c r="G158" s="100" t="str">
        <v>社交电商推广</v>
      </c>
      <c r="H158" s="97" t="str">
        <v>微信-达播</v>
      </c>
      <c r="I158" s="95" t="str">
        <v>品牌运营中心</v>
      </c>
      <c r="J158" s="95" t="str">
        <v>渠道运营部</v>
      </c>
      <c r="K158" s="95" t="str">
        <v>内容综合部</v>
      </c>
      <c r="L158" s="95" t="str">
        <v>综合渠道部</v>
      </c>
      <c r="M158" s="98" t="str">
        <v>销售费用_营销费用_直播服务费</v>
      </c>
      <c r="N158" s="98" t="str">
        <v>6601.36.28</v>
      </c>
      <c r="O158" s="98"/>
      <c r="P158" s="98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</row>
    <row r="159">
      <c r="A159" s="95">
        <f>ROW(B159)-2</f>
      </c>
      <c r="B159" s="96" t="str">
        <v>渠道推广费</v>
      </c>
      <c r="C159" s="96" t="str">
        <v>直播服务费</v>
      </c>
      <c r="D159" s="95" t="str">
        <v>营销费用</v>
      </c>
      <c r="E159" s="100" t="str">
        <v>微信-达播佣金</v>
      </c>
      <c r="F159" s="100">
        <f>VLOOKUP(E159,'收集数据表'!A:K,6,0)</f>
      </c>
      <c r="G159" s="100" t="str">
        <v>社交电商推广</v>
      </c>
      <c r="H159" s="97" t="str">
        <v>微信-达播</v>
      </c>
      <c r="I159" s="95" t="str">
        <v>品牌运营中心</v>
      </c>
      <c r="J159" s="95" t="str">
        <v>渠道运营部</v>
      </c>
      <c r="K159" s="95" t="str">
        <v>内容综合部</v>
      </c>
      <c r="L159" s="95" t="str">
        <v>综合渠道部</v>
      </c>
      <c r="M159" s="98" t="str">
        <v>销售费用_营销费用_直播服务费</v>
      </c>
      <c r="N159" s="98" t="str">
        <v>6601.36.28</v>
      </c>
      <c r="O159" s="98"/>
      <c r="P159" s="98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</row>
    <row r="160">
      <c r="A160" s="95">
        <f>ROW(B160)-2</f>
      </c>
      <c r="B160" s="96" t="str">
        <v>渠道推广费</v>
      </c>
      <c r="C160" s="101" t="str">
        <v>线下推广费</v>
      </c>
      <c r="D160" s="95" t="str">
        <v>营销费用</v>
      </c>
      <c r="E160" s="100" t="str">
        <v>特渠运营</v>
      </c>
      <c r="F160" s="100">
        <f>VLOOKUP(E160,'收集数据表'!A:K,6,0)</f>
      </c>
      <c r="G160" s="100" t="str">
        <v>特殊渠道推广</v>
      </c>
      <c r="H160" s="97" t="str">
        <v>特殊渠道推广</v>
      </c>
      <c r="I160" s="95" t="str">
        <v>品牌运营中心</v>
      </c>
      <c r="J160" s="95" t="str">
        <v>渠道运营部</v>
      </c>
      <c r="K160" s="95"/>
      <c r="L160" s="95"/>
      <c r="M160" s="98" t="str">
        <v>销售费用_营销费用_线下推广费</v>
      </c>
      <c r="N160" s="98" t="str">
        <v>6601.36.25</v>
      </c>
      <c r="O160" s="98"/>
      <c r="P160" s="98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</row>
    <row r="161">
      <c r="A161" s="95">
        <f>ROW(B161)-2</f>
      </c>
      <c r="B161" s="96" t="str">
        <v>内容制作费</v>
      </c>
      <c r="C161" s="96" t="str">
        <v>视频制作费</v>
      </c>
      <c r="D161" s="95" t="str">
        <v>营销费用</v>
      </c>
      <c r="E161" s="98" t="str">
        <v>抖音视频创意-矩阵号-视频制作</v>
      </c>
      <c r="F161" s="100">
        <f>VLOOKUP(E161,'收集数据表'!A:K,6,0)</f>
      </c>
      <c r="G161" s="100" t="str">
        <v>品类内容推广</v>
      </c>
      <c r="H161" s="97" t="str">
        <v>抖音视频创意-矩阵号</v>
      </c>
      <c r="I161" s="95" t="str">
        <v>品牌运营中心</v>
      </c>
      <c r="J161" s="95" t="str">
        <v>渠道运营部</v>
      </c>
      <c r="K161" s="95" t="str">
        <v>抖音部</v>
      </c>
      <c r="L161" s="95" t="str">
        <v>矩阵部</v>
      </c>
      <c r="M161" s="98">
        <f>"销售费用_"&amp;D161&amp;"_"&amp;C161</f>
      </c>
      <c r="N161" s="98" t="str">
        <v>6601.36.21</v>
      </c>
      <c r="O161" s="98"/>
      <c r="P161" s="98">
        <f>C161</f>
      </c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</row>
    <row r="162">
      <c r="A162" s="95">
        <f>ROW(B162)-2</f>
      </c>
      <c r="B162" s="96" t="str">
        <v>内容制作费</v>
      </c>
      <c r="C162" s="96" t="str">
        <v>视频制作费</v>
      </c>
      <c r="D162" s="95" t="str">
        <v>营销费用</v>
      </c>
      <c r="E162" s="98" t="str">
        <v>抖音视频创意-店铺-视频制作</v>
      </c>
      <c r="F162" s="100">
        <f>VLOOKUP(E162,'收集数据表'!A:K,6,0)</f>
      </c>
      <c r="G162" s="100" t="str">
        <v>品类内容推广</v>
      </c>
      <c r="H162" s="97" t="str">
        <v>抖音视频创意-店铺</v>
      </c>
      <c r="I162" s="95" t="str">
        <v>品牌运营中心</v>
      </c>
      <c r="J162" s="95" t="str">
        <v>渠道运营部</v>
      </c>
      <c r="K162" s="95" t="str">
        <v>抖音部</v>
      </c>
      <c r="L162" s="95" t="str">
        <v>内容部</v>
      </c>
      <c r="M162" s="98">
        <f>"销售费用_"&amp;D162&amp;"_"&amp;C162</f>
      </c>
      <c r="N162" s="98" t="str">
        <v>6601.36.21</v>
      </c>
      <c r="O162" s="98"/>
      <c r="P162" s="98">
        <f>C162</f>
      </c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</row>
    <row r="163">
      <c r="A163" s="95">
        <f>ROW(B163)-2</f>
      </c>
      <c r="B163" s="96" t="str">
        <v>内容制作费</v>
      </c>
      <c r="C163" s="96" t="str">
        <v>动画制作费</v>
      </c>
      <c r="D163" s="95" t="str">
        <v>营销费用</v>
      </c>
      <c r="E163" s="98" t="str">
        <v>抖音视频创意-矩阵号-动画制作</v>
      </c>
      <c r="F163" s="100">
        <f>VLOOKUP(E163,'收集数据表'!A:K,6,0)</f>
      </c>
      <c r="G163" s="100" t="str">
        <v>品类内容推广</v>
      </c>
      <c r="H163" s="97" t="str">
        <v>抖音视频创意-矩阵号</v>
      </c>
      <c r="I163" s="95" t="str">
        <v>品牌运营中心</v>
      </c>
      <c r="J163" s="95" t="str">
        <v>渠道运营部</v>
      </c>
      <c r="K163" s="95" t="str">
        <v>抖音部</v>
      </c>
      <c r="L163" s="95" t="str">
        <v>矩阵部</v>
      </c>
      <c r="M163" s="98">
        <f>"销售费用_"&amp;D163&amp;"_"&amp;C163</f>
      </c>
      <c r="N163" s="98" t="str">
        <v>6601.36.07</v>
      </c>
      <c r="O163" s="98"/>
      <c r="P163" s="98">
        <f>C163</f>
      </c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</row>
    <row r="164">
      <c r="A164" s="95">
        <f>ROW(B164)-2</f>
      </c>
      <c r="B164" s="96" t="str">
        <v>内容制作费</v>
      </c>
      <c r="C164" s="96" t="str">
        <v>动画制作费</v>
      </c>
      <c r="D164" s="95" t="str">
        <v>营销费用</v>
      </c>
      <c r="E164" s="98" t="str">
        <v>抖音视频创意-店铺-动画制作</v>
      </c>
      <c r="F164" s="100">
        <f>VLOOKUP(E164,'收集数据表'!A:K,6,0)</f>
      </c>
      <c r="G164" s="100" t="str">
        <v>品类内容推广</v>
      </c>
      <c r="H164" s="97" t="str">
        <v>抖音视频创意-店铺</v>
      </c>
      <c r="I164" s="95" t="str">
        <v>品牌运营中心</v>
      </c>
      <c r="J164" s="95" t="str">
        <v>渠道运营部</v>
      </c>
      <c r="K164" s="95" t="str">
        <v>抖音部</v>
      </c>
      <c r="L164" s="95" t="str">
        <v>内容部</v>
      </c>
      <c r="M164" s="98">
        <f>"销售费用_"&amp;D164&amp;"_"&amp;C164</f>
      </c>
      <c r="N164" s="98" t="str">
        <v>6601.36.07</v>
      </c>
      <c r="O164" s="98"/>
      <c r="P164" s="98">
        <f>C164</f>
      </c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</row>
    <row r="165">
      <c r="A165" s="95">
        <f>ROW(B165)-2</f>
      </c>
      <c r="B165" s="96" t="str">
        <v>内容制作费</v>
      </c>
      <c r="C165" s="96" t="str">
        <v>图文平面制作费</v>
      </c>
      <c r="D165" s="95" t="str">
        <v>营销费用</v>
      </c>
      <c r="E165" s="98" t="str">
        <v>抖音视频创意-矩阵号-图文平面制作</v>
      </c>
      <c r="F165" s="100">
        <f>VLOOKUP(E165,'收集数据表'!A:K,6,0)</f>
      </c>
      <c r="G165" s="100" t="str">
        <v>品类内容推广</v>
      </c>
      <c r="H165" s="97" t="str">
        <v>抖音视频创意-矩阵号</v>
      </c>
      <c r="I165" s="95" t="str">
        <v>品牌运营中心</v>
      </c>
      <c r="J165" s="95" t="str">
        <v>渠道运营部</v>
      </c>
      <c r="K165" s="95" t="str">
        <v>抖音部</v>
      </c>
      <c r="L165" s="95" t="str">
        <v>矩阵部</v>
      </c>
      <c r="M165" s="98">
        <f>"销售费用_"&amp;D165&amp;"_"&amp;C165</f>
      </c>
      <c r="N165" s="98" t="str">
        <v>6601.36.22</v>
      </c>
      <c r="O165" s="98"/>
      <c r="P165" s="98">
        <f>C165</f>
      </c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</row>
    <row r="166">
      <c r="A166" s="95">
        <f>ROW(B166)-2</f>
      </c>
      <c r="B166" s="96" t="str">
        <v>内容制作费</v>
      </c>
      <c r="C166" s="96" t="str">
        <v>图文平面制作费</v>
      </c>
      <c r="D166" s="95" t="str">
        <v>营销费用</v>
      </c>
      <c r="E166" s="98" t="str">
        <v>抖音视频创意-店铺-图文平面制作</v>
      </c>
      <c r="F166" s="100">
        <f>VLOOKUP(E166,'收集数据表'!A:K,6,0)</f>
      </c>
      <c r="G166" s="100" t="str">
        <v>品类内容推广</v>
      </c>
      <c r="H166" s="97" t="str">
        <v>抖音视频创意-店铺</v>
      </c>
      <c r="I166" s="95" t="str">
        <v>品牌运营中心</v>
      </c>
      <c r="J166" s="95" t="str">
        <v>渠道运营部</v>
      </c>
      <c r="K166" s="95" t="str">
        <v>抖音部</v>
      </c>
      <c r="L166" s="95" t="str">
        <v>内容部</v>
      </c>
      <c r="M166" s="98">
        <f>"销售费用_"&amp;D166&amp;"_"&amp;C166</f>
      </c>
      <c r="N166" s="98" t="str">
        <v>6601.36.22</v>
      </c>
      <c r="O166" s="98"/>
      <c r="P166" s="98">
        <f>C166</f>
      </c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</row>
    <row r="167">
      <c r="A167" s="95">
        <f>ROW(B167)-2</f>
      </c>
      <c r="B167" s="96" t="str">
        <v>内容制作费</v>
      </c>
      <c r="C167" s="96" t="str">
        <v>建模服务费</v>
      </c>
      <c r="D167" s="95" t="str">
        <v>营销费用</v>
      </c>
      <c r="E167" s="98" t="str">
        <v>抖音视频创意-矩阵号-建模服务</v>
      </c>
      <c r="F167" s="100">
        <f>VLOOKUP(E167,'收集数据表'!A:K,6,0)</f>
      </c>
      <c r="G167" s="100" t="str">
        <v>品类内容推广</v>
      </c>
      <c r="H167" s="97" t="str">
        <v>抖音视频创意-矩阵号</v>
      </c>
      <c r="I167" s="95" t="str">
        <v>品牌运营中心</v>
      </c>
      <c r="J167" s="95" t="str">
        <v>渠道运营部</v>
      </c>
      <c r="K167" s="95" t="str">
        <v>抖音部</v>
      </c>
      <c r="L167" s="95" t="str">
        <v>矩阵部</v>
      </c>
      <c r="M167" s="98">
        <f>"销售费用_"&amp;D167&amp;"_"&amp;C167</f>
      </c>
      <c r="N167" s="98" t="str">
        <v>6601.36.10</v>
      </c>
      <c r="O167" s="98"/>
      <c r="P167" s="98">
        <f>C167</f>
      </c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</row>
    <row r="168">
      <c r="A168" s="95">
        <f>ROW(B168)-2</f>
      </c>
      <c r="B168" s="96" t="str">
        <v>内容制作费</v>
      </c>
      <c r="C168" s="96" t="str">
        <v>建模服务费</v>
      </c>
      <c r="D168" s="95" t="str">
        <v>营销费用</v>
      </c>
      <c r="E168" s="98" t="str">
        <v>抖音视频创意-店铺-建模服务</v>
      </c>
      <c r="F168" s="100">
        <f>VLOOKUP(E168,'收集数据表'!A:K,6,0)</f>
      </c>
      <c r="G168" s="100" t="str">
        <v>品类内容推广</v>
      </c>
      <c r="H168" s="97" t="str">
        <v>抖音视频创意-店铺</v>
      </c>
      <c r="I168" s="95" t="str">
        <v>品牌运营中心</v>
      </c>
      <c r="J168" s="95" t="str">
        <v>渠道运营部</v>
      </c>
      <c r="K168" s="95" t="str">
        <v>抖音部</v>
      </c>
      <c r="L168" s="95" t="str">
        <v>内容部</v>
      </c>
      <c r="M168" s="98">
        <f>"销售费用_"&amp;D168&amp;"_"&amp;C168</f>
      </c>
      <c r="N168" s="98" t="str">
        <v>6601.36.10</v>
      </c>
      <c r="O168" s="98"/>
      <c r="P168" s="98">
        <f>C168</f>
      </c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</row>
    <row r="169">
      <c r="A169" s="95">
        <f>ROW(B169)-2</f>
      </c>
      <c r="B169" s="96" t="str">
        <v>内容制作费</v>
      </c>
      <c r="C169" s="96" t="str">
        <v>渲染服务费</v>
      </c>
      <c r="D169" s="95" t="str">
        <v>营销费用</v>
      </c>
      <c r="E169" s="98" t="str">
        <v>抖音视频创意-矩阵号-渲染服务</v>
      </c>
      <c r="F169" s="100">
        <f>VLOOKUP(E169,'收集数据表'!A:K,6,0)</f>
      </c>
      <c r="G169" s="100" t="str">
        <v>品类内容推广</v>
      </c>
      <c r="H169" s="97" t="str">
        <v>抖音视频创意-矩阵号</v>
      </c>
      <c r="I169" s="95" t="str">
        <v>品牌运营中心</v>
      </c>
      <c r="J169" s="95" t="str">
        <v>渠道运营部</v>
      </c>
      <c r="K169" s="95" t="str">
        <v>抖音部</v>
      </c>
      <c r="L169" s="95" t="str">
        <v>矩阵部</v>
      </c>
      <c r="M169" s="98">
        <f>"销售费用_"&amp;D169&amp;"_"&amp;C169</f>
      </c>
      <c r="N169" s="98" t="str">
        <v>6601.36.26</v>
      </c>
      <c r="O169" s="98"/>
      <c r="P169" s="98">
        <f>C169</f>
      </c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</row>
    <row r="170">
      <c r="A170" s="95">
        <f>ROW(B170)-2</f>
      </c>
      <c r="B170" s="96" t="str">
        <v>内容制作费</v>
      </c>
      <c r="C170" s="96" t="str">
        <v>渲染服务费</v>
      </c>
      <c r="D170" s="95" t="str">
        <v>营销费用</v>
      </c>
      <c r="E170" s="98" t="str">
        <v>抖音视频创意-店铺-渲染服务</v>
      </c>
      <c r="F170" s="100">
        <f>VLOOKUP(E170,'收集数据表'!A:K,6,0)</f>
      </c>
      <c r="G170" s="100" t="str">
        <v>品类内容推广</v>
      </c>
      <c r="H170" s="97" t="str">
        <v>抖音视频创意-店铺</v>
      </c>
      <c r="I170" s="95" t="str">
        <v>品牌运营中心</v>
      </c>
      <c r="J170" s="95" t="str">
        <v>渠道运营部</v>
      </c>
      <c r="K170" s="95" t="str">
        <v>抖音部</v>
      </c>
      <c r="L170" s="95" t="str">
        <v>内容部</v>
      </c>
      <c r="M170" s="98">
        <f>"销售费用_"&amp;D170&amp;"_"&amp;C170</f>
      </c>
      <c r="N170" s="98" t="str">
        <v>6601.36.26</v>
      </c>
      <c r="O170" s="98"/>
      <c r="P170" s="98">
        <f>C170</f>
      </c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</row>
    <row r="171">
      <c r="A171" s="95">
        <f>ROW(B171)-2</f>
      </c>
      <c r="B171" s="96" t="str">
        <v>内容制作费</v>
      </c>
      <c r="C171" s="96" t="str">
        <v>模特服务费</v>
      </c>
      <c r="D171" s="95" t="str">
        <v>营销费用</v>
      </c>
      <c r="E171" s="98" t="str">
        <v>抖音视频创意-矩阵号-模特服务</v>
      </c>
      <c r="F171" s="100">
        <f>VLOOKUP(E171,'收集数据表'!A:K,6,0)</f>
      </c>
      <c r="G171" s="100" t="str">
        <v>品类内容推广</v>
      </c>
      <c r="H171" s="97" t="str">
        <v>抖音视频创意-矩阵号</v>
      </c>
      <c r="I171" s="95" t="str">
        <v>品牌运营中心</v>
      </c>
      <c r="J171" s="95" t="str">
        <v>渠道运营部</v>
      </c>
      <c r="K171" s="95" t="str">
        <v>抖音部</v>
      </c>
      <c r="L171" s="95" t="str">
        <v>矩阵部</v>
      </c>
      <c r="M171" s="98">
        <f>"销售费用_"&amp;D171&amp;"_"&amp;C171</f>
      </c>
      <c r="N171" s="98" t="str">
        <v>6601.36.13</v>
      </c>
      <c r="O171" s="98"/>
      <c r="P171" s="98">
        <f>C171</f>
      </c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</row>
    <row r="172">
      <c r="A172" s="95">
        <f>ROW(B172)-2</f>
      </c>
      <c r="B172" s="96" t="str">
        <v>内容制作费</v>
      </c>
      <c r="C172" s="96" t="str">
        <v>模特服务费</v>
      </c>
      <c r="D172" s="95" t="str">
        <v>营销费用</v>
      </c>
      <c r="E172" s="98" t="str">
        <v>抖音视频创意-店铺-模特服务</v>
      </c>
      <c r="F172" s="100">
        <f>VLOOKUP(E172,'收集数据表'!A:K,6,0)</f>
      </c>
      <c r="G172" s="100" t="str">
        <v>品类内容推广</v>
      </c>
      <c r="H172" s="97" t="str">
        <v>抖音视频创意-店铺</v>
      </c>
      <c r="I172" s="95" t="str">
        <v>品牌运营中心</v>
      </c>
      <c r="J172" s="95" t="str">
        <v>渠道运营部</v>
      </c>
      <c r="K172" s="95" t="str">
        <v>抖音部</v>
      </c>
      <c r="L172" s="95" t="str">
        <v>内容部</v>
      </c>
      <c r="M172" s="98">
        <f>"销售费用_"&amp;D172&amp;"_"&amp;C172</f>
      </c>
      <c r="N172" s="98" t="str">
        <v>6601.36.13</v>
      </c>
      <c r="O172" s="98"/>
      <c r="P172" s="98">
        <f>C172</f>
      </c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</row>
    <row r="173">
      <c r="A173" s="95">
        <f>ROW(B173)-2</f>
      </c>
      <c r="B173" s="96" t="str">
        <v>内容制作费</v>
      </c>
      <c r="C173" s="96" t="str">
        <v>专业人物合作费</v>
      </c>
      <c r="D173" s="95" t="str">
        <v>营销费用</v>
      </c>
      <c r="E173" s="98" t="str">
        <v>抖音视频创意-矩阵号-专业人物合作</v>
      </c>
      <c r="F173" s="100">
        <f>VLOOKUP(E173,'收集数据表'!A:K,6,0)</f>
      </c>
      <c r="G173" s="100" t="str">
        <v>品类内容推广</v>
      </c>
      <c r="H173" s="97" t="str">
        <v>抖音视频创意-矩阵号</v>
      </c>
      <c r="I173" s="95" t="str">
        <v>品牌运营中心</v>
      </c>
      <c r="J173" s="95" t="str">
        <v>渠道运营部</v>
      </c>
      <c r="K173" s="95" t="str">
        <v>抖音部</v>
      </c>
      <c r="L173" s="95" t="str">
        <v>矩阵部</v>
      </c>
      <c r="M173" s="98">
        <f>"销售费用_"&amp;D173&amp;"_"&amp;C173</f>
      </c>
      <c r="N173" s="98" t="str">
        <v>6601.36.32</v>
      </c>
      <c r="O173" s="98"/>
      <c r="P173" s="98">
        <f>C173</f>
      </c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</row>
    <row r="174">
      <c r="A174" s="95">
        <f>ROW(B174)-2</f>
      </c>
      <c r="B174" s="96" t="str">
        <v>内容制作费</v>
      </c>
      <c r="C174" s="96" t="str">
        <v>专业人物合作费</v>
      </c>
      <c r="D174" s="95" t="str">
        <v>营销费用</v>
      </c>
      <c r="E174" s="98" t="str">
        <v>抖音视频创意-店铺-专业人物合作</v>
      </c>
      <c r="F174" s="100">
        <f>VLOOKUP(E174,'收集数据表'!A:K,6,0)</f>
      </c>
      <c r="G174" s="100" t="str">
        <v>品类内容推广</v>
      </c>
      <c r="H174" s="97" t="str">
        <v>抖音视频创意-店铺</v>
      </c>
      <c r="I174" s="95" t="str">
        <v>品牌运营中心</v>
      </c>
      <c r="J174" s="95" t="str">
        <v>渠道运营部</v>
      </c>
      <c r="K174" s="95" t="str">
        <v>抖音部</v>
      </c>
      <c r="L174" s="95" t="str">
        <v>内容部</v>
      </c>
      <c r="M174" s="98">
        <f>"销售费用_"&amp;D174&amp;"_"&amp;C174</f>
      </c>
      <c r="N174" s="98" t="str">
        <v>6601.36.32</v>
      </c>
      <c r="O174" s="98"/>
      <c r="P174" s="98">
        <f>C174</f>
      </c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</row>
    <row r="175">
      <c r="A175" s="95">
        <f>ROW(B175)-2</f>
      </c>
      <c r="B175" s="96" t="str">
        <v>内容制作费</v>
      </c>
      <c r="C175" s="96" t="str">
        <v>服化道费用</v>
      </c>
      <c r="D175" s="95" t="str">
        <v>营销费用</v>
      </c>
      <c r="E175" s="98" t="str">
        <v>抖音视频创意-矩阵号-服化道费</v>
      </c>
      <c r="F175" s="100">
        <f>VLOOKUP(E175,'收集数据表'!A:K,6,0)</f>
      </c>
      <c r="G175" s="100" t="str">
        <v>品类内容推广</v>
      </c>
      <c r="H175" s="97" t="str">
        <v>抖音视频创意-矩阵号</v>
      </c>
      <c r="I175" s="95" t="str">
        <v>品牌运营中心</v>
      </c>
      <c r="J175" s="95" t="str">
        <v>渠道运营部</v>
      </c>
      <c r="K175" s="95" t="str">
        <v>抖音部</v>
      </c>
      <c r="L175" s="95" t="str">
        <v>矩阵部</v>
      </c>
      <c r="M175" s="98">
        <f>"销售费用_"&amp;D175&amp;"_"&amp;C175</f>
      </c>
      <c r="N175" s="98" t="str">
        <v>6601.36.08</v>
      </c>
      <c r="O175" s="98"/>
      <c r="P175" s="98" t="str">
        <v>服装费、化妆费、道具费</v>
      </c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</row>
    <row r="176">
      <c r="A176" s="95">
        <f>ROW(B176)-2</f>
      </c>
      <c r="B176" s="96" t="str">
        <v>内容制作费</v>
      </c>
      <c r="C176" s="96" t="str">
        <v>服化道费用</v>
      </c>
      <c r="D176" s="95" t="str">
        <v>营销费用</v>
      </c>
      <c r="E176" s="98" t="str">
        <v>抖音视频创意-店铺-服化道费</v>
      </c>
      <c r="F176" s="100">
        <f>VLOOKUP(E176,'收集数据表'!A:K,6,0)</f>
      </c>
      <c r="G176" s="100" t="str">
        <v>品类内容推广</v>
      </c>
      <c r="H176" s="97" t="str">
        <v>抖音视频创意-店铺</v>
      </c>
      <c r="I176" s="95" t="str">
        <v>品牌运营中心</v>
      </c>
      <c r="J176" s="95" t="str">
        <v>渠道运营部</v>
      </c>
      <c r="K176" s="95" t="str">
        <v>抖音部</v>
      </c>
      <c r="L176" s="95" t="str">
        <v>内容部</v>
      </c>
      <c r="M176" s="98">
        <f>"销售费用_"&amp;D176&amp;"_"&amp;C176</f>
      </c>
      <c r="N176" s="98" t="str">
        <v>6601.36.08</v>
      </c>
      <c r="O176" s="98"/>
      <c r="P176" s="98" t="str">
        <v>服装费、化妆费、道具费</v>
      </c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</row>
    <row r="177">
      <c r="A177" s="95">
        <f>ROW(B177)-2</f>
      </c>
      <c r="B177" s="96" t="str">
        <v>内容制作费</v>
      </c>
      <c r="C177" s="96" t="str">
        <v>拍摄服务费</v>
      </c>
      <c r="D177" s="95" t="str">
        <v>营销费用</v>
      </c>
      <c r="E177" s="98" t="str">
        <v>抖音视频创意-矩阵号-拍摄服务</v>
      </c>
      <c r="F177" s="100">
        <f>VLOOKUP(E177,'收集数据表'!A:K,6,0)</f>
      </c>
      <c r="G177" s="100" t="str">
        <v>品类内容推广</v>
      </c>
      <c r="H177" s="97" t="str">
        <v>抖音视频创意-矩阵号</v>
      </c>
      <c r="I177" s="95" t="str">
        <v>品牌运营中心</v>
      </c>
      <c r="J177" s="95" t="str">
        <v>渠道运营部</v>
      </c>
      <c r="K177" s="95" t="str">
        <v>抖音部</v>
      </c>
      <c r="L177" s="95" t="str">
        <v>矩阵部</v>
      </c>
      <c r="M177" s="98">
        <f>"销售费用_"&amp;D177&amp;"_"&amp;C177</f>
      </c>
      <c r="N177" s="98" t="str">
        <v>6601.36.15</v>
      </c>
      <c r="O177" s="98"/>
      <c r="P177" s="98">
        <f>C177</f>
      </c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</row>
    <row r="178">
      <c r="A178" s="95">
        <f>ROW(B178)-2</f>
      </c>
      <c r="B178" s="96" t="str">
        <v>内容制作费</v>
      </c>
      <c r="C178" s="96" t="str">
        <v>拍摄服务费</v>
      </c>
      <c r="D178" s="95" t="str">
        <v>营销费用</v>
      </c>
      <c r="E178" s="98" t="str">
        <v>抖音视频创意-店铺-拍摄服务</v>
      </c>
      <c r="F178" s="100">
        <f>VLOOKUP(E178,'收集数据表'!A:K,6,0)</f>
      </c>
      <c r="G178" s="100" t="str">
        <v>品类内容推广</v>
      </c>
      <c r="H178" s="97" t="str">
        <v>抖音视频创意-店铺</v>
      </c>
      <c r="I178" s="95" t="str">
        <v>品牌运营中心</v>
      </c>
      <c r="J178" s="95" t="str">
        <v>渠道运营部</v>
      </c>
      <c r="K178" s="95" t="str">
        <v>抖音部</v>
      </c>
      <c r="L178" s="95" t="str">
        <v>内容部</v>
      </c>
      <c r="M178" s="98">
        <f>"销售费用_"&amp;D178&amp;"_"&amp;C178</f>
      </c>
      <c r="N178" s="98" t="str">
        <v>6601.36.15</v>
      </c>
      <c r="O178" s="98"/>
      <c r="P178" s="98">
        <f>C178</f>
      </c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</row>
    <row r="179">
      <c r="A179" s="95">
        <f>ROW(B179)-2</f>
      </c>
      <c r="B179" s="96" t="str">
        <v>内容制作费</v>
      </c>
      <c r="C179" s="96" t="str">
        <v>拍摄物料费</v>
      </c>
      <c r="D179" s="95" t="str">
        <v>营销费用</v>
      </c>
      <c r="E179" s="98" t="str">
        <v>抖音视频创意-矩阵号-拍摄物料</v>
      </c>
      <c r="F179" s="100">
        <f>VLOOKUP(E179,'收集数据表'!A:K,6,0)</f>
      </c>
      <c r="G179" s="100" t="str">
        <v>品类内容推广</v>
      </c>
      <c r="H179" s="97" t="str">
        <v>抖音视频创意-矩阵号</v>
      </c>
      <c r="I179" s="95" t="str">
        <v>品牌运营中心</v>
      </c>
      <c r="J179" s="95" t="str">
        <v>渠道运营部</v>
      </c>
      <c r="K179" s="95" t="str">
        <v>抖音部</v>
      </c>
      <c r="L179" s="95" t="str">
        <v>矩阵部</v>
      </c>
      <c r="M179" s="98">
        <f>"销售费用_"&amp;D179&amp;"_"&amp;C179</f>
      </c>
      <c r="N179" s="98" t="str">
        <v>6601.36.16</v>
      </c>
      <c r="O179" s="98"/>
      <c r="P179" s="98">
        <f>C179</f>
      </c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</row>
    <row r="180">
      <c r="A180" s="95">
        <f>ROW(B180)-2</f>
      </c>
      <c r="B180" s="96" t="str">
        <v>内容制作费</v>
      </c>
      <c r="C180" s="96" t="str">
        <v>拍摄物料费</v>
      </c>
      <c r="D180" s="95" t="str">
        <v>营销费用</v>
      </c>
      <c r="E180" s="98" t="str">
        <v>抖音视频创意-店铺-拍摄物料</v>
      </c>
      <c r="F180" s="100">
        <f>VLOOKUP(E180,'收集数据表'!A:K,6,0)</f>
      </c>
      <c r="G180" s="100" t="str">
        <v>品类内容推广</v>
      </c>
      <c r="H180" s="97" t="str">
        <v>抖音视频创意-店铺</v>
      </c>
      <c r="I180" s="95" t="str">
        <v>品牌运营中心</v>
      </c>
      <c r="J180" s="95" t="str">
        <v>渠道运营部</v>
      </c>
      <c r="K180" s="95" t="str">
        <v>抖音部</v>
      </c>
      <c r="L180" s="95" t="str">
        <v>内容部</v>
      </c>
      <c r="M180" s="98">
        <f>"销售费用_"&amp;D180&amp;"_"&amp;C180</f>
      </c>
      <c r="N180" s="98" t="str">
        <v>6601.36.16</v>
      </c>
      <c r="O180" s="98"/>
      <c r="P180" s="98">
        <f>C180</f>
      </c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</row>
    <row r="181">
      <c r="A181" s="95">
        <f>ROW(B181)-2</f>
      </c>
      <c r="B181" s="96" t="str">
        <v>内容制作费</v>
      </c>
      <c r="C181" s="96" t="str">
        <v>内容制作费</v>
      </c>
      <c r="D181" s="95" t="str">
        <v>营销费用</v>
      </c>
      <c r="E181" s="98" t="str">
        <v>抖音视频创意-矩阵号-内容制作</v>
      </c>
      <c r="F181" s="100">
        <f>VLOOKUP(E181,'收集数据表'!A:K,6,0)</f>
      </c>
      <c r="G181" s="100" t="str">
        <v>品类内容推广</v>
      </c>
      <c r="H181" s="97" t="str">
        <v>抖音视频创意-矩阵号</v>
      </c>
      <c r="I181" s="95" t="str">
        <v>品牌运营中心</v>
      </c>
      <c r="J181" s="95" t="str">
        <v>渠道运营部</v>
      </c>
      <c r="K181" s="95" t="str">
        <v>抖音部</v>
      </c>
      <c r="L181" s="95" t="str">
        <v>矩阵部</v>
      </c>
      <c r="M181" s="98">
        <f>"销售费用_"&amp;D181&amp;"_"&amp;C181</f>
      </c>
      <c r="N181" s="98" t="str">
        <v>6601.36.14</v>
      </c>
      <c r="O181" s="98"/>
      <c r="P181" s="98">
        <f>C181</f>
      </c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</row>
    <row r="182">
      <c r="A182" s="95">
        <f>ROW(B182)-2</f>
      </c>
      <c r="B182" s="96" t="str">
        <v>内容制作费</v>
      </c>
      <c r="C182" s="96" t="str">
        <v>内容制作费</v>
      </c>
      <c r="D182" s="95" t="str">
        <v>营销费用</v>
      </c>
      <c r="E182" s="98" t="str">
        <v>抖音视频创意-店铺-内容制作</v>
      </c>
      <c r="F182" s="100">
        <f>VLOOKUP(E182,'收集数据表'!A:K,6,0)</f>
      </c>
      <c r="G182" s="100" t="str">
        <v>品类内容推广</v>
      </c>
      <c r="H182" s="97" t="str">
        <v>抖音视频创意-店铺</v>
      </c>
      <c r="I182" s="95" t="str">
        <v>品牌运营中心</v>
      </c>
      <c r="J182" s="95" t="str">
        <v>渠道运营部</v>
      </c>
      <c r="K182" s="95" t="str">
        <v>抖音部</v>
      </c>
      <c r="L182" s="95" t="str">
        <v>内容部</v>
      </c>
      <c r="M182" s="98">
        <f>"销售费用_"&amp;D182&amp;"_"&amp;C182</f>
      </c>
      <c r="N182" s="98" t="str">
        <v>6601.36.14</v>
      </c>
      <c r="O182" s="98"/>
      <c r="P182" s="98">
        <f>C182</f>
      </c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</row>
    <row r="183">
      <c r="A183" s="95">
        <f>ROW(B183)-2</f>
      </c>
      <c r="B183" s="96" t="str">
        <v>渠道推广费</v>
      </c>
      <c r="C183" s="101" t="str">
        <v>站内推广费</v>
      </c>
      <c r="D183" s="95" t="str">
        <v>营销费用</v>
      </c>
      <c r="E183" s="98" t="str">
        <v>千川信息流</v>
      </c>
      <c r="F183" s="100">
        <f>VLOOKUP(E183,'收集数据表'!A:K,6,0)</f>
      </c>
      <c r="G183" s="100" t="str">
        <v>直播电商推广</v>
      </c>
      <c r="H183" s="97" t="str">
        <v>抖音电商渠道推广</v>
      </c>
      <c r="I183" s="95" t="str">
        <v>品牌运营中心</v>
      </c>
      <c r="J183" s="95" t="str">
        <v>渠道运营部</v>
      </c>
      <c r="K183" s="95" t="str">
        <v>抖音部</v>
      </c>
      <c r="L183" s="95" t="str">
        <v>抖音推广部</v>
      </c>
      <c r="M183" s="98" t="str">
        <v>销售费用_营销费用_线上推广费</v>
      </c>
      <c r="N183" s="98" t="str">
        <v>6601.36.24</v>
      </c>
      <c r="O183" s="98"/>
      <c r="P183" s="98" t="str">
        <v>技术服务费？服务费？</v>
      </c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</row>
    <row r="184">
      <c r="A184" s="95">
        <f>ROW(B184)-2</f>
      </c>
      <c r="B184" s="96" t="str">
        <v>渠道推广费</v>
      </c>
      <c r="C184" s="101" t="str">
        <v>站内推广费</v>
      </c>
      <c r="D184" s="95" t="str">
        <v>营销费用</v>
      </c>
      <c r="E184" s="98" t="str">
        <v>矩阵号千川信息流</v>
      </c>
      <c r="F184" s="100">
        <f>VLOOKUP(E184,'收集数据表'!A:K,6,0)</f>
      </c>
      <c r="G184" s="100" t="str">
        <v>直播电商推广</v>
      </c>
      <c r="H184" s="97" t="str">
        <v>抖音矩阵号渠道推广</v>
      </c>
      <c r="I184" s="95" t="str">
        <v>品牌运营中心</v>
      </c>
      <c r="J184" s="95" t="str">
        <v>渠道运营部</v>
      </c>
      <c r="K184" s="95" t="str">
        <v>抖音部</v>
      </c>
      <c r="L184" s="95" t="str">
        <v>矩阵部</v>
      </c>
      <c r="M184" s="98" t="str">
        <v>销售费用_营销费用_线上推广费</v>
      </c>
      <c r="N184" s="98" t="str">
        <v>6601.36.24</v>
      </c>
      <c r="O184" s="98"/>
      <c r="P184" s="98" t="str">
        <v>技术服务费？服务费？</v>
      </c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</row>
    <row r="185">
      <c r="A185" s="95">
        <f>ROW(B185)-2</f>
      </c>
      <c r="B185" s="96" t="str">
        <v>渠道推广费</v>
      </c>
      <c r="C185" s="96" t="str">
        <v>代运营服务费</v>
      </c>
      <c r="D185" s="95" t="str">
        <v>营销费用</v>
      </c>
      <c r="E185" s="98" t="str">
        <v>矩阵号服务费</v>
      </c>
      <c r="F185" s="100">
        <f>VLOOKUP(E185,'收集数据表'!A:K,6,0)</f>
      </c>
      <c r="G185" s="100" t="str">
        <v>直播电商推广</v>
      </c>
      <c r="H185" s="97" t="str">
        <v>抖音矩阵号直播佣金服务费</v>
      </c>
      <c r="I185" s="95" t="str">
        <v>品牌运营中心</v>
      </c>
      <c r="J185" s="95" t="str">
        <v>渠道运营部</v>
      </c>
      <c r="K185" s="95" t="str">
        <v>抖音部</v>
      </c>
      <c r="L185" s="95" t="str">
        <v>矩阵部</v>
      </c>
      <c r="M185" s="98">
        <f>"销售费用_"&amp;D185&amp;"_"&amp;C185</f>
      </c>
      <c r="N185" s="98" t="str">
        <v>6601.36.05</v>
      </c>
      <c r="O185" s="98"/>
      <c r="P185" s="98" t="str">
        <v>服务费</v>
      </c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</row>
    <row r="186">
      <c r="A186" s="95">
        <f>ROW(B186)-2</f>
      </c>
      <c r="B186" s="96" t="str">
        <v>达人推广费</v>
      </c>
      <c r="C186" s="96" t="str">
        <v>内容推广费</v>
      </c>
      <c r="D186" s="95" t="str">
        <v>营销费用</v>
      </c>
      <c r="E186" s="131" t="str">
        <v>矩阵号DOU+</v>
      </c>
      <c r="F186" s="100">
        <f>VLOOKUP(E186,'收集数据表'!A:K,6,0)</f>
      </c>
      <c r="G186" s="100" t="str">
        <v>品类内容推广</v>
      </c>
      <c r="H186" s="97" t="str">
        <v>抖音矩阵号渠道推广</v>
      </c>
      <c r="I186" s="95" t="str">
        <v>品牌运营中心</v>
      </c>
      <c r="J186" s="95" t="str">
        <v>渠道运营部</v>
      </c>
      <c r="K186" s="95" t="str">
        <v>抖音部</v>
      </c>
      <c r="L186" s="95" t="str">
        <v>矩阵部</v>
      </c>
      <c r="M186" s="98" t="str">
        <v>销售费用_营销费用_线上推广费</v>
      </c>
      <c r="N186" s="98" t="str">
        <v>6601.36.24</v>
      </c>
      <c r="O186" s="98"/>
      <c r="P186" s="98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</row>
    <row r="187">
      <c r="A187" s="95">
        <f>ROW(B187)-2</f>
      </c>
      <c r="B187" s="96" t="str">
        <v>达人推广费</v>
      </c>
      <c r="C187" s="96" t="str">
        <v>内容推广费</v>
      </c>
      <c r="D187" s="95" t="str">
        <v>营销费用</v>
      </c>
      <c r="E187" s="131" t="str">
        <v>抖音官号DOU+</v>
      </c>
      <c r="F187" s="100">
        <f>VLOOKUP(E187,'收集数据表'!A:K,6,0)</f>
      </c>
      <c r="G187" s="100" t="str">
        <v>直播电商推广</v>
      </c>
      <c r="H187" s="97" t="str">
        <v>抖音电商渠道推广</v>
      </c>
      <c r="I187" s="95" t="str">
        <v>品牌运营中心</v>
      </c>
      <c r="J187" s="95" t="str">
        <v>渠道运营部</v>
      </c>
      <c r="K187" s="95" t="str">
        <v>抖音部</v>
      </c>
      <c r="L187" s="95" t="str">
        <v>抖音推广部</v>
      </c>
      <c r="M187" s="98" t="str">
        <v>销售费用_营销费用_线上推广费</v>
      </c>
      <c r="N187" s="98" t="str">
        <v>6601.36.24</v>
      </c>
      <c r="O187" s="98"/>
      <c r="P187" s="98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</row>
    <row r="188">
      <c r="A188" s="95">
        <f>ROW(B188)-2</f>
      </c>
      <c r="B188" s="96" t="str">
        <v>渠道推广费</v>
      </c>
      <c r="C188" s="96" t="str">
        <v>代运营佣金</v>
      </c>
      <c r="D188" s="95" t="str">
        <v>营销费用</v>
      </c>
      <c r="E188" s="98" t="str">
        <v>矩阵号佣金</v>
      </c>
      <c r="F188" s="100">
        <f>VLOOKUP(E188,'收集数据表'!A:K,6,0)</f>
      </c>
      <c r="G188" s="100" t="str">
        <v>直播电商推广</v>
      </c>
      <c r="H188" s="97" t="str">
        <v>抖音矩阵号直播佣金服务费</v>
      </c>
      <c r="I188" s="95" t="str">
        <v>品牌运营中心</v>
      </c>
      <c r="J188" s="95" t="str">
        <v>渠道运营部</v>
      </c>
      <c r="K188" s="95" t="str">
        <v>抖音部</v>
      </c>
      <c r="L188" s="95" t="str">
        <v>矩阵部</v>
      </c>
      <c r="M188" s="98">
        <f>"销售费用_"&amp;D188&amp;"_"&amp;C188</f>
      </c>
      <c r="N188" s="98" t="str">
        <v>6601.36.06</v>
      </c>
      <c r="O188" s="98"/>
      <c r="P188" s="98" t="str">
        <v>服务费</v>
      </c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</row>
    <row r="189">
      <c r="A189" s="95">
        <f>ROW(B189)-2</f>
      </c>
      <c r="B189" s="96" t="str">
        <v>渠道推广费</v>
      </c>
      <c r="C189" s="96" t="str">
        <v>代运营服务费</v>
      </c>
      <c r="D189" s="95" t="str">
        <v>营销费用</v>
      </c>
      <c r="E189" s="98" t="str">
        <v>共创直播间服务费-唯品会</v>
      </c>
      <c r="F189" s="100">
        <f>VLOOKUP(E189,'收集数据表'!A:K,6,0)</f>
      </c>
      <c r="G189" s="100" t="str">
        <v>平台电商推广</v>
      </c>
      <c r="H189" s="97" t="str">
        <v>唯品渠道推广（共创）</v>
      </c>
      <c r="I189" s="95" t="str">
        <v>品牌运营中心</v>
      </c>
      <c r="J189" s="95" t="str">
        <v>渠道运营部</v>
      </c>
      <c r="K189" s="95" t="str">
        <v>特色电商部</v>
      </c>
      <c r="L189" s="95" t="str">
        <v>唯品综合部</v>
      </c>
      <c r="M189" s="98">
        <f>"销售费用_"&amp;D189&amp;"_"&amp;C189</f>
      </c>
      <c r="N189" s="98" t="str">
        <v>6601.36.05</v>
      </c>
      <c r="O189" s="98"/>
      <c r="P189" s="98" t="str">
        <v>服务费</v>
      </c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</row>
    <row r="190">
      <c r="A190" s="95">
        <f>ROW(B190)-2</f>
      </c>
      <c r="B190" s="96" t="str">
        <v>渠道推广费</v>
      </c>
      <c r="C190" s="96" t="str">
        <v>代运营服务费</v>
      </c>
      <c r="D190" s="95" t="str">
        <v>营销费用</v>
      </c>
      <c r="E190" s="98" t="str">
        <v>共创直播间服务费-京东</v>
      </c>
      <c r="F190" s="100">
        <f>VLOOKUP(E190,'收集数据表'!A:K,6,0)</f>
      </c>
      <c r="G190" s="100" t="str">
        <v>平台电商推广</v>
      </c>
      <c r="H190" s="97" t="str">
        <v>京东渠道推广（共创）</v>
      </c>
      <c r="I190" s="95" t="str">
        <v>品牌运营中心</v>
      </c>
      <c r="J190" s="95" t="str">
        <v>渠道运营部</v>
      </c>
      <c r="K190" s="95" t="str">
        <v>特色电商部</v>
      </c>
      <c r="L190" s="95" t="str">
        <v>京东部</v>
      </c>
      <c r="M190" s="98">
        <f>"销售费用_"&amp;D190&amp;"_"&amp;C190</f>
      </c>
      <c r="N190" s="98" t="str">
        <v>6601.36.05</v>
      </c>
      <c r="O190" s="98"/>
      <c r="P190" s="98" t="str">
        <v>服务费</v>
      </c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</row>
    <row r="191">
      <c r="A191" s="95">
        <f>ROW(B191)-2</f>
      </c>
      <c r="B191" s="96" t="str">
        <v>渠道推广费</v>
      </c>
      <c r="C191" s="96" t="str">
        <v>代运营佣金</v>
      </c>
      <c r="D191" s="95" t="str">
        <v>营销费用</v>
      </c>
      <c r="E191" s="98" t="str">
        <v>共创直播间佣金-唯品会</v>
      </c>
      <c r="F191" s="100">
        <f>VLOOKUP(E191,'收集数据表'!A:K,6,0)</f>
      </c>
      <c r="G191" s="100" t="str">
        <v>平台电商推广</v>
      </c>
      <c r="H191" s="97" t="str">
        <v>唯品渠道推广（共创）</v>
      </c>
      <c r="I191" s="95" t="str">
        <v>品牌运营中心</v>
      </c>
      <c r="J191" s="95" t="str">
        <v>渠道运营部</v>
      </c>
      <c r="K191" s="95" t="str">
        <v>特色电商部</v>
      </c>
      <c r="L191" s="95" t="str">
        <v>唯品综合部</v>
      </c>
      <c r="M191" s="98">
        <f>"销售费用_"&amp;D191&amp;"_"&amp;C191</f>
      </c>
      <c r="N191" s="98" t="str">
        <v>6601.36.06</v>
      </c>
      <c r="O191" s="98"/>
      <c r="P191" s="98" t="str">
        <v>服务费</v>
      </c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</row>
    <row r="192">
      <c r="A192" s="95">
        <f>ROW(B192)-2</f>
      </c>
      <c r="B192" s="96" t="str">
        <v>渠道推广费</v>
      </c>
      <c r="C192" s="96" t="str">
        <v>代运营佣金</v>
      </c>
      <c r="D192" s="95" t="str">
        <v>营销费用</v>
      </c>
      <c r="E192" s="98" t="str">
        <v>共创直播间佣金-京东</v>
      </c>
      <c r="F192" s="100">
        <f>VLOOKUP(E192,'收集数据表'!A:K,6,0)</f>
      </c>
      <c r="G192" s="100" t="str">
        <v>平台电商推广</v>
      </c>
      <c r="H192" s="97" t="str">
        <v>京东渠道推广（共创）</v>
      </c>
      <c r="I192" s="95" t="str">
        <v>品牌运营中心</v>
      </c>
      <c r="J192" s="95" t="str">
        <v>渠道运营部</v>
      </c>
      <c r="K192" s="95" t="str">
        <v>特色电商部</v>
      </c>
      <c r="L192" s="95" t="str">
        <v>京东部</v>
      </c>
      <c r="M192" s="98">
        <f>"销售费用_"&amp;D192&amp;"_"&amp;C192</f>
      </c>
      <c r="N192" s="98" t="str">
        <v>6601.36.06</v>
      </c>
      <c r="O192" s="98"/>
      <c r="P192" s="98" t="str">
        <v>服务费</v>
      </c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</row>
    <row r="193">
      <c r="A193" s="103">
        <f>ROW(B193)-2</f>
      </c>
      <c r="B193" s="102" t="str">
        <v>店铺运营费</v>
      </c>
      <c r="C193" s="102" t="str">
        <v>店铺服务费</v>
      </c>
      <c r="D193" s="103" t="str">
        <v>营销费用</v>
      </c>
      <c r="E193" s="107" t="str">
        <v>店铺服务费</v>
      </c>
      <c r="F193" s="100">
        <f>VLOOKUP(E193,'收集数据表'!A:K,6,0)</f>
      </c>
      <c r="G193" s="107" t="str">
        <v>平台扣点</v>
      </c>
      <c r="H193" s="108" t="str">
        <v>平台服务费</v>
      </c>
      <c r="I193" s="103" t="str">
        <v>品牌运营中心</v>
      </c>
      <c r="J193" s="103" t="str">
        <v>渠道运营部</v>
      </c>
      <c r="K193" s="103"/>
      <c r="L193" s="103"/>
      <c r="M193" s="104">
        <f>"销售费用_"&amp;D193&amp;"_"&amp;C193</f>
      </c>
      <c r="N193" s="98" t="str">
        <v>#N/A</v>
      </c>
      <c r="O193" s="104"/>
      <c r="P193" s="104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</row>
    <row r="194">
      <c r="A194" s="103">
        <f>ROW(B194)-2</f>
      </c>
      <c r="B194" s="102" t="str">
        <v>店铺运营费</v>
      </c>
      <c r="C194" s="102" t="str">
        <v>快递拦截费</v>
      </c>
      <c r="D194" s="103" t="str">
        <v>营销费用</v>
      </c>
      <c r="E194" s="107" t="str">
        <v>快递拦截费</v>
      </c>
      <c r="F194" s="100">
        <f>VLOOKUP(E194,'收集数据表'!A:K,6,0)</f>
      </c>
      <c r="G194" s="107" t="str">
        <v>平台扣点</v>
      </c>
      <c r="H194" s="108" t="str">
        <v>平台服务费</v>
      </c>
      <c r="I194" s="103" t="str">
        <v>品牌运营中心</v>
      </c>
      <c r="J194" s="103" t="str">
        <v>渠道运营部</v>
      </c>
      <c r="K194" s="103"/>
      <c r="L194" s="103"/>
      <c r="M194" s="104">
        <f>"销售费用_"&amp;D194&amp;"_"&amp;C194</f>
      </c>
      <c r="N194" s="98" t="str">
        <v>#N/A</v>
      </c>
      <c r="O194" s="104"/>
      <c r="P194" s="104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</row>
    <row r="195">
      <c r="A195" s="103">
        <f>ROW(B195)-2</f>
      </c>
      <c r="B195" s="102" t="str">
        <v>店铺运营费</v>
      </c>
      <c r="C195" s="102" t="str">
        <v>代收保险费</v>
      </c>
      <c r="D195" s="103" t="str">
        <v>营销费用</v>
      </c>
      <c r="E195" s="107" t="str">
        <v>店铺保险费</v>
      </c>
      <c r="F195" s="100">
        <f>VLOOKUP(E195,'收集数据表'!A:K,6,0)</f>
      </c>
      <c r="G195" s="107" t="str">
        <v>平台扣点</v>
      </c>
      <c r="H195" s="108" t="str">
        <v>平台服务费</v>
      </c>
      <c r="I195" s="103" t="str">
        <v>品牌运营中心</v>
      </c>
      <c r="J195" s="103" t="str">
        <v>渠道运营部</v>
      </c>
      <c r="K195" s="103"/>
      <c r="L195" s="103"/>
      <c r="M195" s="104">
        <f>"销售费用_"&amp;D195&amp;"_"&amp;C195</f>
      </c>
      <c r="N195" s="98" t="str">
        <v>#N/A</v>
      </c>
      <c r="O195" s="104"/>
      <c r="P195" s="104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</row>
    <row r="196">
      <c r="A196" s="103">
        <f>ROW(B196)-2</f>
      </c>
      <c r="B196" s="102" t="str">
        <v>店铺运营费</v>
      </c>
      <c r="C196" s="102" t="str">
        <v>支付服务费</v>
      </c>
      <c r="D196" s="103" t="str">
        <v>营销费用</v>
      </c>
      <c r="E196" s="107" t="str">
        <v>支付服务费</v>
      </c>
      <c r="F196" s="100">
        <f>VLOOKUP(E196,'收集数据表'!A:K,6,0)</f>
      </c>
      <c r="G196" s="107" t="str">
        <v>平台扣点</v>
      </c>
      <c r="H196" s="108" t="str">
        <v>平台服务费</v>
      </c>
      <c r="I196" s="103" t="str">
        <v>品牌运营中心</v>
      </c>
      <c r="J196" s="103" t="str">
        <v>渠道运营部</v>
      </c>
      <c r="K196" s="103"/>
      <c r="L196" s="103"/>
      <c r="M196" s="104">
        <f>"销售费用_"&amp;D196&amp;"_"&amp;C196</f>
      </c>
      <c r="N196" s="98" t="str">
        <v>#N/A</v>
      </c>
      <c r="O196" s="104"/>
      <c r="P196" s="104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</row>
    <row r="197">
      <c r="A197" s="103">
        <f>ROW(B197)-2</f>
      </c>
      <c r="B197" s="102" t="str">
        <v>店铺运营费</v>
      </c>
      <c r="C197" s="102" t="str">
        <v>平台技术服务费</v>
      </c>
      <c r="D197" s="103" t="str">
        <v>营销费用</v>
      </c>
      <c r="E197" s="107" t="str">
        <v>平台技术服务费</v>
      </c>
      <c r="F197" s="100">
        <f>VLOOKUP(E197,'收集数据表'!A:K,6,0)</f>
      </c>
      <c r="G197" s="107" t="str">
        <v>平台扣点</v>
      </c>
      <c r="H197" s="108" t="str">
        <v>平台服务费</v>
      </c>
      <c r="I197" s="103" t="str">
        <v>品牌运营中心</v>
      </c>
      <c r="J197" s="103" t="str">
        <v>渠道运营部</v>
      </c>
      <c r="K197" s="103"/>
      <c r="L197" s="103"/>
      <c r="M197" s="104">
        <f>"销售费用_"&amp;D197&amp;"_"&amp;C197</f>
      </c>
      <c r="N197" s="98" t="str">
        <v>#N/A</v>
      </c>
      <c r="O197" s="104"/>
      <c r="P197" s="104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</row>
    <row r="198">
      <c r="A198" s="103">
        <f>ROW(B198)-2</f>
      </c>
      <c r="B198" s="102" t="str">
        <v>店铺运营费</v>
      </c>
      <c r="C198" s="102" t="str">
        <v>支付手续费</v>
      </c>
      <c r="D198" s="103" t="str">
        <v>营销费用</v>
      </c>
      <c r="E198" s="107" t="str">
        <v>支付手续费</v>
      </c>
      <c r="F198" s="100">
        <f>VLOOKUP(E198,'收集数据表'!A:K,6,0)</f>
      </c>
      <c r="G198" s="107" t="str">
        <v>平台扣点</v>
      </c>
      <c r="H198" s="108" t="str">
        <v>平台服务费</v>
      </c>
      <c r="I198" s="103" t="str">
        <v>品牌运营中心</v>
      </c>
      <c r="J198" s="103" t="str">
        <v>渠道运营部</v>
      </c>
      <c r="K198" s="103"/>
      <c r="L198" s="103"/>
      <c r="M198" s="104">
        <f>"销售费用_"&amp;D198&amp;"_"&amp;C198</f>
      </c>
      <c r="N198" s="98" t="str">
        <v>#N/A</v>
      </c>
      <c r="O198" s="104"/>
      <c r="P198" s="104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</row>
    <row r="199">
      <c r="A199" s="95">
        <f>ROW(B199)-2</f>
      </c>
      <c r="B199" s="96" t="str">
        <v>店铺运营费</v>
      </c>
      <c r="C199" s="96" t="str">
        <v>平台软件费</v>
      </c>
      <c r="D199" s="95" t="str">
        <v>营销费用</v>
      </c>
      <c r="E199" s="100" t="str">
        <v>软件费用</v>
      </c>
      <c r="F199" s="100">
        <f>VLOOKUP(E199,'收集数据表'!A:K,6,0)</f>
      </c>
      <c r="G199" s="100" t="str">
        <v>平台扣点</v>
      </c>
      <c r="H199" s="97" t="str">
        <v>软件服务费</v>
      </c>
      <c r="I199" s="95" t="str">
        <v>品牌运营中心</v>
      </c>
      <c r="J199" s="95" t="str">
        <v>渠道运营部</v>
      </c>
      <c r="K199" s="95"/>
      <c r="L199" s="95"/>
      <c r="M199" s="98">
        <f>"销售费用_"&amp;D199&amp;"_"&amp;C199</f>
      </c>
      <c r="N199" s="98" t="str">
        <v>6601.36.18</v>
      </c>
      <c r="O199" s="98"/>
      <c r="P199" s="98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</row>
    <row r="200">
      <c r="A200" s="95">
        <f>ROW(B200)-2</f>
      </c>
      <c r="B200" s="96" t="str">
        <v>其他费用</v>
      </c>
      <c r="C200" s="96" t="str">
        <v>场地租赁费</v>
      </c>
      <c r="D200" s="95" t="str">
        <v>营销费用</v>
      </c>
      <c r="E200" s="98" t="str">
        <v>抖音视频创意-矩阵号-场地租赁</v>
      </c>
      <c r="F200" s="100">
        <f>VLOOKUP(E200,'收集数据表'!A:K,6,0)</f>
      </c>
      <c r="G200" s="100" t="str">
        <v>品类内容推广</v>
      </c>
      <c r="H200" s="97" t="str">
        <v>抖音视频创意-矩阵号</v>
      </c>
      <c r="I200" s="95" t="str">
        <v>品牌运营中心</v>
      </c>
      <c r="J200" s="95" t="str">
        <v>渠道运营部</v>
      </c>
      <c r="K200" s="95" t="str">
        <v>抖音部</v>
      </c>
      <c r="L200" s="95" t="str">
        <v>矩阵部</v>
      </c>
      <c r="M200" s="98">
        <f>"销售费用_"&amp;D200&amp;"_"&amp;C200</f>
      </c>
      <c r="N200" s="98" t="str">
        <v>6601.36.02</v>
      </c>
      <c r="O200" s="98"/>
      <c r="P200" s="98">
        <f>C200</f>
      </c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</row>
    <row r="201">
      <c r="A201" s="95">
        <f>ROW(B201)-2</f>
      </c>
      <c r="B201" s="96" t="str">
        <v>其他费用</v>
      </c>
      <c r="C201" s="96" t="str">
        <v>场地租赁费</v>
      </c>
      <c r="D201" s="95" t="str">
        <v>营销费用</v>
      </c>
      <c r="E201" s="98" t="str">
        <v>抖音视频创意-店铺-场地租赁</v>
      </c>
      <c r="F201" s="100">
        <f>VLOOKUP(E201,'收集数据表'!A:K,6,0)</f>
      </c>
      <c r="G201" s="100" t="str">
        <v>品类内容推广</v>
      </c>
      <c r="H201" s="97" t="str">
        <v>抖音视频创意-店铺</v>
      </c>
      <c r="I201" s="95" t="str">
        <v>品牌运营中心</v>
      </c>
      <c r="J201" s="95" t="str">
        <v>渠道运营部</v>
      </c>
      <c r="K201" s="95" t="str">
        <v>抖音部</v>
      </c>
      <c r="L201" s="95" t="str">
        <v>内容部</v>
      </c>
      <c r="M201" s="98">
        <f>"销售费用_"&amp;D201&amp;"_"&amp;C201</f>
      </c>
      <c r="N201" s="98" t="str">
        <v>6601.36.02</v>
      </c>
      <c r="O201" s="98"/>
      <c r="P201" s="98">
        <f>C201</f>
      </c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</row>
    <row r="202">
      <c r="A202" s="95">
        <f>ROW(B202)-2</f>
      </c>
      <c r="B202" s="123" t="str">
        <v>其他费用</v>
      </c>
      <c r="C202" s="96" t="str">
        <v>舞台场地搭建费</v>
      </c>
      <c r="D202" s="95" t="str">
        <v>营销费用</v>
      </c>
      <c r="E202" s="98" t="str">
        <v>抖音视频创意-矩阵号-舞台场地搭建</v>
      </c>
      <c r="F202" s="100">
        <f>VLOOKUP(E202,'收集数据表'!A:K,6,0)</f>
      </c>
      <c r="G202" s="100" t="str">
        <v>品类内容推广</v>
      </c>
      <c r="H202" s="97" t="str">
        <v>抖音视频创意-矩阵号</v>
      </c>
      <c r="I202" s="95" t="str">
        <v>品牌运营中心</v>
      </c>
      <c r="J202" s="95" t="str">
        <v>渠道运营部</v>
      </c>
      <c r="K202" s="95" t="str">
        <v>抖音部</v>
      </c>
      <c r="L202" s="95" t="str">
        <v>矩阵部</v>
      </c>
      <c r="M202" s="98" t="str">
        <v>销售费用_营销费用_搭建服务费</v>
      </c>
      <c r="N202" s="98" t="str">
        <v>6601.36.03</v>
      </c>
      <c r="O202" s="98"/>
      <c r="P202" s="98" t="str">
        <v>搭建服务费</v>
      </c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</row>
    <row r="203">
      <c r="A203" s="95">
        <f>ROW(B203)-2</f>
      </c>
      <c r="B203" s="123" t="str">
        <v>其他费用</v>
      </c>
      <c r="C203" s="96" t="str">
        <v>舞台场地搭建费</v>
      </c>
      <c r="D203" s="95" t="str">
        <v>营销费用</v>
      </c>
      <c r="E203" s="98" t="str">
        <v>抖音视频创意-店铺-舞台场地搭建</v>
      </c>
      <c r="F203" s="100">
        <f>VLOOKUP(E203,'收集数据表'!A:K,6,0)</f>
      </c>
      <c r="G203" s="100" t="str">
        <v>品类内容推广</v>
      </c>
      <c r="H203" s="97" t="str">
        <v>抖音视频创意-店铺</v>
      </c>
      <c r="I203" s="95" t="str">
        <v>品牌运营中心</v>
      </c>
      <c r="J203" s="95" t="str">
        <v>渠道运营部</v>
      </c>
      <c r="K203" s="95" t="str">
        <v>抖音部</v>
      </c>
      <c r="L203" s="95" t="str">
        <v>内容部</v>
      </c>
      <c r="M203" s="98" t="str">
        <v>销售费用_营销费用_搭建服务费</v>
      </c>
      <c r="N203" s="98" t="str">
        <v>6601.36.03</v>
      </c>
      <c r="O203" s="98"/>
      <c r="P203" s="98" t="str">
        <v>搭建服务费</v>
      </c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</row>
    <row r="204">
      <c r="A204" s="95">
        <f>ROW(B204)-2</f>
      </c>
      <c r="B204" s="96" t="str">
        <v>其他费用</v>
      </c>
      <c r="C204" s="96" t="str">
        <v>设备租赁费</v>
      </c>
      <c r="D204" s="95" t="str">
        <v>营销费用</v>
      </c>
      <c r="E204" s="98" t="str">
        <v>抖音视频创意-矩阵号-设备租赁</v>
      </c>
      <c r="F204" s="100">
        <f>VLOOKUP(E204,'收集数据表'!A:K,6,0)</f>
      </c>
      <c r="G204" s="100" t="str">
        <v>品类内容推广</v>
      </c>
      <c r="H204" s="97" t="str">
        <v>抖音视频创意-矩阵号</v>
      </c>
      <c r="I204" s="95" t="str">
        <v>品牌运营中心</v>
      </c>
      <c r="J204" s="95" t="str">
        <v>渠道运营部</v>
      </c>
      <c r="K204" s="95" t="str">
        <v>抖音部</v>
      </c>
      <c r="L204" s="95" t="str">
        <v>矩阵部</v>
      </c>
      <c r="M204" s="98">
        <f>"销售费用_"&amp;D204&amp;"_"&amp;C204</f>
      </c>
      <c r="N204" s="98" t="str">
        <v>6601.36.19</v>
      </c>
      <c r="O204" s="98"/>
      <c r="P204" s="98">
        <f>C204</f>
      </c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</row>
    <row r="205">
      <c r="A205" s="95">
        <f>ROW(B205)-2</f>
      </c>
      <c r="B205" s="96" t="str">
        <v>其他费用</v>
      </c>
      <c r="C205" s="96" t="str">
        <v>设备租赁费</v>
      </c>
      <c r="D205" s="95" t="str">
        <v>营销费用</v>
      </c>
      <c r="E205" s="98" t="str">
        <v>抖音视频创意-店铺-设备租赁</v>
      </c>
      <c r="F205" s="100">
        <f>VLOOKUP(E205,'收集数据表'!A:K,6,0)</f>
      </c>
      <c r="G205" s="100" t="str">
        <v>品类内容推广</v>
      </c>
      <c r="H205" s="97" t="str">
        <v>抖音视频创意-店铺</v>
      </c>
      <c r="I205" s="95" t="str">
        <v>品牌运营中心</v>
      </c>
      <c r="J205" s="95" t="str">
        <v>渠道运营部</v>
      </c>
      <c r="K205" s="95" t="str">
        <v>抖音部</v>
      </c>
      <c r="L205" s="95" t="str">
        <v>内容部</v>
      </c>
      <c r="M205" s="98">
        <f>"销售费用_"&amp;D205&amp;"_"&amp;C205</f>
      </c>
      <c r="N205" s="98" t="str">
        <v>6601.36.19</v>
      </c>
      <c r="O205" s="98"/>
      <c r="P205" s="98">
        <f>C205</f>
      </c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</row>
    <row r="206">
      <c r="A206" s="95">
        <f>ROW(B206)-2</f>
      </c>
      <c r="B206" s="96" t="str">
        <v>品牌宣传费</v>
      </c>
      <c r="C206" s="96" t="str">
        <v>营销宣传费</v>
      </c>
      <c r="D206" s="95" t="str">
        <v>营销费用</v>
      </c>
      <c r="E206" s="98" t="str">
        <v>明星影综营销号</v>
      </c>
      <c r="F206" s="100">
        <f>VLOOKUP(E206,'收集数据表'!A:K,6,0)</f>
      </c>
      <c r="G206" s="98" t="str">
        <v>IP明星内容合作</v>
      </c>
      <c r="H206" s="106" t="str">
        <v>品牌IP及娱乐营销</v>
      </c>
      <c r="I206" s="95" t="str">
        <v>品牌运营中心</v>
      </c>
      <c r="J206" s="95" t="str">
        <v>市场广告推广部</v>
      </c>
      <c r="K206" s="95" t="str">
        <v>市场推广部</v>
      </c>
      <c r="L206" s="95" t="str">
        <v>娱乐营销部</v>
      </c>
      <c r="M206" s="98">
        <f>"销售费用_"&amp;D206&amp;"_"&amp;C206</f>
      </c>
      <c r="N206" s="98" t="str">
        <v>6601.36.27</v>
      </c>
      <c r="O206" s="95"/>
      <c r="P206" s="98">
        <f>C206</f>
      </c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</row>
    <row r="207">
      <c r="A207" s="95">
        <f>ROW(B207)-2</f>
      </c>
      <c r="B207" s="96" t="str">
        <v>品牌宣传费</v>
      </c>
      <c r="C207" s="96" t="str">
        <v>品牌植入费</v>
      </c>
      <c r="D207" s="95" t="str">
        <v>营销费用</v>
      </c>
      <c r="E207" s="98" t="str">
        <v>影视综艺植入</v>
      </c>
      <c r="F207" s="100">
        <f>VLOOKUP(E207,'收集数据表'!A:K,6,0)</f>
      </c>
      <c r="G207" s="98" t="str">
        <v>IP明星内容合作</v>
      </c>
      <c r="H207" s="106" t="str">
        <v>品牌IP及娱乐营销</v>
      </c>
      <c r="I207" s="95" t="str">
        <v>品牌运营中心</v>
      </c>
      <c r="J207" s="95" t="str">
        <v>市场广告推广部</v>
      </c>
      <c r="K207" s="95" t="str">
        <v>市场推广部</v>
      </c>
      <c r="L207" s="95" t="str">
        <v>娱乐营销部</v>
      </c>
      <c r="M207" s="98">
        <f>"销售费用_"&amp;D207&amp;"_"&amp;C207</f>
      </c>
      <c r="N207" s="98" t="str">
        <v>6601.36.17</v>
      </c>
      <c r="O207" s="95"/>
      <c r="P207" s="98">
        <f>C207</f>
      </c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</row>
    <row r="208">
      <c r="A208" s="95">
        <f>ROW(B208)-2</f>
      </c>
      <c r="B208" s="96" t="str">
        <v>品牌宣传费</v>
      </c>
      <c r="C208" s="96" t="str">
        <v>明星合作费</v>
      </c>
      <c r="D208" s="95" t="str">
        <v>营销费用</v>
      </c>
      <c r="E208" s="98" t="str">
        <v>明星代言单次合作</v>
      </c>
      <c r="F208" s="100">
        <f>VLOOKUP(E208,'收集数据表'!A:K,6,0)</f>
      </c>
      <c r="G208" s="98" t="str">
        <v>IP明星内容合作</v>
      </c>
      <c r="H208" s="106" t="str">
        <v>明星代言单次</v>
      </c>
      <c r="I208" s="95" t="str">
        <v>品牌运营中心</v>
      </c>
      <c r="J208" s="95" t="str">
        <v>市场广告推广部</v>
      </c>
      <c r="K208" s="95" t="str">
        <v>市场推广部</v>
      </c>
      <c r="L208" s="95" t="str">
        <v>娱乐营销部</v>
      </c>
      <c r="M208" s="98">
        <f>"销售费用_"&amp;D208&amp;"_"&amp;C208</f>
      </c>
      <c r="N208" s="98" t="str">
        <v>6601.36.12</v>
      </c>
      <c r="O208" s="95"/>
      <c r="P208" s="98">
        <f>C208</f>
      </c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</row>
    <row r="209">
      <c r="A209" s="95">
        <f>ROW(B209)-2</f>
      </c>
      <c r="B209" s="96" t="str">
        <v>品牌宣传费</v>
      </c>
      <c r="C209" s="96" t="str">
        <v>明星合作费</v>
      </c>
      <c r="D209" s="95" t="str">
        <v>营销费用</v>
      </c>
      <c r="E209" s="98" t="str">
        <v>明星代言合作</v>
      </c>
      <c r="F209" s="100">
        <f>VLOOKUP(E209,'收集数据表'!A:K,6,0)</f>
      </c>
      <c r="G209" s="98" t="str">
        <v>IP明星内容合作</v>
      </c>
      <c r="H209" s="106" t="str">
        <v>明星代言摊销</v>
      </c>
      <c r="I209" s="95" t="str">
        <v>品牌运营中心</v>
      </c>
      <c r="J209" s="95" t="str">
        <v>市场广告推广部</v>
      </c>
      <c r="K209" s="95" t="str">
        <v>市场推广部</v>
      </c>
      <c r="L209" s="95" t="str">
        <v>娱乐营销部</v>
      </c>
      <c r="M209" s="98" t="str">
        <v>销售费用_营销费用_策划服务费</v>
      </c>
      <c r="N209" s="98" t="str">
        <v>6601.36.01</v>
      </c>
      <c r="O209" s="95"/>
      <c r="P209" s="98" t="str">
        <v>策划服务费</v>
      </c>
      <c r="Q209" s="95" t="str">
        <v>Y</v>
      </c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</row>
    <row r="210">
      <c r="A210" s="95">
        <f>ROW(B210)-2</f>
      </c>
      <c r="B210" s="96" t="str">
        <v>品牌宣传费</v>
      </c>
      <c r="C210" s="109" t="str">
        <v>创意策划服务费</v>
      </c>
      <c r="D210" s="95" t="str">
        <v>营销费用</v>
      </c>
      <c r="E210" s="129" t="str">
        <v>IP合作</v>
      </c>
      <c r="F210" s="100">
        <f>VLOOKUP(E210,'收集数据表'!A:K,6,0)</f>
      </c>
      <c r="G210" s="98" t="str">
        <v>IP明星内容合作</v>
      </c>
      <c r="H210" s="106" t="str">
        <v>品牌IP及娱乐营销</v>
      </c>
      <c r="I210" s="95" t="str">
        <v>品牌运营中心</v>
      </c>
      <c r="J210" s="95" t="str">
        <v>市场广告推广部</v>
      </c>
      <c r="K210" s="95" t="str">
        <v>市场推广部</v>
      </c>
      <c r="L210" s="95" t="str">
        <v>市场PR部</v>
      </c>
      <c r="M210" s="98" t="str">
        <v>销售费用_营销费用_策划服务费</v>
      </c>
      <c r="N210" s="98" t="str">
        <v>6601.36.01</v>
      </c>
      <c r="O210" s="95"/>
      <c r="P210" s="98" t="str">
        <v>策划服务费</v>
      </c>
      <c r="Q210" s="95" t="str">
        <v>Y</v>
      </c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</row>
    <row r="211">
      <c r="A211" s="95">
        <f>ROW(B211)-2</f>
      </c>
      <c r="B211" s="96" t="str">
        <v>品牌宣传费</v>
      </c>
      <c r="C211" s="96" t="str">
        <v>创意策划服务费</v>
      </c>
      <c r="D211" s="141" t="str">
        <v>营销费用</v>
      </c>
      <c r="E211" s="99" t="str">
        <v>明星综艺线下活动</v>
      </c>
      <c r="F211" s="100">
        <f>VLOOKUP(E211,'收集数据表'!A:K,6,0)</f>
      </c>
      <c r="G211" s="98" t="str">
        <v>IP明星内容合作</v>
      </c>
      <c r="H211" s="106" t="str">
        <v>明星代言单次</v>
      </c>
      <c r="I211" s="116" t="str">
        <v>品牌运营中心</v>
      </c>
      <c r="J211" s="95" t="str">
        <v>市场广告推广部</v>
      </c>
      <c r="K211" s="116" t="str">
        <v>市场推广部</v>
      </c>
      <c r="L211" s="95" t="str">
        <v>娱乐营销部</v>
      </c>
      <c r="M211" s="98" t="str">
        <v>销售费用_营销费用_策划服务费</v>
      </c>
      <c r="N211" s="98" t="str">
        <v>6601.36.01</v>
      </c>
      <c r="O211" s="95"/>
      <c r="P211" s="98">
        <f>C211</f>
      </c>
      <c r="Q211" s="95" t="str">
        <v>Y</v>
      </c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</row>
    <row r="212">
      <c r="A212" s="95">
        <f>ROW(B212)-2</f>
      </c>
      <c r="B212" s="96" t="str">
        <v>品牌宣传费</v>
      </c>
      <c r="C212" s="96" t="str">
        <v>活动策划服务费</v>
      </c>
      <c r="D212" s="95" t="str">
        <v>营销费用</v>
      </c>
      <c r="E212" s="99" t="str">
        <v>明星综艺线下活动</v>
      </c>
      <c r="F212" s="100">
        <f>VLOOKUP(E212,'收集数据表'!A:K,6,0)</f>
      </c>
      <c r="G212" s="98" t="str">
        <v>IP明星内容合作</v>
      </c>
      <c r="H212" s="106" t="str">
        <v>明星代言单次</v>
      </c>
      <c r="I212" s="95" t="str">
        <v>品牌运营中心</v>
      </c>
      <c r="J212" s="95" t="str">
        <v>市场广告推广部</v>
      </c>
      <c r="K212" s="95" t="str">
        <v>市场推广部</v>
      </c>
      <c r="L212" s="95" t="str">
        <v>娱乐营销部</v>
      </c>
      <c r="M212" s="98" t="str">
        <v>销售费用_营销费用_策划服务费</v>
      </c>
      <c r="N212" s="98" t="str">
        <v>6601.36.01</v>
      </c>
      <c r="O212" s="95"/>
      <c r="P212" s="98">
        <f>C212</f>
      </c>
      <c r="Q212" s="95" t="str">
        <v>Y</v>
      </c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</row>
    <row r="213">
      <c r="A213" s="95">
        <f>ROW(B213)-2</f>
      </c>
      <c r="B213" s="96" t="str">
        <v>其他费用</v>
      </c>
      <c r="C213" s="96" t="str">
        <v>场地租赁费</v>
      </c>
      <c r="D213" s="141" t="str">
        <v>营销费用</v>
      </c>
      <c r="E213" s="99" t="str">
        <v>明星综艺线下活动</v>
      </c>
      <c r="F213" s="100">
        <f>VLOOKUP(E213,'收集数据表'!A:K,6,0)</f>
      </c>
      <c r="G213" s="98" t="str">
        <v>IP明星内容合作</v>
      </c>
      <c r="H213" s="106" t="str">
        <v>明星代言单次</v>
      </c>
      <c r="I213" s="95" t="str">
        <v>品牌运营中心</v>
      </c>
      <c r="J213" s="95" t="str">
        <v>市场广告推广部</v>
      </c>
      <c r="K213" s="95" t="str">
        <v>市场推广部</v>
      </c>
      <c r="L213" s="95" t="str">
        <v>娱乐营销部</v>
      </c>
      <c r="M213" s="98" t="str">
        <v>销售费用_营销费用_搭建服务费</v>
      </c>
      <c r="N213" s="98" t="str">
        <v>6601.36.03</v>
      </c>
      <c r="O213" s="95"/>
      <c r="P213" s="98" t="str">
        <v>搭建服务费</v>
      </c>
      <c r="Q213" s="95" t="str">
        <v>Y</v>
      </c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</row>
    <row r="214">
      <c r="A214" s="95">
        <f>ROW(B214)-2</f>
      </c>
      <c r="B214" s="96" t="str">
        <v>其他费用</v>
      </c>
      <c r="C214" s="96" t="str">
        <v>设备租赁费</v>
      </c>
      <c r="D214" s="95" t="str">
        <v>营销费用</v>
      </c>
      <c r="E214" s="99" t="str">
        <v>明星综艺线下活动</v>
      </c>
      <c r="F214" s="100">
        <f>VLOOKUP(E214,'收集数据表'!A:K,6,0)</f>
      </c>
      <c r="G214" s="98" t="str">
        <v>IP明星内容合作</v>
      </c>
      <c r="H214" s="106" t="str">
        <v>明星代言单次</v>
      </c>
      <c r="I214" s="95" t="str">
        <v>品牌运营中心</v>
      </c>
      <c r="J214" s="95" t="str">
        <v>市场广告推广部</v>
      </c>
      <c r="K214" s="95" t="str">
        <v>市场推广部</v>
      </c>
      <c r="L214" s="95" t="str">
        <v>娱乐营销部</v>
      </c>
      <c r="M214" s="98" t="str">
        <v>销售费用_营销费用_达人发布费</v>
      </c>
      <c r="N214" s="98" t="str">
        <v>6601.36.04</v>
      </c>
      <c r="O214" s="95"/>
      <c r="P214" s="123" t="str">
        <v>达人发布费</v>
      </c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</row>
    <row r="215">
      <c r="A215" s="95">
        <f>ROW(B215)-2</f>
      </c>
      <c r="B215" s="123" t="str">
        <v>其他费用</v>
      </c>
      <c r="C215" s="96" t="str">
        <v>舞台场地搭建费</v>
      </c>
      <c r="D215" s="95" t="str">
        <v>营销费用</v>
      </c>
      <c r="E215" s="99" t="str">
        <v>明星综艺线下活动</v>
      </c>
      <c r="F215" s="100">
        <f>VLOOKUP(E215,'收集数据表'!A:K,6,0)</f>
      </c>
      <c r="G215" s="98" t="str">
        <v>IP明星内容合作</v>
      </c>
      <c r="H215" s="106" t="str">
        <v>明星代言单次</v>
      </c>
      <c r="I215" s="95" t="str">
        <v>品牌运营中心</v>
      </c>
      <c r="J215" s="95" t="str">
        <v>市场广告推广部</v>
      </c>
      <c r="K215" s="95" t="str">
        <v>市场推广部</v>
      </c>
      <c r="L215" s="95" t="str">
        <v>娱乐营销部</v>
      </c>
      <c r="M215" s="98" t="str">
        <v>销售费用_营销费用_推广服务费</v>
      </c>
      <c r="N215" s="98" t="str">
        <v>6601.36.23</v>
      </c>
      <c r="O215" s="95"/>
      <c r="P215" s="98" t="str">
        <v>推广服务费</v>
      </c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</row>
    <row r="216">
      <c r="A216" s="95">
        <f>ROW(B216)-2</f>
      </c>
      <c r="B216" s="96" t="str">
        <v>达人推广费</v>
      </c>
      <c r="C216" s="96" t="str">
        <v>达人合作费</v>
      </c>
      <c r="D216" s="95" t="str">
        <v>营销费用</v>
      </c>
      <c r="E216" s="98" t="str">
        <v>达人合作</v>
      </c>
      <c r="F216" s="100">
        <f>VLOOKUP(E216,'收集数据表'!A:K,6,0)</f>
      </c>
      <c r="G216" s="98" t="str">
        <v>市场达人推广</v>
      </c>
      <c r="H216" s="106" t="str">
        <v>达人推广</v>
      </c>
      <c r="I216" s="95" t="str">
        <v>品牌运营中心</v>
      </c>
      <c r="J216" s="95" t="str">
        <v>市场广告推广部</v>
      </c>
      <c r="K216" s="95" t="str">
        <v>市场推广部</v>
      </c>
      <c r="L216" s="95"/>
      <c r="M216" s="98" t="str">
        <v>销售费用_营销费用_达人发布费</v>
      </c>
      <c r="N216" s="98" t="str">
        <v>6601.36.04</v>
      </c>
      <c r="O216" s="95"/>
      <c r="P216" s="98">
        <f>C216</f>
      </c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</row>
    <row r="217">
      <c r="A217" s="95">
        <f>ROW(B217)-2</f>
      </c>
      <c r="B217" s="123" t="str">
        <v>内容制作费</v>
      </c>
      <c r="C217" s="96" t="str">
        <v>视频制作费</v>
      </c>
      <c r="D217" s="95" t="str">
        <v>营销费用</v>
      </c>
      <c r="E217" s="131" t="str">
        <v>虚拟IP</v>
      </c>
      <c r="F217" s="100">
        <f>VLOOKUP(E217,'收集数据表'!A:K,6,0)</f>
      </c>
      <c r="G217" s="100" t="str">
        <v>品类内容推广</v>
      </c>
      <c r="H217" s="124" t="str" xml:space="preserve">
        <v>虚拟IP &amp;直播间视觉设计 </v>
      </c>
      <c r="I217" s="95" t="str">
        <v>品牌运营中心</v>
      </c>
      <c r="J217" s="95" t="str">
        <v>渠道运营部</v>
      </c>
      <c r="K217" s="95" t="str">
        <v>抖音部</v>
      </c>
      <c r="L217" s="95" t="str">
        <v>内容部</v>
      </c>
      <c r="M217" s="98">
        <f>"销售费用_"&amp;D217&amp;"_"&amp;C217</f>
      </c>
      <c r="N217" s="98" t="str">
        <v>6601.36.21</v>
      </c>
      <c r="O217" s="98"/>
      <c r="P217" s="98">
        <f>C217</f>
      </c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</row>
    <row r="218">
      <c r="A218" s="95">
        <f>ROW(B218)-2</f>
      </c>
      <c r="B218" s="123" t="str">
        <v>内容制作费</v>
      </c>
      <c r="C218" s="130" t="str">
        <v>视觉设计费</v>
      </c>
      <c r="D218" s="95" t="str">
        <v>营销费用</v>
      </c>
      <c r="E218" s="128" t="str">
        <v>直播间视觉设计费</v>
      </c>
      <c r="F218" s="100">
        <f>VLOOKUP(E218,'收集数据表'!A:K,6,0)</f>
      </c>
      <c r="G218" s="100" t="str">
        <v>品类内容推广</v>
      </c>
      <c r="H218" s="129" t="str" xml:space="preserve">
        <v>虚拟IP &amp;直播间视觉设计 </v>
      </c>
      <c r="I218" s="95" t="str">
        <v>品牌运营中心</v>
      </c>
      <c r="J218" s="95" t="str">
        <v>渠道运营部</v>
      </c>
      <c r="K218" s="95" t="str">
        <v>抖音部</v>
      </c>
      <c r="L218" s="95" t="str">
        <v>内容部</v>
      </c>
      <c r="M218" s="98"/>
      <c r="N218" s="98"/>
      <c r="O218" s="95"/>
      <c r="P218" s="98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</row>
    <row r="219">
      <c r="A219" s="95">
        <f>ROW(B219)-2</f>
      </c>
      <c r="B219" s="96" t="str">
        <v>达人推广费</v>
      </c>
      <c r="C219" s="96" t="str">
        <v>达人推广佣金</v>
      </c>
      <c r="D219" s="95" t="str">
        <v>营销费用</v>
      </c>
      <c r="E219" s="98" t="str">
        <v>达人佣金</v>
      </c>
      <c r="F219" s="100">
        <f>VLOOKUP(E219,'收集数据表'!A:K,6,0)</f>
      </c>
      <c r="G219" s="98" t="str">
        <v>市场达人推广</v>
      </c>
      <c r="H219" s="106" t="str">
        <v>达人推广</v>
      </c>
      <c r="I219" s="95" t="str">
        <v>品牌运营中心</v>
      </c>
      <c r="J219" s="95" t="str">
        <v>市场广告推广部</v>
      </c>
      <c r="K219" s="95" t="str">
        <v>市场推广部</v>
      </c>
      <c r="L219" s="95"/>
      <c r="M219" s="98" t="str">
        <v>销售费用_营销费用_搭建服务费</v>
      </c>
      <c r="N219" s="98" t="str">
        <v>6601.36.03</v>
      </c>
      <c r="O219" s="95"/>
      <c r="P219" s="98" t="str">
        <v>搭建服务费</v>
      </c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</row>
    <row r="220">
      <c r="A220" s="95">
        <f>ROW(B220)-2</f>
      </c>
      <c r="B220" s="123" t="str">
        <v>其他费用</v>
      </c>
      <c r="C220" s="96" t="str">
        <v>场地租赁费</v>
      </c>
      <c r="D220" s="95" t="str">
        <v>营销费用</v>
      </c>
      <c r="E220" s="99" t="str">
        <v>明星拍摄</v>
      </c>
      <c r="F220" s="100">
        <f>VLOOKUP(E220,'收集数据表'!A:K,6,0)</f>
      </c>
      <c r="G220" s="98" t="str">
        <v>IP明星内容合作</v>
      </c>
      <c r="H220" s="139" t="str">
        <v>明星拍摄</v>
      </c>
      <c r="I220" s="95" t="str">
        <v>品牌运营中心</v>
      </c>
      <c r="J220" s="95" t="str">
        <v>市场广告推广部</v>
      </c>
      <c r="K220" s="95" t="str">
        <v>市场推广部</v>
      </c>
      <c r="L220" s="95" t="str">
        <v>娱乐营销部</v>
      </c>
      <c r="M220" s="98" t="str">
        <v>销售费用_营销费用_拍摄服务费</v>
      </c>
      <c r="N220" s="98" t="str">
        <v>6601.36.15</v>
      </c>
      <c r="O220" s="95"/>
      <c r="P220" s="98" t="str">
        <v>拍摄服务费</v>
      </c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</row>
    <row r="221">
      <c r="A221" s="95">
        <f>ROW(B221)-2</f>
      </c>
      <c r="B221" s="123" t="str">
        <v>其他费用</v>
      </c>
      <c r="C221" s="96" t="str">
        <v>舞台场地搭建费</v>
      </c>
      <c r="D221" s="95" t="str">
        <v>营销费用</v>
      </c>
      <c r="E221" s="126" t="str">
        <v>明星拍摄</v>
      </c>
      <c r="F221" s="100">
        <f>VLOOKUP(E221,'收集数据表'!A:K,6,0)</f>
      </c>
      <c r="G221" s="125" t="str">
        <v>IP明星内容合作</v>
      </c>
      <c r="H221" s="124" t="str">
        <v>明星拍摄</v>
      </c>
      <c r="I221" s="95" t="str">
        <v>品牌运营中心</v>
      </c>
      <c r="J221" s="95" t="str">
        <v>市场广告推广部</v>
      </c>
      <c r="K221" s="95" t="str">
        <v>市场推广部</v>
      </c>
      <c r="L221" s="95" t="str">
        <v>娱乐营销部</v>
      </c>
      <c r="M221" s="98" t="str">
        <v>销售费用_营销费用_搭建服务费</v>
      </c>
      <c r="N221" s="98" t="str">
        <v>6601.36.03</v>
      </c>
      <c r="O221" s="95"/>
      <c r="P221" s="98" t="str">
        <v>服装费、化妆费、道具费</v>
      </c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</row>
    <row r="222">
      <c r="A222" s="95">
        <f>ROW(B222)-2</f>
      </c>
      <c r="B222" s="123" t="str">
        <v>内容制作费</v>
      </c>
      <c r="C222" s="96" t="str">
        <v>拍摄服务费</v>
      </c>
      <c r="D222" s="95" t="str">
        <v>营销费用</v>
      </c>
      <c r="E222" s="126" t="str">
        <v>明星拍摄</v>
      </c>
      <c r="F222" s="100">
        <f>VLOOKUP(E222,'收集数据表'!A:K,6,0)</f>
      </c>
      <c r="G222" s="125" t="str">
        <v>IP明星内容合作</v>
      </c>
      <c r="H222" s="124" t="str">
        <v>明星拍摄</v>
      </c>
      <c r="I222" s="95" t="str">
        <v>品牌运营中心</v>
      </c>
      <c r="J222" s="95" t="str">
        <v>市场广告推广部</v>
      </c>
      <c r="K222" s="95" t="str">
        <v>市场推广部</v>
      </c>
      <c r="L222" s="95" t="str">
        <v>娱乐营销部</v>
      </c>
      <c r="M222" s="98" t="str">
        <v>销售费用_营销费用_拍摄服务费</v>
      </c>
      <c r="N222" s="98" t="str">
        <v>6601.36.15</v>
      </c>
      <c r="O222" s="95"/>
      <c r="P222" s="98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</row>
    <row r="223">
      <c r="A223" s="103">
        <f>ROW(B223)-2</f>
      </c>
      <c r="B223" s="96" t="str">
        <v>内容制作费</v>
      </c>
      <c r="C223" s="102" t="str">
        <v>服化道费用</v>
      </c>
      <c r="D223" s="103" t="str">
        <v>营销费用</v>
      </c>
      <c r="E223" s="107" t="str">
        <v>明星妆发造</v>
      </c>
      <c r="F223" s="107">
        <f>VLOOKUP(E223,'收集数据表'!A:K,6,0)</f>
      </c>
      <c r="G223" s="145" t="str">
        <v>IP明星内容合作</v>
      </c>
      <c r="H223" s="144" t="str">
        <v>明星妆发造</v>
      </c>
      <c r="I223" s="103" t="str">
        <v>品牌运营中心</v>
      </c>
      <c r="J223" s="103" t="str">
        <v>市场广告推广部</v>
      </c>
      <c r="K223" s="103" t="str">
        <v>市场推广部</v>
      </c>
      <c r="L223" s="103" t="str">
        <v>娱乐营销部</v>
      </c>
      <c r="M223" s="104">
        <f>"销售费用_"&amp;D223&amp;"_"&amp;C223</f>
      </c>
      <c r="N223" s="104" t="str">
        <v>6601.36.08</v>
      </c>
      <c r="O223" s="103"/>
      <c r="P223" s="104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</row>
    <row r="224">
      <c r="A224" s="95">
        <f>ROW(B224)-2</f>
      </c>
      <c r="B224" s="123" t="str">
        <v>其他费用</v>
      </c>
      <c r="C224" s="96" t="str">
        <v>明星差旅费</v>
      </c>
      <c r="D224" s="95" t="str">
        <v>营销费用</v>
      </c>
      <c r="E224" s="100" t="str">
        <v>明星差旅</v>
      </c>
      <c r="F224" s="100">
        <f>VLOOKUP(E224,'收集数据表'!A:K,6,0)</f>
      </c>
      <c r="G224" s="125" t="str">
        <v>IP明星内容合作</v>
      </c>
      <c r="H224" s="129" t="str">
        <v>明星差旅</v>
      </c>
      <c r="I224" s="95" t="str">
        <v>品牌运营中心</v>
      </c>
      <c r="J224" s="95" t="str">
        <v>市场广告推广部</v>
      </c>
      <c r="K224" s="95" t="str">
        <v>市场推广部</v>
      </c>
      <c r="L224" s="95" t="str">
        <v>娱乐营销部</v>
      </c>
      <c r="M224" s="98" t="str">
        <v>销售费用_日常费用_差旅费</v>
      </c>
      <c r="N224" s="98" t="str">
        <v>6601.37.01</v>
      </c>
      <c r="O224" s="95"/>
      <c r="P224" s="98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</row>
    <row r="225">
      <c r="A225" s="95">
        <f>ROW(B225)-2</f>
      </c>
      <c r="B225" s="96" t="str">
        <v>其他费用</v>
      </c>
      <c r="C225" s="96" t="str">
        <v>公关礼品费</v>
      </c>
      <c r="D225" s="95" t="str">
        <v>营销费用</v>
      </c>
      <c r="E225" s="98" t="str">
        <v>市场公关礼-自有</v>
      </c>
      <c r="F225" s="100">
        <f>VLOOKUP(E225,'收集数据表'!A:K,6,0)</f>
      </c>
      <c r="G225" s="100" t="str">
        <v>市场公关</v>
      </c>
      <c r="H225" s="97" t="str">
        <v>市场公关运营</v>
      </c>
      <c r="I225" s="95" t="str">
        <v>品牌运营中心</v>
      </c>
      <c r="J225" s="95" t="str">
        <v>市场广告推广部</v>
      </c>
      <c r="K225" s="95" t="str">
        <v>市场推广部</v>
      </c>
      <c r="L225" s="95"/>
      <c r="M225" s="98">
        <f>"销售费用_"&amp;D225&amp;"_"&amp;C225</f>
      </c>
      <c r="N225" s="98" t="str">
        <v>6601.36.09</v>
      </c>
      <c r="O225" s="95"/>
      <c r="P225" s="98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</row>
    <row r="226">
      <c r="A226" s="95">
        <f>ROW(B226)-2</f>
      </c>
      <c r="B226" s="96" t="str">
        <v>其他费用</v>
      </c>
      <c r="C226" s="96" t="str">
        <v>公关礼品费</v>
      </c>
      <c r="D226" s="95" t="str">
        <v>营销费用</v>
      </c>
      <c r="E226" s="98" t="str">
        <v>市场公关礼-外采</v>
      </c>
      <c r="F226" s="100">
        <f>VLOOKUP(E226,'收集数据表'!A:K,6,0)</f>
      </c>
      <c r="G226" s="100" t="str">
        <v>市场公关</v>
      </c>
      <c r="H226" s="97" t="str">
        <v>市场公关运营</v>
      </c>
      <c r="I226" s="95" t="str">
        <v>品牌运营中心</v>
      </c>
      <c r="J226" s="95" t="str">
        <v>市场广告推广部</v>
      </c>
      <c r="K226" s="95" t="str">
        <v>市场推广部</v>
      </c>
      <c r="L226" s="95"/>
      <c r="M226" s="98">
        <f>"销售费用_"&amp;D226&amp;"_"&amp;C226</f>
      </c>
      <c r="N226" s="98" t="str">
        <v>6601.36.09</v>
      </c>
      <c r="O226" s="95"/>
      <c r="P226" s="98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</row>
    <row r="227">
      <c r="A227" s="95">
        <f>ROW(B227)-2</f>
      </c>
      <c r="B227" s="96" t="str">
        <v>品牌宣传费</v>
      </c>
      <c r="C227" s="132" t="str">
        <v>创意策划服务费</v>
      </c>
      <c r="D227" s="95" t="str">
        <v>营销费用</v>
      </c>
      <c r="E227" s="133" t="str">
        <v>公关礼策划服务</v>
      </c>
      <c r="F227" s="100">
        <f>VLOOKUP(E227,'收集数据表'!A:K,6,0)</f>
      </c>
      <c r="G227" s="100" t="str">
        <v>市场公关</v>
      </c>
      <c r="H227" s="97" t="str">
        <v>市场公关运营</v>
      </c>
      <c r="I227" s="95" t="str">
        <v>品牌运营中心</v>
      </c>
      <c r="J227" s="95" t="str">
        <v>市场广告推广部</v>
      </c>
      <c r="K227" s="95" t="str">
        <v>市场推广部</v>
      </c>
      <c r="L227" s="95" t="str">
        <v>市场PR部</v>
      </c>
      <c r="M227" s="98" t="str">
        <v>销售费用_营销费用_策划服务费</v>
      </c>
      <c r="N227" s="98" t="str">
        <v>6601.36.01</v>
      </c>
      <c r="O227" s="95"/>
      <c r="P227" s="98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</row>
    <row r="228">
      <c r="A228" s="95">
        <f>ROW(B228)-2</f>
      </c>
      <c r="B228" s="96" t="str">
        <v>品牌宣传费</v>
      </c>
      <c r="C228" s="132" t="str">
        <v>活动策划服务费</v>
      </c>
      <c r="D228" s="95" t="str">
        <v>营销费用</v>
      </c>
      <c r="E228" s="133" t="str">
        <v>公关礼策划服务</v>
      </c>
      <c r="F228" s="100">
        <f>VLOOKUP(E228,'收集数据表'!A:K,6,0)</f>
      </c>
      <c r="G228" s="100" t="str">
        <v>市场公关</v>
      </c>
      <c r="H228" s="97" t="str">
        <v>市场公关运营</v>
      </c>
      <c r="I228" s="95" t="str">
        <v>品牌运营中心</v>
      </c>
      <c r="J228" s="95" t="str">
        <v>市场广告推广部</v>
      </c>
      <c r="K228" s="95" t="str">
        <v>市场推广部</v>
      </c>
      <c r="L228" s="95" t="str">
        <v>市场PR部</v>
      </c>
      <c r="M228" s="98" t="str">
        <v>销售费用_营销费用_策划服务费</v>
      </c>
      <c r="N228" s="98" t="str">
        <v>6601.36.01</v>
      </c>
      <c r="O228" s="95"/>
      <c r="P228" s="98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</row>
    <row r="229">
      <c r="A229" s="95">
        <f>ROW(B229)-2</f>
      </c>
      <c r="B229" s="96" t="str">
        <v>品牌宣传费</v>
      </c>
      <c r="C229" s="132" t="str">
        <v>创意策划服务费</v>
      </c>
      <c r="D229" s="95" t="str">
        <v>营销费用</v>
      </c>
      <c r="E229" s="99" t="str">
        <v>公关整合营销</v>
      </c>
      <c r="F229" s="100">
        <f>VLOOKUP(E229,'收集数据表'!A:K,6,0)</f>
      </c>
      <c r="G229" s="100" t="str">
        <v>市场公关</v>
      </c>
      <c r="H229" s="97" t="str">
        <v>市场公关运营</v>
      </c>
      <c r="I229" s="95" t="str">
        <v>品牌运营中心</v>
      </c>
      <c r="J229" s="95" t="str">
        <v>市场广告推广部</v>
      </c>
      <c r="K229" s="95" t="str">
        <v>市场推广部</v>
      </c>
      <c r="L229" s="95" t="str">
        <v>市场PR部</v>
      </c>
      <c r="M229" s="98" t="str">
        <v>销售费用_营销费用_策划服务费</v>
      </c>
      <c r="N229" s="98" t="str">
        <v>6601.36.01</v>
      </c>
      <c r="O229" s="95"/>
      <c r="P229" s="98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</row>
    <row r="230">
      <c r="A230" s="95">
        <f>ROW(B230)-2</f>
      </c>
      <c r="B230" s="96" t="str">
        <v>品牌宣传费</v>
      </c>
      <c r="C230" s="109" t="str">
        <v>活动策划服务费</v>
      </c>
      <c r="D230" s="95" t="str">
        <v>营销费用</v>
      </c>
      <c r="E230" s="99" t="str">
        <v>公关整合营销</v>
      </c>
      <c r="F230" s="100">
        <f>VLOOKUP(E230,'收集数据表'!A:K,6,0)</f>
      </c>
      <c r="G230" s="100" t="str">
        <v>市场公关</v>
      </c>
      <c r="H230" s="97" t="str">
        <v>市场公关运营</v>
      </c>
      <c r="I230" s="95" t="str">
        <v>品牌运营中心</v>
      </c>
      <c r="J230" s="95" t="str">
        <v>市场广告推广部</v>
      </c>
      <c r="K230" s="95" t="str">
        <v>市场推广部</v>
      </c>
      <c r="L230" s="95" t="str">
        <v>市场PR部</v>
      </c>
      <c r="M230" s="98" t="str">
        <v>销售费用_营销费用_策划服务费</v>
      </c>
      <c r="N230" s="98" t="str">
        <v>6601.36.01</v>
      </c>
      <c r="O230" s="95"/>
      <c r="P230" s="98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</row>
    <row r="231">
      <c r="A231" s="95">
        <f>ROW(B231)-2</f>
      </c>
      <c r="B231" s="96" t="str">
        <v>品牌宣传费</v>
      </c>
      <c r="C231" s="96" t="str">
        <v>创意策划服务费</v>
      </c>
      <c r="D231" s="95" t="str">
        <v>营销费用</v>
      </c>
      <c r="E231" s="99" t="str">
        <v>市场公关线下活动</v>
      </c>
      <c r="F231" s="100">
        <f>VLOOKUP(E231,'收集数据表'!A:K,6,0)</f>
      </c>
      <c r="G231" s="100" t="str">
        <v>市场公关</v>
      </c>
      <c r="H231" s="97" t="str">
        <v>市场公关运营</v>
      </c>
      <c r="I231" s="95" t="str">
        <v>品牌运营中心</v>
      </c>
      <c r="J231" s="95" t="str">
        <v>市场广告推广部</v>
      </c>
      <c r="K231" s="95" t="str">
        <v>市场推广部</v>
      </c>
      <c r="L231" s="95" t="str">
        <v>市场PR部</v>
      </c>
      <c r="M231" s="98" t="str">
        <v>销售费用_营销费用_策划服务费</v>
      </c>
      <c r="N231" s="98" t="str">
        <v>6601.36.01</v>
      </c>
      <c r="O231" s="95"/>
      <c r="P231" s="98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</row>
    <row r="232">
      <c r="A232" s="95">
        <f>ROW(B232)-2</f>
      </c>
      <c r="B232" s="96" t="str">
        <v>品牌宣传费</v>
      </c>
      <c r="C232" s="96" t="str">
        <v>活动策划服务费</v>
      </c>
      <c r="D232" s="95" t="str">
        <v>营销费用</v>
      </c>
      <c r="E232" s="99" t="str">
        <v>市场公关线下活动</v>
      </c>
      <c r="F232" s="100">
        <f>VLOOKUP(E232,'收集数据表'!A:K,6,0)</f>
      </c>
      <c r="G232" s="100" t="str">
        <v>市场公关</v>
      </c>
      <c r="H232" s="97" t="str">
        <v>市场公关运营</v>
      </c>
      <c r="I232" s="95" t="str">
        <v>品牌运营中心</v>
      </c>
      <c r="J232" s="95" t="str">
        <v>市场广告推广部</v>
      </c>
      <c r="K232" s="95" t="str">
        <v>市场推广部</v>
      </c>
      <c r="L232" s="95" t="str">
        <v>市场PR部</v>
      </c>
      <c r="M232" s="98" t="str">
        <v>销售费用_营销费用_策划服务费</v>
      </c>
      <c r="N232" s="98" t="str">
        <v>6601.36.01</v>
      </c>
      <c r="O232" s="95"/>
      <c r="P232" s="98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</row>
    <row r="233">
      <c r="A233" s="95">
        <f>ROW(B233)-2</f>
      </c>
      <c r="B233" s="96" t="str">
        <v>其他费用</v>
      </c>
      <c r="C233" s="96" t="str">
        <v>场地租赁费</v>
      </c>
      <c r="D233" s="95" t="str">
        <v>营销费用</v>
      </c>
      <c r="E233" s="99" t="str">
        <v>市场公关线下活动</v>
      </c>
      <c r="F233" s="100">
        <f>VLOOKUP(E233,'收集数据表'!A:K,6,0)</f>
      </c>
      <c r="G233" s="100" t="str">
        <v>市场公关</v>
      </c>
      <c r="H233" s="97" t="str">
        <v>市场公关运营</v>
      </c>
      <c r="I233" s="95" t="str">
        <v>品牌运营中心</v>
      </c>
      <c r="J233" s="95" t="str">
        <v>市场广告推广部</v>
      </c>
      <c r="K233" s="95" t="str">
        <v>市场推广部</v>
      </c>
      <c r="L233" s="95" t="str">
        <v>市场PR部</v>
      </c>
      <c r="M233" s="98">
        <f>"销售费用_"&amp;D233&amp;"_"&amp;C233</f>
      </c>
      <c r="N233" s="98" t="str">
        <v>6601.36.02</v>
      </c>
      <c r="O233" s="95"/>
      <c r="P233" s="98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</row>
    <row r="234">
      <c r="A234" s="95">
        <f>ROW(B234)-2</f>
      </c>
      <c r="B234" s="96" t="str">
        <v>其他费用</v>
      </c>
      <c r="C234" s="96" t="str">
        <v>设备租赁费</v>
      </c>
      <c r="D234" s="95" t="str">
        <v>营销费用</v>
      </c>
      <c r="E234" s="99" t="str">
        <v>市场公关线下活动</v>
      </c>
      <c r="F234" s="100">
        <f>VLOOKUP(E234,'收集数据表'!A:K,6,0)</f>
      </c>
      <c r="G234" s="100" t="str">
        <v>市场公关</v>
      </c>
      <c r="H234" s="97" t="str">
        <v>市场公关运营</v>
      </c>
      <c r="I234" s="95" t="str">
        <v>品牌运营中心</v>
      </c>
      <c r="J234" s="95" t="str">
        <v>市场广告推广部</v>
      </c>
      <c r="K234" s="95" t="str">
        <v>市场推广部</v>
      </c>
      <c r="L234" s="95" t="str">
        <v>市场PR部</v>
      </c>
      <c r="M234" s="98">
        <f>"销售费用_"&amp;D234&amp;"_"&amp;C234</f>
      </c>
      <c r="N234" s="98" t="str">
        <v>6601.36.19</v>
      </c>
      <c r="O234" s="95"/>
      <c r="P234" s="98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</row>
    <row r="235">
      <c r="A235" s="95">
        <f>ROW(B235)-2</f>
      </c>
      <c r="B235" s="123" t="str">
        <v>其他费用</v>
      </c>
      <c r="C235" s="96" t="str">
        <v>舞台场地搭建费</v>
      </c>
      <c r="D235" s="95" t="str">
        <v>营销费用</v>
      </c>
      <c r="E235" s="99" t="str">
        <v>市场公关线下活动</v>
      </c>
      <c r="F235" s="100">
        <f>VLOOKUP(E235,'收集数据表'!A:K,6,0)</f>
      </c>
      <c r="G235" s="100" t="str">
        <v>市场公关</v>
      </c>
      <c r="H235" s="97" t="str">
        <v>市场公关运营</v>
      </c>
      <c r="I235" s="95" t="str">
        <v>品牌运营中心</v>
      </c>
      <c r="J235" s="95" t="str">
        <v>市场广告推广部</v>
      </c>
      <c r="K235" s="95" t="str">
        <v>市场推广部</v>
      </c>
      <c r="L235" s="95" t="str">
        <v>市场PR部</v>
      </c>
      <c r="M235" s="98" t="str">
        <v>销售费用_营销费用_搭建服务费</v>
      </c>
      <c r="N235" s="98" t="str">
        <v>6601.36.03</v>
      </c>
      <c r="O235" s="95"/>
      <c r="P235" s="98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</row>
    <row r="236">
      <c r="A236" s="95">
        <f>ROW(B236)-2</f>
      </c>
      <c r="B236" s="96" t="str">
        <v>品牌宣传费</v>
      </c>
      <c r="C236" s="96" t="str">
        <v>公关服务费</v>
      </c>
      <c r="D236" s="95" t="str">
        <v>营销费用</v>
      </c>
      <c r="E236" s="98" t="str">
        <v>公关舆情服务</v>
      </c>
      <c r="F236" s="100">
        <f>VLOOKUP(E236,'收集数据表'!A:K,6,0)</f>
      </c>
      <c r="G236" s="100" t="str">
        <v>市场公关</v>
      </c>
      <c r="H236" s="97" t="str">
        <v>市场公关运营</v>
      </c>
      <c r="I236" s="95" t="str">
        <v>品牌运营中心</v>
      </c>
      <c r="J236" s="95" t="str">
        <v>市场广告推广部</v>
      </c>
      <c r="K236" s="95" t="str">
        <v>市场推广部</v>
      </c>
      <c r="L236" s="95"/>
      <c r="M236" s="98">
        <f>"销售费用_"&amp;D236&amp;"_"&amp;C236</f>
      </c>
      <c r="N236" s="98" t="str">
        <v>#N/A</v>
      </c>
      <c r="O236" s="95"/>
      <c r="P236" s="98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</row>
    <row r="237">
      <c r="A237" s="95">
        <f>ROW(B237)-2</f>
      </c>
      <c r="B237" s="96" t="str">
        <v>渠道推广费</v>
      </c>
      <c r="C237" s="96" t="str">
        <v>直播服务费</v>
      </c>
      <c r="D237" s="95" t="str">
        <v>营销费用</v>
      </c>
      <c r="E237" s="100" t="str">
        <v>微信-直播间</v>
      </c>
      <c r="F237" s="100">
        <f>VLOOKUP(E237,'收集数据表'!A:K,6,0)</f>
      </c>
      <c r="G237" s="100" t="str">
        <v>社交电商推广</v>
      </c>
      <c r="H237" s="97" t="str">
        <v>微信-直播间</v>
      </c>
      <c r="I237" s="95" t="str">
        <v>用户服务中心</v>
      </c>
      <c r="J237" s="95" t="str">
        <v>用户运营部</v>
      </c>
      <c r="K237" s="95" t="str">
        <v>用户营销部</v>
      </c>
      <c r="L237" s="95"/>
      <c r="M237" s="98" t="str">
        <v>销售费用_营销费用_直播服务费</v>
      </c>
      <c r="N237" s="98" t="str">
        <v>6601.36.28</v>
      </c>
      <c r="O237" s="98"/>
      <c r="P237" s="98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</row>
    <row r="238">
      <c r="A238" s="95">
        <f>ROW(B238)-2</f>
      </c>
      <c r="B238" s="96" t="str">
        <v>渠道推广费</v>
      </c>
      <c r="C238" s="96" t="str">
        <v>直播服务费</v>
      </c>
      <c r="D238" s="95" t="str">
        <v>营销费用</v>
      </c>
      <c r="E238" s="100" t="str">
        <v>快手人设号-服务费</v>
      </c>
      <c r="F238" s="100">
        <f>VLOOKUP(E238,'收集数据表'!A:K,6,0)</f>
      </c>
      <c r="G238" s="100" t="str">
        <v>直播电商推广</v>
      </c>
      <c r="H238" s="97" t="str">
        <v>快手人设号</v>
      </c>
      <c r="I238" s="95" t="str">
        <v>品牌运营中心</v>
      </c>
      <c r="J238" s="95" t="str">
        <v>渠道运营部</v>
      </c>
      <c r="K238" s="95" t="str">
        <v>创新部</v>
      </c>
      <c r="L238" s="95"/>
      <c r="M238" s="98">
        <f>"销售费用_"&amp;D238&amp;"_"&amp;C238</f>
      </c>
      <c r="N238" s="98" t="str">
        <v>6601.36.28</v>
      </c>
      <c r="O238" s="98"/>
      <c r="P238" s="98" t="str">
        <v>直播服务费</v>
      </c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</row>
    <row r="239">
      <c r="A239" s="95">
        <f>ROW(B239)-2</f>
      </c>
      <c r="B239" s="96" t="str">
        <v>内容制作费</v>
      </c>
      <c r="C239" s="96" t="str">
        <v>视频制作费</v>
      </c>
      <c r="D239" s="95" t="str">
        <v>营销费用</v>
      </c>
      <c r="E239" s="99" t="str">
        <v>天猫淘内内容</v>
      </c>
      <c r="F239" s="100">
        <f>VLOOKUP(E239,'收集数据表'!A:K,6,0)</f>
      </c>
      <c r="G239" s="100" t="str">
        <v>品类内容推广</v>
      </c>
      <c r="H239" s="97" t="str">
        <v>天猫淘内内容</v>
      </c>
      <c r="I239" s="95" t="str">
        <v>品牌运营中心</v>
      </c>
      <c r="J239" s="95" t="str">
        <v>直播运营部</v>
      </c>
      <c r="K239" s="95" t="str">
        <v>达播BD部</v>
      </c>
      <c r="L239" s="95"/>
      <c r="M239" s="98">
        <f>"销售费用_"&amp;D239&amp;"_"&amp;C239</f>
      </c>
      <c r="N239" s="98" t="str">
        <v>6601.36.21</v>
      </c>
      <c r="O239" s="98"/>
      <c r="P239" s="98">
        <f>C239</f>
      </c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</row>
    <row r="240">
      <c r="A240" s="95">
        <f>ROW(B240)-2</f>
      </c>
      <c r="B240" s="96" t="str">
        <v>内容制作费</v>
      </c>
      <c r="C240" s="96" t="str">
        <v>动画制作费</v>
      </c>
      <c r="D240" s="95" t="str">
        <v>营销费用</v>
      </c>
      <c r="E240" s="99" t="str">
        <v>天猫淘内内容</v>
      </c>
      <c r="F240" s="100">
        <f>VLOOKUP(E240,'收集数据表'!A:K,6,0)</f>
      </c>
      <c r="G240" s="100" t="str">
        <v>品类内容推广</v>
      </c>
      <c r="H240" s="97" t="str">
        <v>天猫淘内内容</v>
      </c>
      <c r="I240" s="95" t="str">
        <v>品牌运营中心</v>
      </c>
      <c r="J240" s="95" t="str">
        <v>直播运营部</v>
      </c>
      <c r="K240" s="95" t="str">
        <v>达播BD部</v>
      </c>
      <c r="L240" s="95"/>
      <c r="M240" s="98">
        <f>"销售费用_"&amp;D240&amp;"_"&amp;C240</f>
      </c>
      <c r="N240" s="98" t="str">
        <v>6601.36.07</v>
      </c>
      <c r="O240" s="98"/>
      <c r="P240" s="98">
        <f>C240</f>
      </c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</row>
    <row r="241">
      <c r="A241" s="95">
        <f>ROW(B241)-2</f>
      </c>
      <c r="B241" s="96" t="str">
        <v>内容制作费</v>
      </c>
      <c r="C241" s="96" t="str">
        <v>图文平面制作费</v>
      </c>
      <c r="D241" s="95" t="str">
        <v>营销费用</v>
      </c>
      <c r="E241" s="99" t="str">
        <v>天猫淘内内容</v>
      </c>
      <c r="F241" s="100">
        <f>VLOOKUP(E241,'收集数据表'!A:K,6,0)</f>
      </c>
      <c r="G241" s="100" t="str">
        <v>品类内容推广</v>
      </c>
      <c r="H241" s="97" t="str">
        <v>天猫淘内内容</v>
      </c>
      <c r="I241" s="95" t="str">
        <v>品牌运营中心</v>
      </c>
      <c r="J241" s="95" t="str">
        <v>直播运营部</v>
      </c>
      <c r="K241" s="95" t="str">
        <v>达播BD部</v>
      </c>
      <c r="L241" s="95"/>
      <c r="M241" s="98">
        <f>"销售费用_"&amp;D241&amp;"_"&amp;C241</f>
      </c>
      <c r="N241" s="98" t="str">
        <v>6601.36.22</v>
      </c>
      <c r="O241" s="98"/>
      <c r="P241" s="98">
        <f>C241</f>
      </c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</row>
    <row r="242">
      <c r="A242" s="95">
        <f>ROW(B242)-2</f>
      </c>
      <c r="B242" s="96" t="str">
        <v>内容制作费</v>
      </c>
      <c r="C242" s="96" t="str">
        <v>建模服务费</v>
      </c>
      <c r="D242" s="95" t="str">
        <v>营销费用</v>
      </c>
      <c r="E242" s="99" t="str">
        <v>天猫淘内内容</v>
      </c>
      <c r="F242" s="100">
        <f>VLOOKUP(E242,'收集数据表'!A:K,6,0)</f>
      </c>
      <c r="G242" s="100" t="str">
        <v>品类内容推广</v>
      </c>
      <c r="H242" s="97" t="str">
        <v>天猫淘内内容</v>
      </c>
      <c r="I242" s="95" t="str">
        <v>品牌运营中心</v>
      </c>
      <c r="J242" s="95" t="str">
        <v>直播运营部</v>
      </c>
      <c r="K242" s="95" t="str">
        <v>达播BD部</v>
      </c>
      <c r="L242" s="95"/>
      <c r="M242" s="98">
        <f>"销售费用_"&amp;D242&amp;"_"&amp;C242</f>
      </c>
      <c r="N242" s="98" t="str">
        <v>6601.36.10</v>
      </c>
      <c r="O242" s="98"/>
      <c r="P242" s="98">
        <f>C242</f>
      </c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</row>
    <row r="243">
      <c r="A243" s="95">
        <f>ROW(B243)-2</f>
      </c>
      <c r="B243" s="96" t="str">
        <v>内容制作费</v>
      </c>
      <c r="C243" s="96" t="str">
        <v>渲染服务费</v>
      </c>
      <c r="D243" s="95" t="str">
        <v>营销费用</v>
      </c>
      <c r="E243" s="99" t="str">
        <v>天猫淘内内容</v>
      </c>
      <c r="F243" s="100">
        <f>VLOOKUP(E243,'收集数据表'!A:K,6,0)</f>
      </c>
      <c r="G243" s="100" t="str">
        <v>品类内容推广</v>
      </c>
      <c r="H243" s="97" t="str">
        <v>天猫淘内内容</v>
      </c>
      <c r="I243" s="95" t="str">
        <v>品牌运营中心</v>
      </c>
      <c r="J243" s="95" t="str">
        <v>直播运营部</v>
      </c>
      <c r="K243" s="95" t="str">
        <v>达播BD部</v>
      </c>
      <c r="L243" s="95"/>
      <c r="M243" s="98">
        <f>"销售费用_"&amp;D243&amp;"_"&amp;C243</f>
      </c>
      <c r="N243" s="98" t="str">
        <v>6601.36.26</v>
      </c>
      <c r="O243" s="98"/>
      <c r="P243" s="98">
        <f>C243</f>
      </c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</row>
    <row r="244">
      <c r="A244" s="95">
        <f>ROW(B244)-2</f>
      </c>
      <c r="B244" s="96" t="str">
        <v>内容制作费</v>
      </c>
      <c r="C244" s="96" t="str">
        <v>模特服务费</v>
      </c>
      <c r="D244" s="95" t="str">
        <v>营销费用</v>
      </c>
      <c r="E244" s="99" t="str">
        <v>天猫淘内内容</v>
      </c>
      <c r="F244" s="100">
        <f>VLOOKUP(E244,'收集数据表'!A:K,6,0)</f>
      </c>
      <c r="G244" s="100" t="str">
        <v>品类内容推广</v>
      </c>
      <c r="H244" s="97" t="str">
        <v>天猫淘内内容</v>
      </c>
      <c r="I244" s="95" t="str">
        <v>品牌运营中心</v>
      </c>
      <c r="J244" s="95" t="str">
        <v>直播运营部</v>
      </c>
      <c r="K244" s="95" t="str">
        <v>达播BD部</v>
      </c>
      <c r="L244" s="95"/>
      <c r="M244" s="98">
        <f>"销售费用_"&amp;D244&amp;"_"&amp;C244</f>
      </c>
      <c r="N244" s="98" t="str">
        <v>6601.36.13</v>
      </c>
      <c r="O244" s="98"/>
      <c r="P244" s="98">
        <f>C244</f>
      </c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</row>
    <row r="245">
      <c r="A245" s="95">
        <f>ROW(B245)-2</f>
      </c>
      <c r="B245" s="96" t="str">
        <v>内容制作费</v>
      </c>
      <c r="C245" s="96" t="str">
        <v>专业人物合作费</v>
      </c>
      <c r="D245" s="95" t="str">
        <v>营销费用</v>
      </c>
      <c r="E245" s="99" t="str">
        <v>天猫淘内内容</v>
      </c>
      <c r="F245" s="100">
        <f>VLOOKUP(E245,'收集数据表'!A:K,6,0)</f>
      </c>
      <c r="G245" s="100" t="str">
        <v>品类内容推广</v>
      </c>
      <c r="H245" s="97" t="str">
        <v>天猫淘内内容</v>
      </c>
      <c r="I245" s="95" t="str">
        <v>品牌运营中心</v>
      </c>
      <c r="J245" s="95" t="str">
        <v>直播运营部</v>
      </c>
      <c r="K245" s="95" t="str">
        <v>达播BD部</v>
      </c>
      <c r="L245" s="95"/>
      <c r="M245" s="98">
        <f>"销售费用_"&amp;D245&amp;"_"&amp;C245</f>
      </c>
      <c r="N245" s="98" t="str">
        <v>6601.36.32</v>
      </c>
      <c r="O245" s="98"/>
      <c r="P245" s="98">
        <f>C245</f>
      </c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</row>
    <row r="246">
      <c r="A246" s="95">
        <f>ROW(B246)-2</f>
      </c>
      <c r="B246" s="96" t="str">
        <v>内容制作费</v>
      </c>
      <c r="C246" s="96" t="str">
        <v>专业人物合作费</v>
      </c>
      <c r="D246" s="95" t="str">
        <v>营销费用</v>
      </c>
      <c r="E246" s="98" t="str">
        <v>直播专场服务</v>
      </c>
      <c r="F246" s="100">
        <f>VLOOKUP(E246,'收集数据表'!A:K,6,0)</f>
      </c>
      <c r="G246" s="100" t="str">
        <v>达人直播</v>
      </c>
      <c r="H246" s="97" t="str">
        <v>服务费-淘内其他</v>
      </c>
      <c r="I246" s="95" t="str">
        <v>品牌运营中心</v>
      </c>
      <c r="J246" s="95" t="str">
        <v>直播运营部</v>
      </c>
      <c r="K246" s="95" t="str">
        <v>达播BD部</v>
      </c>
      <c r="L246" s="95"/>
      <c r="M246" s="98">
        <f>"销售费用_"&amp;D246&amp;"_"&amp;C246</f>
      </c>
      <c r="N246" s="98" t="str">
        <v>6601.36.32</v>
      </c>
      <c r="O246" s="95"/>
      <c r="P246" s="98">
        <f>C246</f>
      </c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</row>
    <row r="247">
      <c r="A247" s="95">
        <f>ROW(B247)-2</f>
      </c>
      <c r="B247" s="101" t="str">
        <v>内容制作费</v>
      </c>
      <c r="C247" s="101" t="str">
        <v>服化道费用</v>
      </c>
      <c r="D247" s="141" t="str">
        <v>营销费用</v>
      </c>
      <c r="E247" s="140" t="str">
        <v>天猫淘内内容</v>
      </c>
      <c r="F247" s="100">
        <f>VLOOKUP(E247,'收集数据表'!A:K,6,0)</f>
      </c>
      <c r="G247" s="127" t="str">
        <v>品类内容推广</v>
      </c>
      <c r="H247" s="142" t="str">
        <v>天猫淘内内容</v>
      </c>
      <c r="I247" s="141" t="str">
        <v>品牌运营中心</v>
      </c>
      <c r="J247" s="141" t="str">
        <v>直播运营部</v>
      </c>
      <c r="K247" s="95" t="str">
        <v>达播BD部</v>
      </c>
      <c r="L247" s="141"/>
      <c r="M247" s="98">
        <f>"销售费用_"&amp;D247&amp;"_"&amp;C247</f>
      </c>
      <c r="N247" s="98" t="str">
        <v>6601.36.08</v>
      </c>
      <c r="O247" s="98"/>
      <c r="P247" s="98" t="str">
        <v>服装费、化妆费、道具费</v>
      </c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</row>
    <row r="248">
      <c r="A248" s="95">
        <f>ROW(B248)-2</f>
      </c>
      <c r="B248" s="101" t="str">
        <v>内容制作费</v>
      </c>
      <c r="C248" s="96" t="str">
        <v>服化道费用</v>
      </c>
      <c r="D248" s="95" t="str">
        <v>营销费用</v>
      </c>
      <c r="E248" s="98" t="str">
        <v>主播部妆发造</v>
      </c>
      <c r="F248" s="100">
        <f>VLOOKUP(E248,'收集数据表'!A:K,6,0)</f>
      </c>
      <c r="G248" s="100" t="str">
        <v>直播间运营费</v>
      </c>
      <c r="H248" s="97" t="str">
        <v>主播妆发造</v>
      </c>
      <c r="I248" s="95" t="str">
        <v>品牌运营中心</v>
      </c>
      <c r="J248" s="95" t="str">
        <v>直播运营部</v>
      </c>
      <c r="K248" s="95" t="str">
        <v>主播部</v>
      </c>
      <c r="L248" s="143"/>
      <c r="M248" s="98">
        <f>"销售费用_"&amp;D248&amp;"_"&amp;C248</f>
      </c>
      <c r="N248" s="98" t="str">
        <v>6601.36.08</v>
      </c>
      <c r="O248" s="98"/>
      <c r="P248" s="98" t="str">
        <v>服装费、化妆费、道具费</v>
      </c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</row>
    <row r="249">
      <c r="A249" s="95">
        <f>ROW(B249)-2</f>
      </c>
      <c r="B249" s="96" t="str">
        <v>内容制作费</v>
      </c>
      <c r="C249" s="96" t="str">
        <v>拍摄服务费</v>
      </c>
      <c r="D249" s="95" t="str">
        <v>营销费用</v>
      </c>
      <c r="E249" s="99" t="str">
        <v>天猫淘内内容</v>
      </c>
      <c r="F249" s="100">
        <f>VLOOKUP(E249,'收集数据表'!A:K,6,0)</f>
      </c>
      <c r="G249" s="100" t="str">
        <v>品类内容推广</v>
      </c>
      <c r="H249" s="97" t="str">
        <v>天猫淘内内容</v>
      </c>
      <c r="I249" s="95" t="str">
        <v>品牌运营中心</v>
      </c>
      <c r="J249" s="95" t="str">
        <v>直播运营部</v>
      </c>
      <c r="K249" s="95" t="str">
        <v>达播BD部</v>
      </c>
      <c r="L249" s="95"/>
      <c r="M249" s="98">
        <f>"销售费用_"&amp;D249&amp;"_"&amp;C249</f>
      </c>
      <c r="N249" s="98" t="str">
        <v>6601.36.15</v>
      </c>
      <c r="O249" s="98"/>
      <c r="P249" s="98">
        <f>C249</f>
      </c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</row>
    <row r="250">
      <c r="A250" s="95">
        <f>ROW(B250)-2</f>
      </c>
      <c r="B250" s="96" t="str">
        <v>内容制作费</v>
      </c>
      <c r="C250" s="96" t="str">
        <v>拍摄物料费</v>
      </c>
      <c r="D250" s="95" t="str">
        <v>营销费用</v>
      </c>
      <c r="E250" s="99" t="str">
        <v>天猫淘内内容</v>
      </c>
      <c r="F250" s="100">
        <f>VLOOKUP(E250,'收集数据表'!A:K,6,0)</f>
      </c>
      <c r="G250" s="100" t="str">
        <v>品类内容推广</v>
      </c>
      <c r="H250" s="97" t="str">
        <v>天猫淘内内容</v>
      </c>
      <c r="I250" s="95" t="str">
        <v>品牌运营中心</v>
      </c>
      <c r="J250" s="95" t="str">
        <v>直播运营部</v>
      </c>
      <c r="K250" s="95" t="str">
        <v>达播BD部</v>
      </c>
      <c r="L250" s="95"/>
      <c r="M250" s="98">
        <f>"销售费用_"&amp;D250&amp;"_"&amp;C250</f>
      </c>
      <c r="N250" s="98" t="str">
        <v>6601.36.16</v>
      </c>
      <c r="O250" s="98"/>
      <c r="P250" s="98">
        <f>C250</f>
      </c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</row>
    <row r="251">
      <c r="A251" s="95">
        <f>ROW(B251)-2</f>
      </c>
      <c r="B251" s="96" t="str">
        <v>内容制作费</v>
      </c>
      <c r="C251" s="96" t="str">
        <v>内容制作费</v>
      </c>
      <c r="D251" s="95" t="str">
        <v>营销费用</v>
      </c>
      <c r="E251" s="99" t="str">
        <v>天猫淘内内容</v>
      </c>
      <c r="F251" s="100">
        <f>VLOOKUP(E251,'收集数据表'!A:K,6,0)</f>
      </c>
      <c r="G251" s="100" t="str">
        <v>品类内容推广</v>
      </c>
      <c r="H251" s="97" t="str">
        <v>天猫淘内内容</v>
      </c>
      <c r="I251" s="95" t="str">
        <v>品牌运营中心</v>
      </c>
      <c r="J251" s="95" t="str">
        <v>直播运营部</v>
      </c>
      <c r="K251" s="95" t="str">
        <v>达播BD部</v>
      </c>
      <c r="L251" s="95"/>
      <c r="M251" s="98">
        <f>"销售费用_"&amp;D251&amp;"_"&amp;C251</f>
      </c>
      <c r="N251" s="98" t="str">
        <v>6601.36.14</v>
      </c>
      <c r="O251" s="98"/>
      <c r="P251" s="98">
        <f>C251</f>
      </c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</row>
    <row r="252">
      <c r="A252" s="95">
        <f>ROW(B252)-2</f>
      </c>
      <c r="B252" s="96" t="str">
        <v>品牌宣传费</v>
      </c>
      <c r="C252" s="96" t="str">
        <v>明星合作费</v>
      </c>
      <c r="D252" s="95" t="str">
        <v>营销费用</v>
      </c>
      <c r="E252" s="98" t="str">
        <v>明星直播合作</v>
      </c>
      <c r="F252" s="100">
        <f>VLOOKUP(E252,'收集数据表'!A:K,6,0)</f>
      </c>
      <c r="G252" s="100" t="str">
        <v>达人直播</v>
      </c>
      <c r="H252" s="97" t="str">
        <v>服务费</v>
      </c>
      <c r="I252" s="95" t="str">
        <v>品牌运营中心</v>
      </c>
      <c r="J252" s="95" t="str">
        <v>直播运营部</v>
      </c>
      <c r="K252" s="95" t="str">
        <v>达播BD部</v>
      </c>
      <c r="L252" s="95"/>
      <c r="M252" s="98">
        <f>"销售费用_"&amp;D252&amp;"_"&amp;C252</f>
      </c>
      <c r="N252" s="98" t="str">
        <v>6601.36.12</v>
      </c>
      <c r="O252" s="95"/>
      <c r="P252" s="98">
        <f>C252</f>
      </c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</row>
    <row r="253">
      <c r="A253" s="95">
        <f>ROW(B253)-2</f>
      </c>
      <c r="B253" s="96" t="str">
        <v>内容制作费</v>
      </c>
      <c r="C253" s="96" t="str">
        <v>拍摄服务费</v>
      </c>
      <c r="D253" s="95" t="str">
        <v>营销费用</v>
      </c>
      <c r="E253" s="98" t="str">
        <v>佳琦全案-服务费</v>
      </c>
      <c r="F253" s="100">
        <f>VLOOKUP(E253,'收集数据表'!A:K,6,0)</f>
      </c>
      <c r="G253" s="127" t="str">
        <v>品牌营销直播专项</v>
      </c>
      <c r="H253" s="97" t="str">
        <v>佳琦全案</v>
      </c>
      <c r="I253" s="95" t="str">
        <v>品牌运营中心</v>
      </c>
      <c r="J253" s="95" t="str">
        <v>直播运营部</v>
      </c>
      <c r="K253" s="95" t="str">
        <v>达播BD部</v>
      </c>
      <c r="L253" s="95"/>
      <c r="M253" s="98">
        <f>"销售费用_"&amp;D253&amp;"_"&amp;C253</f>
      </c>
      <c r="N253" s="98" t="str">
        <v>6601.36.15</v>
      </c>
      <c r="O253" s="95"/>
      <c r="P253" s="98">
        <f>C253</f>
      </c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</row>
    <row r="254">
      <c r="A254" s="95">
        <f>ROW(B254)-2</f>
      </c>
      <c r="B254" s="96" t="str">
        <v>内容制作费</v>
      </c>
      <c r="C254" s="96" t="str">
        <v>视频制作费</v>
      </c>
      <c r="D254" s="95" t="str">
        <v>营销费用</v>
      </c>
      <c r="E254" s="98" t="str">
        <v>佳琦全案-设计费</v>
      </c>
      <c r="F254" s="100">
        <f>VLOOKUP(E254,'收集数据表'!A:K,6,0)</f>
      </c>
      <c r="G254" s="127" t="str">
        <v>品牌营销直播专项</v>
      </c>
      <c r="H254" s="97" t="str">
        <v>佳琦全案</v>
      </c>
      <c r="I254" s="95" t="str">
        <v>品牌运营中心</v>
      </c>
      <c r="J254" s="95" t="str">
        <v>直播运营部</v>
      </c>
      <c r="K254" s="95" t="str">
        <v>达播BD部</v>
      </c>
      <c r="L254" s="95"/>
      <c r="M254" s="98">
        <f>"销售费用_"&amp;D254&amp;"_"&amp;C254</f>
      </c>
      <c r="N254" s="98" t="str">
        <v>6601.36.21</v>
      </c>
      <c r="O254" s="95"/>
      <c r="P254" s="98">
        <f>C254</f>
      </c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</row>
    <row r="255">
      <c r="A255" s="95">
        <f>ROW(B255)-2</f>
      </c>
      <c r="B255" s="96" t="str">
        <v>渠道推广费</v>
      </c>
      <c r="C255" s="96" t="str">
        <v>直播服务费</v>
      </c>
      <c r="D255" s="95" t="str">
        <v>营销费用</v>
      </c>
      <c r="E255" s="98" t="str">
        <v>天猫直播服务费-李佳琦</v>
      </c>
      <c r="F255" s="100">
        <f>VLOOKUP(E255,'收集数据表'!A:K,6,0)</f>
      </c>
      <c r="G255" s="100" t="str">
        <v>达人直播</v>
      </c>
      <c r="H255" s="97" t="str">
        <v>佣金-佳琦</v>
      </c>
      <c r="I255" s="95" t="str">
        <v>品牌运营中心</v>
      </c>
      <c r="J255" s="95" t="str">
        <v>直播运营部</v>
      </c>
      <c r="K255" s="95" t="str">
        <v>达播BD部</v>
      </c>
      <c r="L255" s="95"/>
      <c r="M255" s="98">
        <f>"销售费用_"&amp;D255&amp;"_"&amp;C255</f>
      </c>
      <c r="N255" s="98" t="str">
        <v>6601.36.28</v>
      </c>
      <c r="O255" s="95"/>
      <c r="P255" s="98">
        <f>C255</f>
      </c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</row>
    <row r="256">
      <c r="A256" s="95">
        <f>ROW(B256)-2</f>
      </c>
      <c r="B256" s="96" t="str">
        <v>渠道推广费</v>
      </c>
      <c r="C256" s="96" t="str">
        <v>直播服务费</v>
      </c>
      <c r="D256" s="95" t="str">
        <v>营销费用</v>
      </c>
      <c r="E256" s="98" t="str">
        <v>天猫直播服务费-其他</v>
      </c>
      <c r="F256" s="100">
        <f>VLOOKUP(E256,'收集数据表'!A:K,6,0)</f>
      </c>
      <c r="G256" s="100" t="str">
        <v>达人直播</v>
      </c>
      <c r="H256" s="97" t="str">
        <v>佣金-淘内其他</v>
      </c>
      <c r="I256" s="95" t="str">
        <v>品牌运营中心</v>
      </c>
      <c r="J256" s="95" t="str">
        <v>直播运营部</v>
      </c>
      <c r="K256" s="95" t="str">
        <v>达播BD部</v>
      </c>
      <c r="L256" s="95"/>
      <c r="M256" s="98">
        <f>"销售费用_"&amp;D256&amp;"_"&amp;C256</f>
      </c>
      <c r="N256" s="98" t="str">
        <v>6601.36.28</v>
      </c>
      <c r="O256" s="95" t="str">
        <v>Y</v>
      </c>
      <c r="P256" s="98">
        <f>C256</f>
      </c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</row>
    <row r="257">
      <c r="A257" s="118">
        <f>ROW(B257)-2</f>
      </c>
      <c r="B257" s="122" t="str">
        <v>渠道推广费</v>
      </c>
      <c r="C257" s="122" t="str">
        <v>直播服务费</v>
      </c>
      <c r="D257" s="118" t="str">
        <v>营销费用</v>
      </c>
      <c r="E257" s="120" t="str">
        <v>抖音直播服务费-田恬</v>
      </c>
      <c r="F257" s="100">
        <f>VLOOKUP(E257,'收集数据表'!A:K,6,0)</f>
      </c>
      <c r="G257" s="121" t="str">
        <v>达人直播</v>
      </c>
      <c r="H257" s="119" t="str">
        <v>佣金-田恬</v>
      </c>
      <c r="I257" s="118" t="str">
        <v>品牌运营中心</v>
      </c>
      <c r="J257" s="118" t="str">
        <v>直播运营部</v>
      </c>
      <c r="K257" s="118" t="str">
        <v>达播BD部</v>
      </c>
      <c r="L257" s="118"/>
      <c r="M257" s="120">
        <f>"销售费用_"&amp;D257&amp;"_"&amp;C257</f>
      </c>
      <c r="N257" s="120" t="str">
        <v>6601.36.28</v>
      </c>
      <c r="O257" s="118" t="str">
        <v>Y</v>
      </c>
      <c r="P257" s="120">
        <f>C257</f>
      </c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</row>
    <row r="258">
      <c r="A258" s="95">
        <f>ROW(B258)-2</f>
      </c>
      <c r="B258" s="96" t="str">
        <v>渠道推广费</v>
      </c>
      <c r="C258" s="96" t="str">
        <v>直播服务费</v>
      </c>
      <c r="D258" s="95" t="str">
        <v>营销费用</v>
      </c>
      <c r="E258" s="98" t="str">
        <v>快手直播服务费</v>
      </c>
      <c r="F258" s="100">
        <f>VLOOKUP(E258,'收集数据表'!A:K,6,0)</f>
      </c>
      <c r="G258" s="100" t="str">
        <v>达人直播</v>
      </c>
      <c r="H258" s="97" t="str">
        <v>佣金-快手</v>
      </c>
      <c r="I258" s="95" t="str">
        <v>品牌运营中心</v>
      </c>
      <c r="J258" s="95" t="str">
        <v>直播运营部</v>
      </c>
      <c r="K258" s="95" t="str">
        <v>达播BD部</v>
      </c>
      <c r="L258" s="95"/>
      <c r="M258" s="98">
        <f>"销售费用_"&amp;D258&amp;"_"&amp;C258</f>
      </c>
      <c r="N258" s="98" t="str">
        <v>6601.36.28</v>
      </c>
      <c r="O258" s="95" t="str">
        <v>Y</v>
      </c>
      <c r="P258" s="98">
        <f>C258</f>
      </c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</row>
    <row r="259">
      <c r="A259" s="95">
        <f>ROW(B259)-2</f>
      </c>
      <c r="B259" s="96" t="str">
        <v>渠道推广费</v>
      </c>
      <c r="C259" s="96" t="str">
        <v>直播服务费</v>
      </c>
      <c r="D259" s="95" t="str">
        <v>营销费用</v>
      </c>
      <c r="E259" s="98" t="str">
        <v>其他直播服务费</v>
      </c>
      <c r="F259" s="100">
        <f>VLOOKUP(E259,'收集数据表'!A:K,6,0)</f>
      </c>
      <c r="G259" s="100" t="str">
        <v>达人直播</v>
      </c>
      <c r="H259" s="97" t="str">
        <v>佣金-其他</v>
      </c>
      <c r="I259" s="95" t="str">
        <v>品牌运营中心</v>
      </c>
      <c r="J259" s="95" t="str">
        <v>直播运营部</v>
      </c>
      <c r="K259" s="95" t="str">
        <v>达播BD部</v>
      </c>
      <c r="L259" s="95"/>
      <c r="M259" s="98">
        <f>"销售费用_"&amp;D259&amp;"_"&amp;C259</f>
      </c>
      <c r="N259" s="98" t="str">
        <v>6601.36.28</v>
      </c>
      <c r="O259" s="95" t="str">
        <v>Y</v>
      </c>
      <c r="P259" s="98">
        <f>C259</f>
      </c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</row>
    <row r="260">
      <c r="A260" s="95">
        <f>ROW(B260)-2</f>
      </c>
      <c r="B260" s="96" t="str">
        <v>渠道推广费</v>
      </c>
      <c r="C260" s="96" t="str">
        <v>直播坑位费</v>
      </c>
      <c r="D260" s="95" t="str">
        <v>营销费用</v>
      </c>
      <c r="E260" s="98" t="str">
        <v>天猫直播坑位费-李佳琦</v>
      </c>
      <c r="F260" s="100">
        <f>VLOOKUP(E260,'收集数据表'!A:K,6,0)</f>
      </c>
      <c r="G260" s="100" t="str">
        <v>达人直播</v>
      </c>
      <c r="H260" s="97" t="str">
        <v>服务费-佳琦</v>
      </c>
      <c r="I260" s="95" t="str">
        <v>品牌运营中心</v>
      </c>
      <c r="J260" s="95" t="str">
        <v>直播运营部</v>
      </c>
      <c r="K260" s="95" t="str">
        <v>达播BD部</v>
      </c>
      <c r="L260" s="95"/>
      <c r="M260" s="98">
        <f>"销售费用_"&amp;D260&amp;"_"&amp;C260</f>
      </c>
      <c r="N260" s="98" t="str">
        <v>6601.36.31</v>
      </c>
      <c r="O260" s="95"/>
      <c r="P260" s="98" t="str">
        <v>直播服务费</v>
      </c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</row>
    <row r="261">
      <c r="A261" s="95">
        <f>ROW(B261)-2</f>
      </c>
      <c r="B261" s="96" t="str">
        <v>渠道推广费</v>
      </c>
      <c r="C261" s="96" t="str">
        <v>直播坑位费</v>
      </c>
      <c r="D261" s="95" t="str">
        <v>营销费用</v>
      </c>
      <c r="E261" s="98" t="str">
        <v>天猫直播坑位费-其他</v>
      </c>
      <c r="F261" s="100">
        <f>VLOOKUP(E261,'收集数据表'!A:K,6,0)</f>
      </c>
      <c r="G261" s="100" t="str">
        <v>达人直播</v>
      </c>
      <c r="H261" s="97" t="str">
        <v>服务费-淘内其他</v>
      </c>
      <c r="I261" s="95" t="str">
        <v>品牌运营中心</v>
      </c>
      <c r="J261" s="95" t="str">
        <v>直播运营部</v>
      </c>
      <c r="K261" s="95" t="str">
        <v>达播BD部</v>
      </c>
      <c r="L261" s="95"/>
      <c r="M261" s="98">
        <f>"销售费用_"&amp;D261&amp;"_"&amp;C261</f>
      </c>
      <c r="N261" s="98" t="str">
        <v>6601.36.31</v>
      </c>
      <c r="O261" s="95" t="str">
        <v>Y</v>
      </c>
      <c r="P261" s="98" t="str">
        <v>直播服务费</v>
      </c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</row>
    <row r="262">
      <c r="A262" s="118">
        <f>ROW(B262)-2</f>
      </c>
      <c r="B262" s="122" t="str">
        <v>渠道推广费</v>
      </c>
      <c r="C262" s="122" t="str">
        <v>直播坑位费</v>
      </c>
      <c r="D262" s="118" t="str">
        <v>营销费用</v>
      </c>
      <c r="E262" s="120" t="str">
        <v>抖音直播坑位费-田恬</v>
      </c>
      <c r="F262" s="100">
        <f>VLOOKUP(E262,'收集数据表'!A:K,6,0)</f>
      </c>
      <c r="G262" s="121" t="str">
        <v>达人直播</v>
      </c>
      <c r="H262" s="119" t="str">
        <v>服务费-田恬</v>
      </c>
      <c r="I262" s="118" t="str">
        <v>品牌运营中心</v>
      </c>
      <c r="J262" s="118" t="str">
        <v>直播运营部</v>
      </c>
      <c r="K262" s="118" t="str">
        <v>达播BD部</v>
      </c>
      <c r="L262" s="118"/>
      <c r="M262" s="120">
        <f>"销售费用_"&amp;D262&amp;"_"&amp;C262</f>
      </c>
      <c r="N262" s="120" t="str">
        <v>6601.36.31</v>
      </c>
      <c r="O262" s="118" t="str">
        <v>Y</v>
      </c>
      <c r="P262" s="120" t="str">
        <v>直播服务费</v>
      </c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</row>
    <row r="263">
      <c r="A263" s="95">
        <f>ROW(B263)-2</f>
      </c>
      <c r="B263" s="96" t="str">
        <v>渠道推广费</v>
      </c>
      <c r="C263" s="96" t="str">
        <v>直播坑位费</v>
      </c>
      <c r="D263" s="95" t="str">
        <v>营销费用</v>
      </c>
      <c r="E263" s="98" t="str">
        <v>快手直播坑位费</v>
      </c>
      <c r="F263" s="100">
        <f>VLOOKUP(E263,'收集数据表'!A:K,6,0)</f>
      </c>
      <c r="G263" s="100" t="str">
        <v>达人直播</v>
      </c>
      <c r="H263" s="97" t="str">
        <v>服务费-快手</v>
      </c>
      <c r="I263" s="95" t="str">
        <v>品牌运营中心</v>
      </c>
      <c r="J263" s="95" t="str">
        <v>直播运营部</v>
      </c>
      <c r="K263" s="95" t="str">
        <v>达播BD部</v>
      </c>
      <c r="L263" s="95"/>
      <c r="M263" s="98">
        <f>"销售费用_"&amp;D263&amp;"_"&amp;C263</f>
      </c>
      <c r="N263" s="98" t="str">
        <v>6601.36.31</v>
      </c>
      <c r="O263" s="95" t="str">
        <v>Y</v>
      </c>
      <c r="P263" s="98" t="str">
        <v>直播服务费</v>
      </c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</row>
    <row r="264">
      <c r="A264" s="95">
        <f>ROW(B264)-2</f>
      </c>
      <c r="B264" s="96" t="str">
        <v>渠道推广费</v>
      </c>
      <c r="C264" s="96" t="str">
        <v>直播坑位费</v>
      </c>
      <c r="D264" s="95" t="str">
        <v>营销费用</v>
      </c>
      <c r="E264" s="98" t="str">
        <v>其他直播坑位费</v>
      </c>
      <c r="F264" s="100">
        <f>VLOOKUP(E264,'收集数据表'!A:K,6,0)</f>
      </c>
      <c r="G264" s="100" t="str">
        <v>达人直播</v>
      </c>
      <c r="H264" s="97" t="str">
        <v>服务费-其他</v>
      </c>
      <c r="I264" s="95" t="str">
        <v>品牌运营中心</v>
      </c>
      <c r="J264" s="95" t="str">
        <v>直播运营部</v>
      </c>
      <c r="K264" s="95" t="str">
        <v>达播BD部</v>
      </c>
      <c r="L264" s="95"/>
      <c r="M264" s="98">
        <f>"销售费用_"&amp;D264&amp;"_"&amp;C264</f>
      </c>
      <c r="N264" s="98" t="str">
        <v>6601.36.31</v>
      </c>
      <c r="O264" s="95" t="str">
        <v>Y</v>
      </c>
      <c r="P264" s="98" t="str">
        <v>直播服务费</v>
      </c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</row>
    <row r="265">
      <c r="A265" s="118">
        <f>ROW(B265)-2</f>
      </c>
      <c r="B265" s="122" t="str">
        <v>渠道推广费</v>
      </c>
      <c r="C265" s="122" t="str">
        <v>直播间物料费</v>
      </c>
      <c r="D265" s="118" t="str">
        <v>营销费用</v>
      </c>
      <c r="E265" s="120" t="str">
        <v>佳琦直播间场景搭建</v>
      </c>
      <c r="F265" s="100">
        <f>VLOOKUP(E265,'收集数据表'!A:K,6,0)</f>
      </c>
      <c r="G265" s="121" t="str">
        <v>直播间运营费</v>
      </c>
      <c r="H265" s="119" t="str">
        <v>佳琦道具及搭建</v>
      </c>
      <c r="I265" s="118" t="str">
        <v>品牌运营中心</v>
      </c>
      <c r="J265" s="118" t="str">
        <v>直播运营部</v>
      </c>
      <c r="K265" s="118" t="str">
        <v>直播内容部</v>
      </c>
      <c r="L265" s="118"/>
      <c r="M265" s="120">
        <f>"销售费用_"&amp;D265&amp;"_"&amp;C265</f>
      </c>
      <c r="N265" s="120" t="str">
        <v>6601.36.30</v>
      </c>
      <c r="O265" s="120"/>
      <c r="P265" s="120" t="str">
        <v>物料采购发票</v>
      </c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</row>
    <row r="266">
      <c r="A266" s="118">
        <f>ROW(B266)-2</f>
      </c>
      <c r="B266" s="122" t="str">
        <v>渠道推广费</v>
      </c>
      <c r="C266" s="122" t="str">
        <v>直播间物料费</v>
      </c>
      <c r="D266" s="118" t="str">
        <v>营销费用</v>
      </c>
      <c r="E266" s="120" t="str">
        <v>田恬直播间场景搭建</v>
      </c>
      <c r="F266" s="100">
        <f>VLOOKUP(E266,'收集数据表'!A:K,6,0)</f>
      </c>
      <c r="G266" s="121" t="str">
        <v>直播间运营费</v>
      </c>
      <c r="H266" s="119" t="str">
        <v>达播道具及搭建-田恬</v>
      </c>
      <c r="I266" s="118" t="str">
        <v>品牌运营中心</v>
      </c>
      <c r="J266" s="118" t="str">
        <v>直播运营部</v>
      </c>
      <c r="K266" s="118" t="str">
        <v>直播内容部</v>
      </c>
      <c r="L266" s="118"/>
      <c r="M266" s="120">
        <f>"销售费用_"&amp;D266&amp;"_"&amp;C266</f>
      </c>
      <c r="N266" s="120" t="str">
        <v>6601.36.30</v>
      </c>
      <c r="O266" s="98"/>
      <c r="P266" s="98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</row>
    <row r="267">
      <c r="A267" s="118">
        <f>ROW(B267)-2</f>
      </c>
      <c r="B267" s="122" t="str">
        <v>渠道推广费</v>
      </c>
      <c r="C267" s="122" t="str">
        <v>直播间物料费</v>
      </c>
      <c r="D267" s="118" t="str">
        <v>营销费用</v>
      </c>
      <c r="E267" s="120" t="str">
        <v>抖音其他/快手直播间道具及搭建</v>
      </c>
      <c r="F267" s="100">
        <f>VLOOKUP(E267,'收集数据表'!A:K,6,0)</f>
      </c>
      <c r="G267" s="121" t="str">
        <v>直播间运营费</v>
      </c>
      <c r="H267" s="119" t="str" xml:space="preserve">
        <v>  
达播道具及搭建 - 抖音其他/快手
</v>
      </c>
      <c r="I267" s="118" t="str">
        <v>品牌运营中心</v>
      </c>
      <c r="J267" s="118" t="str">
        <v>市场广告推广部</v>
      </c>
      <c r="K267" s="118" t="str">
        <v>达播2部</v>
      </c>
      <c r="L267" s="118"/>
      <c r="M267" s="120">
        <f>"销售费用_"&amp;D267&amp;"_"&amp;C267</f>
      </c>
      <c r="N267" s="120" t="str">
        <v>6601.36.30</v>
      </c>
      <c r="O267" s="98"/>
      <c r="P267" s="98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</row>
    <row r="268">
      <c r="A268" s="95">
        <f>ROW(B268)-2</f>
      </c>
      <c r="B268" s="96" t="str">
        <v>渠道推广费</v>
      </c>
      <c r="C268" s="96" t="str">
        <v>直播间物料费</v>
      </c>
      <c r="D268" s="95" t="str">
        <v>营销费用</v>
      </c>
      <c r="E268" s="98" t="str">
        <v>直播间场景道具</v>
      </c>
      <c r="F268" s="100">
        <f>VLOOKUP(E268,'收集数据表'!A:K,6,0)</f>
      </c>
      <c r="G268" s="100" t="str">
        <v>直播间运营费</v>
      </c>
      <c r="H268" s="97" t="str">
        <v>直播间物料</v>
      </c>
      <c r="I268" s="95" t="str">
        <v>品牌运营中心</v>
      </c>
      <c r="J268" s="95" t="str">
        <v>直播运营部</v>
      </c>
      <c r="K268" s="95" t="str">
        <v>直播内容部</v>
      </c>
      <c r="L268" s="95"/>
      <c r="M268" s="98">
        <f>"销售费用_"&amp;D268&amp;"_"&amp;C268</f>
      </c>
      <c r="N268" s="98" t="str">
        <v>6601.36.30</v>
      </c>
      <c r="O268" s="98"/>
      <c r="P268" s="98" t="str">
        <v>物料采购发票</v>
      </c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</row>
    <row r="269">
      <c r="A269" s="95">
        <f>ROW(B269)-2</f>
      </c>
      <c r="B269" s="96" t="str">
        <v>渠道推广费</v>
      </c>
      <c r="C269" s="96" t="str">
        <v>直播间活动费</v>
      </c>
      <c r="D269" s="95" t="str">
        <v>营销费用</v>
      </c>
      <c r="E269" s="98" t="str">
        <v>直播间奖品-抖音</v>
      </c>
      <c r="F269" s="100">
        <f>VLOOKUP(E269,'收集数据表'!A:K,6,0)</f>
      </c>
      <c r="G269" s="100" t="str">
        <v>直播间运营费</v>
      </c>
      <c r="H269" s="97" t="str">
        <v>直播间奖品</v>
      </c>
      <c r="I269" s="95" t="str">
        <v>品牌运营中心</v>
      </c>
      <c r="J269" s="95" t="str">
        <v>直播运营部</v>
      </c>
      <c r="K269" s="95" t="str">
        <v>直播运营部</v>
      </c>
      <c r="L269" s="95"/>
      <c r="M269" s="98">
        <f>"销售费用_"&amp;D269&amp;"_"&amp;C269</f>
      </c>
      <c r="N269" s="98" t="str">
        <v>6601.36.29</v>
      </c>
      <c r="O269" s="98"/>
      <c r="P269" s="98" t="str">
        <v>物料采购发票</v>
      </c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</row>
    <row r="270">
      <c r="A270" s="95">
        <f>ROW(B270)-2</f>
      </c>
      <c r="B270" s="96" t="str">
        <v>渠道推广费</v>
      </c>
      <c r="C270" s="96" t="str">
        <v>直播间活动费</v>
      </c>
      <c r="D270" s="95" t="str">
        <v>营销费用</v>
      </c>
      <c r="E270" s="98" t="str">
        <v>直播间奖品-快手</v>
      </c>
      <c r="F270" s="100">
        <f>VLOOKUP(E270,'收集数据表'!A:K,6,0)</f>
      </c>
      <c r="G270" s="100" t="str">
        <v>直播间运营费</v>
      </c>
      <c r="H270" s="97" t="str">
        <v>直播间奖品</v>
      </c>
      <c r="I270" s="95" t="str">
        <v>品牌运营中心</v>
      </c>
      <c r="J270" s="95" t="str">
        <v>直播运营部</v>
      </c>
      <c r="K270" s="95" t="str">
        <v>直播运营部</v>
      </c>
      <c r="L270" s="95"/>
      <c r="M270" s="98">
        <f>"销售费用_"&amp;D270&amp;"_"&amp;C270</f>
      </c>
      <c r="N270" s="98" t="str">
        <v>6601.36.29</v>
      </c>
      <c r="O270" s="98"/>
      <c r="P270" s="98" t="str">
        <v>物料采购发票</v>
      </c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</row>
    <row r="271">
      <c r="A271" s="95">
        <f>ROW(B271)-2</f>
      </c>
      <c r="B271" s="96" t="str">
        <v>渠道推广费</v>
      </c>
      <c r="C271" s="96" t="str">
        <v>直播间活动费</v>
      </c>
      <c r="D271" s="95" t="str">
        <v>营销费用</v>
      </c>
      <c r="E271" s="98" t="str">
        <v>直播间奖品-天猫</v>
      </c>
      <c r="F271" s="100">
        <f>VLOOKUP(E271,'收集数据表'!A:K,6,0)</f>
      </c>
      <c r="G271" s="100" t="str">
        <v>直播间运营费</v>
      </c>
      <c r="H271" s="97" t="str">
        <v>直播间奖品</v>
      </c>
      <c r="I271" s="95" t="str">
        <v>品牌运营中心</v>
      </c>
      <c r="J271" s="95" t="str">
        <v>直播运营部</v>
      </c>
      <c r="K271" s="95" t="str">
        <v>直播运营部</v>
      </c>
      <c r="L271" s="95"/>
      <c r="M271" s="98">
        <f>"销售费用_"&amp;D271&amp;"_"&amp;C271</f>
      </c>
      <c r="N271" s="98" t="str">
        <v>6601.36.29</v>
      </c>
      <c r="O271" s="98"/>
      <c r="P271" s="98" t="str">
        <v>物料采购发票</v>
      </c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</row>
    <row r="272">
      <c r="A272" s="95">
        <f>ROW(B272)-2</f>
      </c>
      <c r="B272" s="96" t="str">
        <v>渠道推广费</v>
      </c>
      <c r="C272" s="96" t="str">
        <v>直播间活动费</v>
      </c>
      <c r="D272" s="95" t="str">
        <v>营销费用</v>
      </c>
      <c r="E272" s="98" t="str">
        <v>直播间奖品-京东</v>
      </c>
      <c r="F272" s="100">
        <f>VLOOKUP(E272,'收集数据表'!A:K,6,0)</f>
      </c>
      <c r="G272" s="100" t="str">
        <v>直播间运营费</v>
      </c>
      <c r="H272" s="97" t="str">
        <v>直播间奖品</v>
      </c>
      <c r="I272" s="95" t="str">
        <v>品牌运营中心</v>
      </c>
      <c r="J272" s="95" t="str">
        <v>直播运营部</v>
      </c>
      <c r="K272" s="95" t="str">
        <v>直播运营部</v>
      </c>
      <c r="L272" s="95"/>
      <c r="M272" s="98">
        <f>"销售费用_"&amp;D272&amp;"_"&amp;C272</f>
      </c>
      <c r="N272" s="98" t="str">
        <v>6601.36.29</v>
      </c>
      <c r="O272" s="98"/>
      <c r="P272" s="98" t="str">
        <v>物料采购发票</v>
      </c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</row>
    <row r="273">
      <c r="A273" s="95">
        <f>ROW(B273)-2</f>
      </c>
      <c r="B273" s="96" t="str">
        <v>渠道推广费</v>
      </c>
      <c r="C273" s="96" t="str">
        <v>直播间活动费</v>
      </c>
      <c r="D273" s="95" t="str">
        <v>营销费用</v>
      </c>
      <c r="E273" s="98" t="str">
        <v>直播间奖品-唯品</v>
      </c>
      <c r="F273" s="100">
        <f>VLOOKUP(E273,'收集数据表'!A:K,6,0)</f>
      </c>
      <c r="G273" s="100" t="str">
        <v>直播间运营费</v>
      </c>
      <c r="H273" s="97" t="str">
        <v>直播间奖品</v>
      </c>
      <c r="I273" s="95" t="str">
        <v>品牌运营中心</v>
      </c>
      <c r="J273" s="95" t="str">
        <v>直播运营部</v>
      </c>
      <c r="K273" s="95" t="str">
        <v>直播运营部</v>
      </c>
      <c r="L273" s="95"/>
      <c r="M273" s="98">
        <f>"销售费用_"&amp;D273&amp;"_"&amp;C273</f>
      </c>
      <c r="N273" s="98" t="str">
        <v>6601.36.29</v>
      </c>
      <c r="O273" s="98"/>
      <c r="P273" s="98" t="str">
        <v>物料采购发票</v>
      </c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</row>
    <row r="274">
      <c r="A274" s="95">
        <f>ROW(B274)-2</f>
      </c>
      <c r="B274" s="96" t="str">
        <v>渠道推广费</v>
      </c>
      <c r="C274" s="96" t="str">
        <v>直播间活动费</v>
      </c>
      <c r="D274" s="95" t="str">
        <v>营销费用</v>
      </c>
      <c r="E274" s="98" t="str">
        <v>直播间其他用品</v>
      </c>
      <c r="F274" s="100">
        <f>VLOOKUP(E274,'收集数据表'!A:K,6,0)</f>
      </c>
      <c r="G274" s="100" t="str">
        <v>直播间运营费</v>
      </c>
      <c r="H274" s="97" t="str">
        <v>直播间奖品</v>
      </c>
      <c r="I274" s="95" t="str">
        <v>品牌运营中心</v>
      </c>
      <c r="J274" s="95" t="str">
        <v>直播运营部</v>
      </c>
      <c r="K274" s="95" t="str">
        <v>直播运营部</v>
      </c>
      <c r="L274" s="95"/>
      <c r="M274" s="98">
        <f>"销售费用_"&amp;D274&amp;"_"&amp;C274</f>
      </c>
      <c r="N274" s="98" t="str">
        <v>6601.36.29</v>
      </c>
      <c r="O274" s="98"/>
      <c r="P274" s="98" t="str">
        <v>物料采购发票</v>
      </c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</row>
    <row r="275">
      <c r="A275" s="103">
        <f>ROW(B275)-2</f>
      </c>
      <c r="B275" s="102" t="str">
        <v>渠道推广费</v>
      </c>
      <c r="C275" s="102" t="str">
        <v>直播间活动费</v>
      </c>
      <c r="D275" s="103" t="str">
        <v>营销费用</v>
      </c>
      <c r="E275" s="102" t="str">
        <v>直播间活动费--抖币</v>
      </c>
      <c r="F275" s="100">
        <f>VLOOKUP(E275,'收集数据表'!A:K,6,0)</f>
      </c>
      <c r="G275" s="107" t="str">
        <v>直播间运营费</v>
      </c>
      <c r="H275" s="108" t="str">
        <v>直播间物料</v>
      </c>
      <c r="I275" s="103" t="str">
        <v>品牌运营中心</v>
      </c>
      <c r="J275" s="103" t="str">
        <v>直播运营部</v>
      </c>
      <c r="K275" s="103" t="str">
        <v>直播运营部</v>
      </c>
      <c r="L275" s="103"/>
      <c r="M275" s="104">
        <f>"销售费用_"&amp;D275&amp;"_"&amp;C275</f>
      </c>
      <c r="N275" s="104" t="str">
        <v>6601.36.29</v>
      </c>
      <c r="O275" s="104"/>
      <c r="P275" s="104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</row>
    <row r="276">
      <c r="A276" s="95">
        <f>ROW(B276)-2</f>
      </c>
      <c r="B276" s="96" t="str">
        <v>其他费用</v>
      </c>
      <c r="C276" s="96" t="str">
        <v>主播团队激励</v>
      </c>
      <c r="D276" s="95" t="str">
        <v>营销费用</v>
      </c>
      <c r="E276" s="96" t="str">
        <v>主播团队激励</v>
      </c>
      <c r="F276" s="100">
        <f>VLOOKUP(E276,'收集数据表'!A:K,6,0)</f>
      </c>
      <c r="G276" s="100" t="str">
        <v>直播间运营费</v>
      </c>
      <c r="H276" s="97" t="str">
        <v>主播团队激励</v>
      </c>
      <c r="I276" s="95" t="str">
        <v>品牌运营中心</v>
      </c>
      <c r="J276" s="95" t="str">
        <v>直播运营部</v>
      </c>
      <c r="K276" s="95" t="str">
        <v>主播部</v>
      </c>
      <c r="L276" s="95"/>
      <c r="M276" s="98">
        <f>"销售费用_"&amp;D276&amp;"_"&amp;C276</f>
      </c>
      <c r="N276" s="98" t="str">
        <v>6601.37.04</v>
      </c>
      <c r="O276" s="98"/>
      <c r="P276" s="98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</row>
    <row r="277">
      <c r="A277" s="95">
        <f>ROW(B277)-2</f>
      </c>
      <c r="B277" s="96" t="str">
        <v>其他费用</v>
      </c>
      <c r="C277" s="101" t="str">
        <v>公关礼品费</v>
      </c>
      <c r="D277" s="141" t="str">
        <v>营销费用</v>
      </c>
      <c r="E277" s="105" t="str">
        <v>李佳琦公关礼</v>
      </c>
      <c r="F277" s="100">
        <f>VLOOKUP(E277,'收集数据表'!A:K,6,0)</f>
      </c>
      <c r="G277" s="127" t="str">
        <v>品牌营销直播专项</v>
      </c>
      <c r="H277" s="142" t="str">
        <v>BD公关费-李佳琦专项</v>
      </c>
      <c r="I277" s="95" t="str">
        <v>品牌运营中心</v>
      </c>
      <c r="J277" s="95" t="str">
        <v>直播运营部</v>
      </c>
      <c r="K277" s="95" t="str">
        <v>达播BD部</v>
      </c>
      <c r="L277" s="95"/>
      <c r="M277" s="98">
        <f>"销售费用_"&amp;D277&amp;"_"&amp;C277</f>
      </c>
      <c r="N277" s="98" t="str">
        <v>6601.36.09</v>
      </c>
      <c r="O277" s="98"/>
      <c r="P277" s="98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</row>
    <row r="278">
      <c r="A278" s="118">
        <f>ROW(B278)-2</f>
      </c>
      <c r="B278" s="122" t="str">
        <v>渠道推广费</v>
      </c>
      <c r="C278" s="122" t="str">
        <v>直播坑位费</v>
      </c>
      <c r="D278" s="118" t="str">
        <v>营销费用</v>
      </c>
      <c r="E278" s="120" t="str">
        <v>抖音直播坑位费-抖音其他</v>
      </c>
      <c r="F278" s="100">
        <f>VLOOKUP(E278,'收集数据表'!A:K,6,0)</f>
      </c>
      <c r="G278" s="121" t="str">
        <v>达人直播</v>
      </c>
      <c r="H278" s="119" t="str">
        <v>佣金-抖音其他</v>
      </c>
      <c r="I278" s="118" t="str">
        <v>品牌运营中心</v>
      </c>
      <c r="J278" s="118" t="str">
        <v>市场广告推广部</v>
      </c>
      <c r="K278" s="118" t="str">
        <v>达播2部</v>
      </c>
      <c r="L278" s="118"/>
      <c r="M278" s="120">
        <f>"销售费用_"&amp;D278&amp;"_"&amp;C278</f>
      </c>
      <c r="N278" s="120" t="str">
        <v>6601.36.31</v>
      </c>
      <c r="O278" s="120"/>
      <c r="P278" s="120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</row>
    <row r="279">
      <c r="A279" s="118">
        <f>ROW(B279)-2</f>
      </c>
      <c r="B279" s="122" t="str">
        <v>渠道推广费</v>
      </c>
      <c r="C279" s="122" t="str">
        <v>直播服务费</v>
      </c>
      <c r="D279" s="118" t="str">
        <v>营销费用</v>
      </c>
      <c r="E279" s="120" t="str">
        <v>抖音直播服务费-抖音其他</v>
      </c>
      <c r="F279" s="100">
        <f>VLOOKUP(E279,'收集数据表'!A:K,6,0)</f>
      </c>
      <c r="G279" s="121" t="str">
        <v>达人直播</v>
      </c>
      <c r="H279" s="119" t="str">
        <v>服务费-抖音其他</v>
      </c>
      <c r="I279" s="118" t="str">
        <v>品牌运营中心</v>
      </c>
      <c r="J279" s="118" t="str">
        <v>市场广告推广部</v>
      </c>
      <c r="K279" s="118" t="str">
        <v>达播2部</v>
      </c>
      <c r="L279" s="118"/>
      <c r="M279" s="120">
        <f>"销售费用_"&amp;D279&amp;"_"&amp;C279</f>
      </c>
      <c r="N279" s="120" t="str">
        <v>6601.36.28</v>
      </c>
      <c r="O279" s="120"/>
      <c r="P279" s="120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</row>
    <row r="280">
      <c r="A280" s="118">
        <f>ROW(B280)-2</f>
      </c>
      <c r="B280" s="122" t="str">
        <v>渠道推广费</v>
      </c>
      <c r="C280" s="122" t="str">
        <v>直播坑位费</v>
      </c>
      <c r="D280" s="118" t="str">
        <v>营销费用</v>
      </c>
      <c r="E280" s="120" t="str">
        <v>抖音直播坑位费-团长计划</v>
      </c>
      <c r="F280" s="100">
        <f>VLOOKUP(E280,'收集数据表'!A:K,6,0)</f>
      </c>
      <c r="G280" s="121" t="str">
        <v>达人直播</v>
      </c>
      <c r="H280" s="119" t="str">
        <v>佣金-团长计划</v>
      </c>
      <c r="I280" s="118" t="str">
        <v>品牌运营中心</v>
      </c>
      <c r="J280" s="118" t="str">
        <v>市场广告推广部</v>
      </c>
      <c r="K280" s="118" t="str">
        <v>达播2部</v>
      </c>
      <c r="L280" s="118"/>
      <c r="M280" s="120">
        <f>"销售费用_"&amp;D280&amp;"_"&amp;C280</f>
      </c>
      <c r="N280" s="120" t="str">
        <v>6601.36.31</v>
      </c>
      <c r="O280" s="120"/>
      <c r="P280" s="120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</row>
    <row r="281">
      <c r="A281" s="118">
        <f>ROW(B281)-2</f>
      </c>
      <c r="B281" s="122" t="str">
        <v>渠道推广费</v>
      </c>
      <c r="C281" s="122" t="str">
        <v>直播服务费</v>
      </c>
      <c r="D281" s="118" t="str">
        <v>营销费用</v>
      </c>
      <c r="E281" s="120" t="str">
        <v>抖音直播服务费-团长计划</v>
      </c>
      <c r="F281" s="100">
        <f>VLOOKUP(E281,'收集数据表'!A:K,6,0)</f>
      </c>
      <c r="G281" s="121" t="str">
        <v>达人直播</v>
      </c>
      <c r="H281" s="119" t="str">
        <v>服务费-团长计划</v>
      </c>
      <c r="I281" s="118" t="str">
        <v>品牌运营中心</v>
      </c>
      <c r="J281" s="118" t="str">
        <v>市场广告推广部</v>
      </c>
      <c r="K281" s="118" t="str">
        <v>达播2部</v>
      </c>
      <c r="L281" s="118"/>
      <c r="M281" s="120">
        <f>"销售费用_"&amp;D281&amp;"_"&amp;C281</f>
      </c>
      <c r="N281" s="120" t="str">
        <v>6601.36.28</v>
      </c>
      <c r="O281" s="120"/>
      <c r="P281" s="120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</row>
    <row r="282">
      <c r="A282" s="118">
        <f>ROW(B282)-2</f>
      </c>
      <c r="B282" s="122" t="str">
        <v>其他费用</v>
      </c>
      <c r="C282" s="122" t="str">
        <v>公关礼品费</v>
      </c>
      <c r="D282" s="118" t="str">
        <v>营销费用</v>
      </c>
      <c r="E282" s="120" t="str">
        <v>直播公关礼-外采-达播二部</v>
      </c>
      <c r="F282" s="100">
        <f>VLOOKUP(E282,'收集数据表'!A:K,6,0)</f>
      </c>
      <c r="G282" s="121" t="str">
        <v>品牌营销直播专项</v>
      </c>
      <c r="H282" s="119" t="str">
        <v>BD公关费-达播二部</v>
      </c>
      <c r="I282" s="118" t="str">
        <v>品牌运营中心</v>
      </c>
      <c r="J282" s="118" t="str">
        <v>市场广告推广部</v>
      </c>
      <c r="K282" s="118" t="str">
        <v>达播2部</v>
      </c>
      <c r="L282" s="118"/>
      <c r="M282" s="120">
        <f>"销售费用_"&amp;D282&amp;"_"&amp;C282</f>
      </c>
      <c r="N282" s="120"/>
      <c r="O282" s="120"/>
      <c r="P282" s="120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</row>
    <row r="283">
      <c r="A283" s="118">
        <f>ROW(B283)-2</f>
      </c>
      <c r="B283" s="122" t="str">
        <v>其他费用</v>
      </c>
      <c r="C283" s="122" t="str">
        <v>公关礼品费</v>
      </c>
      <c r="D283" s="118" t="str">
        <v>营销费用</v>
      </c>
      <c r="E283" s="120" t="str">
        <v>直播公关礼-自有-达播二部</v>
      </c>
      <c r="F283" s="100">
        <f>VLOOKUP(E283,'收集数据表'!A:K,6,0)</f>
      </c>
      <c r="G283" s="121" t="str">
        <v>品牌营销直播专项</v>
      </c>
      <c r="H283" s="119" t="str">
        <v>BD公关费-达播二部</v>
      </c>
      <c r="I283" s="118" t="str">
        <v>品牌运营中心</v>
      </c>
      <c r="J283" s="118" t="str">
        <v>市场广告推广部</v>
      </c>
      <c r="K283" s="118" t="str">
        <v>达播2部</v>
      </c>
      <c r="L283" s="118"/>
      <c r="M283" s="120">
        <f>"销售费用_"&amp;D283&amp;"_"&amp;C283</f>
      </c>
      <c r="N283" s="120"/>
      <c r="O283" s="120"/>
      <c r="P283" s="120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</row>
    <row r="284">
      <c r="A284" s="118">
        <f>ROW(B284)-2</f>
      </c>
      <c r="B284" s="122" t="str">
        <v>其他费用</v>
      </c>
      <c r="C284" s="122" t="str">
        <v>公关礼品费</v>
      </c>
      <c r="D284" s="118" t="str">
        <v>营销费用</v>
      </c>
      <c r="E284" s="120" t="str">
        <v>直播公关礼-外采-淘宝其他</v>
      </c>
      <c r="F284" s="100">
        <f>VLOOKUP(E284,'收集数据表'!A:K,6,0)</f>
      </c>
      <c r="G284" s="121" t="str">
        <v>品牌营销直播专项</v>
      </c>
      <c r="H284" s="119" t="str">
        <v>BD公关费-淘宝其他</v>
      </c>
      <c r="I284" s="118" t="str">
        <v>品牌运营中心</v>
      </c>
      <c r="J284" s="118" t="str">
        <v>市场广告推广部</v>
      </c>
      <c r="K284" s="118" t="str">
        <v>达播2部</v>
      </c>
      <c r="L284" s="118"/>
      <c r="M284" s="120"/>
      <c r="N284" s="120"/>
      <c r="O284" s="120"/>
      <c r="P284" s="120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</row>
    <row r="285">
      <c r="A285" s="118">
        <f>ROW(B285)-2</f>
      </c>
      <c r="B285" s="122" t="str">
        <v>其他费用</v>
      </c>
      <c r="C285" s="122" t="str">
        <v>公关礼品费</v>
      </c>
      <c r="D285" s="118" t="str">
        <v>营销费用</v>
      </c>
      <c r="E285" s="120" t="str">
        <v>直播公关礼-自有-淘宝其他</v>
      </c>
      <c r="F285" s="100">
        <f>VLOOKUP(E285,'收集数据表'!A:K,6,0)</f>
      </c>
      <c r="G285" s="121" t="str">
        <v>品牌营销直播专项</v>
      </c>
      <c r="H285" s="119" t="str">
        <v>BD公关费-淘宝其他</v>
      </c>
      <c r="I285" s="118" t="str">
        <v>品牌运营中心</v>
      </c>
      <c r="J285" s="118" t="str">
        <v>市场广告推广部</v>
      </c>
      <c r="K285" s="118" t="str">
        <v>达播2部</v>
      </c>
      <c r="L285" s="118"/>
      <c r="M285" s="120"/>
      <c r="N285" s="120"/>
      <c r="O285" s="120"/>
      <c r="P285" s="120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</row>
    <row r="286">
      <c r="A286" s="118">
        <f>ROW(B286)-2</f>
      </c>
      <c r="B286" s="122" t="str">
        <v>其他费用</v>
      </c>
      <c r="C286" s="122" t="str">
        <v>公关礼品费</v>
      </c>
      <c r="D286" s="118" t="str">
        <v>营销费用</v>
      </c>
      <c r="E286" s="120" t="str">
        <v>直播公关礼-外采-田恬</v>
      </c>
      <c r="F286" s="100">
        <f>VLOOKUP(E286,'收集数据表'!A:K,6,0)</f>
      </c>
      <c r="G286" s="121" t="str">
        <v>品牌营销直播专项</v>
      </c>
      <c r="H286" s="119" t="str">
        <v>BD公关费-田恬</v>
      </c>
      <c r="I286" s="118" t="str">
        <v>品牌运营中心</v>
      </c>
      <c r="J286" s="118" t="str">
        <v>直播运营部</v>
      </c>
      <c r="K286" s="118" t="str">
        <v>达播BD部</v>
      </c>
      <c r="L286" s="118"/>
      <c r="M286" s="120">
        <f>"销售费用_"&amp;D286&amp;"_"&amp;C286</f>
      </c>
      <c r="N286" s="120" t="str">
        <v>6601.36.09</v>
      </c>
      <c r="O286" s="120"/>
      <c r="P286" s="120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</row>
    <row r="287">
      <c r="A287" s="118">
        <f>ROW(B287)-2</f>
      </c>
      <c r="B287" s="122" t="str">
        <v>其他费用</v>
      </c>
      <c r="C287" s="122" t="str">
        <v>公关礼品费</v>
      </c>
      <c r="D287" s="118" t="str">
        <v>营销费用</v>
      </c>
      <c r="E287" s="120" t="str">
        <v>直播公关礼-自有-田恬</v>
      </c>
      <c r="F287" s="100">
        <f>VLOOKUP(E287,'收集数据表'!A:K,6,0)</f>
      </c>
      <c r="G287" s="121" t="str">
        <v>品牌营销直播专项</v>
      </c>
      <c r="H287" s="119" t="str">
        <v>BD公关费-田恬</v>
      </c>
      <c r="I287" s="118" t="str">
        <v>品牌运营中心</v>
      </c>
      <c r="J287" s="118" t="str">
        <v>直播运营部</v>
      </c>
      <c r="K287" s="118" t="str">
        <v>达播BD部</v>
      </c>
      <c r="L287" s="118"/>
      <c r="M287" s="120">
        <f>"销售费用_"&amp;D287&amp;"_"&amp;C287</f>
      </c>
      <c r="N287" s="120" t="str">
        <v>6601.36.09</v>
      </c>
      <c r="O287" s="120"/>
      <c r="P287" s="120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</row>
    <row r="288">
      <c r="A288" s="95">
        <f>ROW(B288)-2</f>
      </c>
      <c r="B288" s="96" t="str">
        <v>其他费用</v>
      </c>
      <c r="C288" s="96" t="str">
        <v>培训费</v>
      </c>
      <c r="D288" s="95" t="str">
        <v>日常费用</v>
      </c>
      <c r="E288" s="98"/>
      <c r="F288" s="100">
        <f>VLOOKUP(E288,'收集数据表'!A:K,6,0)</f>
      </c>
      <c r="G288" s="100"/>
      <c r="H288" s="97"/>
      <c r="I288" s="95"/>
      <c r="J288" s="95"/>
      <c r="K288" s="95"/>
      <c r="L288" s="95"/>
      <c r="M288" s="98"/>
      <c r="N288" s="98"/>
      <c r="O288" s="98"/>
      <c r="P288" s="98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</row>
  </sheetData>
  <mergeCells>
    <mergeCell ref="A1:A2"/>
    <mergeCell ref="B1:B2"/>
    <mergeCell ref="C1:C2"/>
    <mergeCell ref="D1:D2"/>
    <mergeCell ref="E1:E2"/>
    <mergeCell ref="W1:AB1"/>
    <mergeCell ref="Q1:V1"/>
    <mergeCell ref="P1:P2"/>
    <mergeCell ref="O1:O2"/>
    <mergeCell ref="N1:N2"/>
    <mergeCell ref="M1:M2"/>
    <mergeCell ref="L1:L2"/>
    <mergeCell ref="K1:K2"/>
    <mergeCell ref="J1:J2"/>
    <mergeCell ref="I1:I2"/>
    <mergeCell ref="H1:H2"/>
    <mergeCell ref="G1:G2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26"/>
    <col collapsed="false" customWidth="true" hidden="false" max="3" min="3" style="0" width="24"/>
    <col collapsed="false" customWidth="true" hidden="false" max="4" min="4" style="0" width="15"/>
    <col collapsed="false" customWidth="true" hidden="false" max="5" min="5" style="0" width="20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0"/>
    <col collapsed="false" customWidth="true" hidden="false" max="12" min="12" style="0" width="21"/>
    <col collapsed="false" customWidth="true" hidden="false" max="13" min="13" style="0" width="21"/>
    <col collapsed="false" customWidth="true" hidden="false" max="14" min="14" style="0" width="21"/>
    <col collapsed="false" customWidth="true" hidden="false" max="15" min="15" style="0" width="21"/>
    <col collapsed="false" customWidth="true" hidden="false" max="16" min="16" style="0" width="21"/>
    <col collapsed="false" customWidth="true" hidden="false" max="17" min="17" style="0" width="21"/>
    <col collapsed="false" customWidth="true" hidden="false" max="18" min="18" style="0" width="21"/>
    <col collapsed="false" customWidth="true" hidden="false" max="19" min="19" style="0" width="20"/>
    <col collapsed="false" customWidth="true" hidden="false" max="20" min="20" style="0" width="20"/>
    <col collapsed="false" customWidth="true" hidden="false" max="21" min="21" style="0" width="20"/>
    <col collapsed="false" customWidth="true" hidden="false" max="22" min="22" style="0" width="20"/>
  </cols>
  <sheetData>
    <row r="1">
      <c r="A1" s="90" t="str">
        <v>营销活动分类</v>
      </c>
      <c r="B1" s="88" t="str">
        <v>营销活动场景</v>
      </c>
      <c r="C1" s="89" t="str">
        <v>判断是否新增</v>
      </c>
      <c r="D1" s="89" t="str">
        <v>一级预算科目</v>
      </c>
      <c r="E1" s="89" t="str">
        <v>二级预算科目</v>
      </c>
      <c r="F1" s="89"/>
      <c r="G1" s="89" t="str">
        <v>能否到店铺</v>
      </c>
      <c r="H1" s="89" t="str">
        <v>店铺</v>
      </c>
      <c r="I1" s="89" t="str">
        <v>渠道</v>
      </c>
      <c r="J1" s="89" t="str">
        <v>业务来源</v>
      </c>
      <c r="K1" s="89" t="str">
        <v>业务单元</v>
      </c>
      <c r="L1" s="6" t="str">
        <v>能否到品类（单品简称）</v>
      </c>
      <c r="M1" s="6" t="str">
        <v>能否到SKU</v>
      </c>
      <c r="N1" s="6" t="str">
        <v>是否允许个人报销</v>
      </c>
      <c r="O1" s="6" t="str">
        <v>是否允许无票报销</v>
      </c>
      <c r="P1" s="91" t="str">
        <v>费用类型</v>
      </c>
      <c r="Q1" s="2" t="str">
        <v>费用大类</v>
      </c>
      <c r="R1" s="2" t="str">
        <v>费用小类</v>
      </c>
      <c r="S1" s="89" t="str">
        <v>一级部门</v>
      </c>
      <c r="T1" s="89" t="str">
        <v>二级部门</v>
      </c>
      <c r="U1" s="89" t="str">
        <v>三级部门</v>
      </c>
      <c r="V1" s="89" t="str">
        <v>四级部门</v>
      </c>
    </row>
    <row r="2">
      <c r="A2" s="92" t="str">
        <v>IP明星内容合作</v>
      </c>
      <c r="B2" s="173" t="str">
        <v>IP合作</v>
      </c>
      <c r="C2" s="5">
        <f>VLOOKUP(B2,'收集数据表'!$A$2:$A$201,1,FALSE)</f>
      </c>
      <c r="D2" s="5" t="str">
        <v>IP明星内容合作</v>
      </c>
      <c r="E2" s="5" t="str">
        <v>品牌IP及娱乐营销</v>
      </c>
      <c r="F2" s="5" t="str">
        <v>品牌IP及娱乐营销</v>
      </c>
      <c r="G2" s="5" t="str">
        <v>否</v>
      </c>
      <c r="H2" s="5"/>
      <c r="I2" s="5"/>
      <c r="J2" s="5"/>
      <c r="K2" s="5"/>
      <c r="L2" s="5" t="str">
        <v>否</v>
      </c>
      <c r="M2" s="5" t="str">
        <v>否</v>
      </c>
      <c r="N2" s="5" t="str">
        <v>否</v>
      </c>
      <c r="O2" s="5" t="str">
        <v>否</v>
      </c>
      <c r="P2" s="5" t="str">
        <v>营销费用</v>
      </c>
      <c r="Q2" s="5" t="str">
        <v>品牌宣传费</v>
      </c>
      <c r="R2" s="5" t="str">
        <v>创意策划服务费</v>
      </c>
      <c r="S2" s="32" t="str">
        <v>品牌运营中心</v>
      </c>
      <c r="T2" s="32" t="str">
        <v>市场广告推广部</v>
      </c>
      <c r="U2" s="32" t="str">
        <v>市场推广部</v>
      </c>
      <c r="V2" s="32" t="str">
        <v>市场PR部</v>
      </c>
    </row>
    <row r="3">
      <c r="A3" s="92" t="str">
        <v>IP明星内容合作</v>
      </c>
      <c r="B3" s="4" t="str">
        <v>明星差旅</v>
      </c>
      <c r="C3" s="5">
        <f>VLOOKUP(B3,'收集数据表'!$A$2:$A$201,1,FALSE)</f>
      </c>
      <c r="D3" s="1" t="str">
        <v>IP明星内容合作</v>
      </c>
      <c r="E3" s="180" t="str">
        <v>明星差旅</v>
      </c>
      <c r="F3" s="5" t="str">
        <v>明星差旅</v>
      </c>
      <c r="G3" s="5" t="str">
        <v>否</v>
      </c>
      <c r="H3" s="5"/>
      <c r="I3" s="5"/>
      <c r="J3" s="5"/>
      <c r="K3" s="3"/>
      <c r="L3" s="5" t="str">
        <v>否</v>
      </c>
      <c r="M3" s="5" t="str">
        <v>否</v>
      </c>
      <c r="N3" s="5" t="str">
        <v>是</v>
      </c>
      <c r="O3" s="5" t="str">
        <v>是</v>
      </c>
      <c r="P3" s="5" t="str">
        <v>营销费用</v>
      </c>
      <c r="Q3" s="5" t="str">
        <v>其他费用</v>
      </c>
      <c r="R3" s="5" t="str">
        <v>明星差旅费</v>
      </c>
      <c r="S3" s="3" t="str">
        <v>品牌运营中心</v>
      </c>
      <c r="T3" s="3" t="str">
        <v>市场广告推广部</v>
      </c>
      <c r="U3" s="3" t="str">
        <v>市场推广部</v>
      </c>
      <c r="V3" s="3" t="str">
        <v>娱乐营销部</v>
      </c>
    </row>
    <row r="4">
      <c r="A4" s="92" t="str">
        <v>IP明星内容合作</v>
      </c>
      <c r="B4" s="4" t="str">
        <v>明星代言单次合作</v>
      </c>
      <c r="C4" s="5">
        <f>VLOOKUP(B4,'收集数据表'!$A$2:$A$201,1,FALSE)</f>
      </c>
      <c r="D4" s="1" t="str">
        <v>IP明星内容合作</v>
      </c>
      <c r="E4" s="1" t="str">
        <v>明星代言单次</v>
      </c>
      <c r="F4" s="5" t="str">
        <v>明星代言单次</v>
      </c>
      <c r="G4" s="5" t="str">
        <v>否</v>
      </c>
      <c r="H4" s="5"/>
      <c r="I4" s="5"/>
      <c r="J4" s="5"/>
      <c r="K4" s="3"/>
      <c r="L4" s="5" t="str">
        <v>否</v>
      </c>
      <c r="M4" s="5" t="str">
        <v>否</v>
      </c>
      <c r="N4" s="5" t="str">
        <v>否</v>
      </c>
      <c r="O4" s="5" t="str">
        <v>否</v>
      </c>
      <c r="P4" s="5" t="str">
        <v>营销费用</v>
      </c>
      <c r="Q4" s="5" t="str">
        <v>品牌宣传费</v>
      </c>
      <c r="R4" s="5" t="str">
        <v>明星合作费</v>
      </c>
      <c r="S4" s="3" t="str">
        <v>品牌运营中心</v>
      </c>
      <c r="T4" s="3" t="str">
        <v>市场广告推广部</v>
      </c>
      <c r="U4" s="3" t="str">
        <v>市场推广部</v>
      </c>
      <c r="V4" s="3" t="str">
        <v>娱乐营销部</v>
      </c>
    </row>
    <row r="5">
      <c r="A5" s="92" t="str">
        <v>IP明星内容合作</v>
      </c>
      <c r="B5" s="4" t="str">
        <v>明星代言合作</v>
      </c>
      <c r="C5" s="5">
        <f>VLOOKUP(B5,'收集数据表'!$A$2:$A$201,1,FALSE)</f>
      </c>
      <c r="D5" s="1" t="str">
        <v>IP明星内容合作</v>
      </c>
      <c r="E5" s="1" t="str">
        <v>明星代言摊销</v>
      </c>
      <c r="F5" s="5" t="str">
        <v>明星代言摊销</v>
      </c>
      <c r="G5" s="5" t="str">
        <v>否</v>
      </c>
      <c r="H5" s="5"/>
      <c r="I5" s="5"/>
      <c r="J5" s="5"/>
      <c r="K5" s="3"/>
      <c r="L5" s="5" t="str">
        <v>否</v>
      </c>
      <c r="M5" s="5" t="str">
        <v>否</v>
      </c>
      <c r="N5" s="5" t="str">
        <v>否</v>
      </c>
      <c r="O5" s="5" t="str">
        <v>否</v>
      </c>
      <c r="P5" s="5" t="str">
        <v>营销费用</v>
      </c>
      <c r="Q5" s="5" t="str">
        <v>品牌宣传费</v>
      </c>
      <c r="R5" s="5" t="str">
        <v>明星合作费</v>
      </c>
      <c r="S5" s="3" t="str">
        <v>品牌运营中心</v>
      </c>
      <c r="T5" s="3" t="str">
        <v>市场广告推广部</v>
      </c>
      <c r="U5" s="3" t="str">
        <v>市场推广部</v>
      </c>
      <c r="V5" s="3" t="str">
        <v>娱乐营销部</v>
      </c>
    </row>
    <row r="6">
      <c r="A6" s="92" t="str">
        <v>IP明星内容合作</v>
      </c>
      <c r="B6" s="4" t="str">
        <v>明星拍摄</v>
      </c>
      <c r="C6" s="5">
        <f>VLOOKUP(B6,'收集数据表'!$A$2:$A$201,1,FALSE)</f>
      </c>
      <c r="D6" s="1" t="str">
        <v>IP明星内容合作</v>
      </c>
      <c r="E6" s="1" t="str">
        <v>明星拍摄</v>
      </c>
      <c r="F6" s="5" t="str">
        <v>明星拍摄</v>
      </c>
      <c r="G6" s="5" t="str">
        <v>否</v>
      </c>
      <c r="H6" s="5"/>
      <c r="I6" s="5"/>
      <c r="J6" s="5"/>
      <c r="K6" s="3"/>
      <c r="L6" s="5" t="str">
        <v>否</v>
      </c>
      <c r="M6" s="5" t="str">
        <v>否</v>
      </c>
      <c r="N6" s="5" t="str">
        <v>是</v>
      </c>
      <c r="O6" s="5" t="str">
        <v>是</v>
      </c>
      <c r="P6" s="5" t="str">
        <v>营销费用</v>
      </c>
      <c r="Q6" s="5" t="str">
        <v>其他费用</v>
      </c>
      <c r="R6" s="5" t="str">
        <v>场地租赁费</v>
      </c>
      <c r="S6" s="3" t="str">
        <v>品牌运营中心</v>
      </c>
      <c r="T6" s="3" t="str">
        <v>市场广告推广部</v>
      </c>
      <c r="U6" s="3" t="str">
        <v>市场推广部</v>
      </c>
      <c r="V6" s="3" t="str">
        <v>娱乐营销部</v>
      </c>
    </row>
    <row r="7">
      <c r="A7" s="92" t="str">
        <v>IP明星内容合作</v>
      </c>
      <c r="B7" s="4" t="str">
        <v>明星影综营销号</v>
      </c>
      <c r="C7" s="5">
        <f>VLOOKUP(B7,'收集数据表'!$A$2:$A$201,1,FALSE)</f>
      </c>
      <c r="D7" s="1" t="str">
        <v>IP明星内容合作</v>
      </c>
      <c r="E7" s="1" t="str">
        <v>品牌IP及娱乐营销</v>
      </c>
      <c r="F7" s="5" t="str">
        <v>品牌IP及娱乐营销</v>
      </c>
      <c r="G7" s="5" t="str">
        <v>否</v>
      </c>
      <c r="H7" s="5"/>
      <c r="I7" s="5"/>
      <c r="J7" s="5"/>
      <c r="K7" s="3"/>
      <c r="L7" s="5" t="str">
        <v>否</v>
      </c>
      <c r="M7" s="5" t="str">
        <v>否</v>
      </c>
      <c r="N7" s="5" t="str">
        <v>否</v>
      </c>
      <c r="O7" s="5" t="str">
        <v>否</v>
      </c>
      <c r="P7" s="5" t="str">
        <v>营销费用</v>
      </c>
      <c r="Q7" s="5" t="str">
        <v>品牌宣传费</v>
      </c>
      <c r="R7" s="5" t="str">
        <v>营销宣传费</v>
      </c>
      <c r="S7" s="3" t="str">
        <v>品牌运营中心</v>
      </c>
      <c r="T7" s="3" t="str">
        <v>市场广告推广部</v>
      </c>
      <c r="U7" s="3" t="str">
        <v>市场推广部</v>
      </c>
      <c r="V7" s="3" t="str">
        <v>娱乐营销部</v>
      </c>
    </row>
    <row r="8">
      <c r="A8" s="92" t="str">
        <v>IP明星内容合作</v>
      </c>
      <c r="B8" s="4" t="str">
        <v>明星妆发造</v>
      </c>
      <c r="C8" s="5">
        <f>VLOOKUP(B8,'收集数据表'!$A$2:$A$201,1,FALSE)</f>
      </c>
      <c r="D8" s="1" t="str">
        <v>IP明星内容合作</v>
      </c>
      <c r="E8" s="180" t="str">
        <v>明星妆发造</v>
      </c>
      <c r="F8" s="5" t="str">
        <v>明星妆发造</v>
      </c>
      <c r="G8" s="5" t="str">
        <v>否</v>
      </c>
      <c r="H8" s="5"/>
      <c r="I8" s="5"/>
      <c r="J8" s="5"/>
      <c r="K8" s="3"/>
      <c r="L8" s="5" t="str">
        <v>否</v>
      </c>
      <c r="M8" s="5" t="str">
        <v>否</v>
      </c>
      <c r="N8" s="5" t="str">
        <v>是</v>
      </c>
      <c r="O8" s="5" t="str">
        <v>是</v>
      </c>
      <c r="P8" s="5" t="str">
        <v>营销费用</v>
      </c>
      <c r="Q8" s="5" t="str">
        <v>内容制作费</v>
      </c>
      <c r="R8" s="5" t="str">
        <v>服化道费用</v>
      </c>
      <c r="S8" s="3" t="str">
        <v>品牌运营中心</v>
      </c>
      <c r="T8" s="3" t="str">
        <v>市场广告推广部</v>
      </c>
      <c r="U8" s="3" t="str">
        <v>市场推广部</v>
      </c>
      <c r="V8" s="3" t="str">
        <v>娱乐营销部</v>
      </c>
    </row>
    <row r="9">
      <c r="A9" s="92" t="str">
        <v>IP明星内容合作</v>
      </c>
      <c r="B9" s="4" t="str">
        <v>明星综艺线下活动</v>
      </c>
      <c r="C9" s="5">
        <f>VLOOKUP(B9,'收集数据表'!$A$2:$A$201,1,FALSE)</f>
      </c>
      <c r="D9" s="1" t="str">
        <v>IP明星内容合作</v>
      </c>
      <c r="E9" s="1" t="str">
        <v>明星代言单次</v>
      </c>
      <c r="F9" s="5" t="str">
        <v>明星代言单次</v>
      </c>
      <c r="G9" s="5" t="str">
        <v>否</v>
      </c>
      <c r="H9" s="5"/>
      <c r="I9" s="5"/>
      <c r="J9" s="5"/>
      <c r="K9" s="3"/>
      <c r="L9" s="5" t="str">
        <v>否</v>
      </c>
      <c r="M9" s="5" t="str">
        <v>否</v>
      </c>
      <c r="N9" s="5" t="str">
        <v>否</v>
      </c>
      <c r="O9" s="5" t="str">
        <v>否</v>
      </c>
      <c r="P9" s="5" t="str">
        <v>营销费用</v>
      </c>
      <c r="Q9" s="5" t="str">
        <v>品牌宣传费</v>
      </c>
      <c r="R9" s="5" t="str">
        <v>创意策划服务费</v>
      </c>
      <c r="S9" s="3" t="str">
        <v>品牌运营中心</v>
      </c>
      <c r="T9" s="3" t="str">
        <v>市场广告推广部</v>
      </c>
      <c r="U9" s="3" t="str">
        <v>市场推广部</v>
      </c>
      <c r="V9" s="3" t="str">
        <v>娱乐营销部</v>
      </c>
    </row>
    <row r="10">
      <c r="A10" s="92" t="str">
        <v>IP明星内容合作</v>
      </c>
      <c r="B10" s="4" t="str">
        <v>影视综艺植入</v>
      </c>
      <c r="C10" s="5">
        <f>VLOOKUP(B10,'收集数据表'!$A$2:$A$201,1,FALSE)</f>
      </c>
      <c r="D10" s="1" t="str">
        <v>IP明星内容合作</v>
      </c>
      <c r="E10" s="1" t="str">
        <v>品牌IP及娱乐营销</v>
      </c>
      <c r="F10" s="5" t="str">
        <v>品牌IP及娱乐营销</v>
      </c>
      <c r="G10" s="5" t="str">
        <v>否</v>
      </c>
      <c r="H10" s="5"/>
      <c r="I10" s="5"/>
      <c r="J10" s="5"/>
      <c r="K10" s="3"/>
      <c r="L10" s="5" t="str">
        <v>否</v>
      </c>
      <c r="M10" s="5" t="str">
        <v>否</v>
      </c>
      <c r="N10" s="5" t="str">
        <v>否</v>
      </c>
      <c r="O10" s="5" t="str">
        <v>否</v>
      </c>
      <c r="P10" s="5" t="str">
        <v>营销费用</v>
      </c>
      <c r="Q10" s="5" t="str">
        <v>品牌宣传费</v>
      </c>
      <c r="R10" s="5" t="str">
        <v>品牌植入费</v>
      </c>
      <c r="S10" s="3" t="str">
        <v>品牌运营中心</v>
      </c>
      <c r="T10" s="3" t="str">
        <v>市场广告推广部</v>
      </c>
      <c r="U10" s="3" t="str">
        <v>市场推广部</v>
      </c>
      <c r="V10" s="3" t="str">
        <v>娱乐营销部</v>
      </c>
    </row>
    <row r="11">
      <c r="A11" s="92" t="str">
        <v>其他达人直播</v>
      </c>
      <c r="B11" s="4" t="str">
        <v>抖音直播服务费-抖音其他</v>
      </c>
      <c r="C11" s="5">
        <f>VLOOKUP(B11,'收集数据表'!$A$2:$A$201,1,FALSE)</f>
      </c>
      <c r="D11" s="1" t="str">
        <v>达人直播</v>
      </c>
      <c r="E11" s="1" t="str">
        <v>服务费-抖音其他</v>
      </c>
      <c r="F11" s="5" t="str">
        <v>服务费-抖音其他</v>
      </c>
      <c r="G11" s="5" t="str">
        <v>是</v>
      </c>
      <c r="H11" s="5" t="str">
        <v>抖音花西子官方旗舰店</v>
      </c>
      <c r="I11" s="5" t="str">
        <v>抖音渠道</v>
      </c>
      <c r="J11" s="5" t="str">
        <v>抖音达播</v>
      </c>
      <c r="K11" s="3"/>
      <c r="L11" s="5" t="str">
        <v>是</v>
      </c>
      <c r="M11" s="5" t="str">
        <v>否</v>
      </c>
      <c r="N11" s="5" t="str">
        <v>否</v>
      </c>
      <c r="O11" s="5" t="str">
        <v>否</v>
      </c>
      <c r="P11" s="5" t="str">
        <v>营销费用</v>
      </c>
      <c r="Q11" s="5" t="str">
        <v>渠道推广费</v>
      </c>
      <c r="R11" s="5" t="str">
        <v>直播服务费</v>
      </c>
      <c r="S11" s="3" t="str">
        <v>品牌运营中心</v>
      </c>
      <c r="T11" s="3" t="str">
        <v>市场广告推广部</v>
      </c>
      <c r="U11" s="3" t="str">
        <v>达播2部</v>
      </c>
      <c r="V11" s="3"/>
    </row>
    <row r="12">
      <c r="A12" s="176" t="str">
        <v>SKA达人</v>
      </c>
      <c r="B12" s="4" t="str">
        <v>抖音直播服务费-抖音其他</v>
      </c>
      <c r="C12" s="5">
        <f>VLOOKUP(B12,'收集数据表'!$A$2:$A$201,1,FALSE)</f>
      </c>
      <c r="D12" s="1" t="str">
        <v>达人直播</v>
      </c>
      <c r="E12" s="1" t="str">
        <v>服务费-抖音其他</v>
      </c>
      <c r="F12" s="5" t="str">
        <v>服务费-抖音其他</v>
      </c>
      <c r="G12" s="5" t="str">
        <v>是</v>
      </c>
      <c r="H12" s="5" t="str">
        <v>抖音花西子官方旗舰店</v>
      </c>
      <c r="I12" s="5" t="str">
        <v>抖音渠道</v>
      </c>
      <c r="J12" s="5" t="str">
        <v>抖音达播</v>
      </c>
      <c r="K12" s="3"/>
      <c r="L12" s="5" t="str">
        <v>是</v>
      </c>
      <c r="M12" s="5" t="str">
        <v>否</v>
      </c>
      <c r="N12" s="5" t="str">
        <v>否</v>
      </c>
      <c r="O12" s="5" t="str">
        <v>否</v>
      </c>
      <c r="P12" s="5" t="str">
        <v>营销费用</v>
      </c>
      <c r="Q12" s="5" t="str">
        <v>渠道推广费</v>
      </c>
      <c r="R12" s="5" t="str">
        <v>直播服务费</v>
      </c>
      <c r="S12" s="3" t="str">
        <v>品牌运营中心</v>
      </c>
      <c r="T12" s="3" t="str">
        <v>市场广告推广部</v>
      </c>
      <c r="U12" s="3" t="str">
        <v>达播2部</v>
      </c>
      <c r="V12" s="3"/>
    </row>
    <row r="13">
      <c r="A13" s="92" t="str">
        <v>田恬</v>
      </c>
      <c r="B13" s="4" t="str">
        <v>抖音直播服务费-田恬</v>
      </c>
      <c r="C13" s="5">
        <f>VLOOKUP(B13,'收集数据表'!$A$2:$A$201,1,FALSE)</f>
      </c>
      <c r="D13" s="1" t="str">
        <v>达人直播</v>
      </c>
      <c r="E13" s="1" t="str">
        <v>佣金-田恬</v>
      </c>
      <c r="F13" s="5" t="str">
        <v>佣金-田恬</v>
      </c>
      <c r="G13" s="5" t="str">
        <v>是</v>
      </c>
      <c r="H13" s="5" t="str">
        <v>抖音花西子官方旗舰店</v>
      </c>
      <c r="I13" s="5" t="str">
        <v>抖音渠道</v>
      </c>
      <c r="J13" s="5" t="str">
        <v>抖音达播</v>
      </c>
      <c r="K13" s="3"/>
      <c r="L13" s="5" t="str">
        <v>是</v>
      </c>
      <c r="M13" s="5" t="str">
        <v>是</v>
      </c>
      <c r="N13" s="5" t="str">
        <v>否</v>
      </c>
      <c r="O13" s="5" t="str">
        <v>否</v>
      </c>
      <c r="P13" s="5" t="str">
        <v>营销费用</v>
      </c>
      <c r="Q13" s="5" t="str">
        <v>渠道推广费</v>
      </c>
      <c r="R13" s="5" t="str">
        <v>直播服务费</v>
      </c>
      <c r="S13" s="3" t="str">
        <v>品牌运营中心</v>
      </c>
      <c r="T13" s="3" t="str">
        <v>直播运营部</v>
      </c>
      <c r="U13" s="3" t="str">
        <v>达播BD部</v>
      </c>
      <c r="V13" s="3"/>
    </row>
    <row r="14">
      <c r="A14" s="92" t="str">
        <v>其他达人直播</v>
      </c>
      <c r="B14" s="4" t="str">
        <v>抖音直播服务费-团长计划</v>
      </c>
      <c r="C14" s="5">
        <f>VLOOKUP(B14,'收集数据表'!$A$2:$A$201,1,FALSE)</f>
      </c>
      <c r="D14" s="1" t="str">
        <v>达人直播</v>
      </c>
      <c r="E14" s="1" t="str">
        <v>服务费-团长计划</v>
      </c>
      <c r="F14" s="5" t="str">
        <v>服务费-团长计划</v>
      </c>
      <c r="G14" s="5" t="str">
        <v>是</v>
      </c>
      <c r="H14" s="5" t="str">
        <v>抖音花西子官方旗舰店</v>
      </c>
      <c r="I14" s="5" t="str">
        <v>抖音渠道</v>
      </c>
      <c r="J14" s="5" t="str">
        <v>抖音达播</v>
      </c>
      <c r="K14" s="3"/>
      <c r="L14" s="5" t="str">
        <v>是</v>
      </c>
      <c r="M14" s="5" t="str">
        <v>否</v>
      </c>
      <c r="N14" s="5" t="str">
        <v>否</v>
      </c>
      <c r="O14" s="5" t="str">
        <v>否</v>
      </c>
      <c r="P14" s="5" t="str">
        <v>营销费用</v>
      </c>
      <c r="Q14" s="5" t="str">
        <v>渠道推广费</v>
      </c>
      <c r="R14" s="5" t="str">
        <v>直播服务费</v>
      </c>
      <c r="S14" s="3" t="str">
        <v>品牌运营中心</v>
      </c>
      <c r="T14" s="3" t="str">
        <v>市场广告推广部</v>
      </c>
      <c r="U14" s="3" t="str">
        <v>达播2部</v>
      </c>
      <c r="V14" s="3"/>
    </row>
    <row r="15">
      <c r="A15" s="92" t="str">
        <v>其他达人直播</v>
      </c>
      <c r="B15" s="4" t="str">
        <v>抖音直播坑位费-抖音其他</v>
      </c>
      <c r="C15" s="5">
        <f>VLOOKUP(B15,'收集数据表'!$A$2:$A$201,1,FALSE)</f>
      </c>
      <c r="D15" s="1" t="str">
        <v>达人直播</v>
      </c>
      <c r="E15" s="1" t="str">
        <v>佣金-抖音其他</v>
      </c>
      <c r="F15" s="5" t="str">
        <v>佣金-抖音其他</v>
      </c>
      <c r="G15" s="5" t="str">
        <v>是</v>
      </c>
      <c r="H15" s="5" t="str">
        <v>抖音花西子官方旗舰店</v>
      </c>
      <c r="I15" s="5" t="str">
        <v>抖音渠道</v>
      </c>
      <c r="J15" s="5" t="str">
        <v>抖音达播</v>
      </c>
      <c r="K15" s="3"/>
      <c r="L15" s="5" t="str">
        <v>否</v>
      </c>
      <c r="M15" s="5" t="str">
        <v>否</v>
      </c>
      <c r="N15" s="5" t="str">
        <v>否</v>
      </c>
      <c r="O15" s="5" t="str">
        <v>否</v>
      </c>
      <c r="P15" s="5" t="str">
        <v>营销费用</v>
      </c>
      <c r="Q15" s="5" t="str">
        <v>渠道推广费</v>
      </c>
      <c r="R15" s="5" t="str">
        <v>直播坑位费</v>
      </c>
      <c r="S15" s="3" t="str">
        <v>品牌运营中心</v>
      </c>
      <c r="T15" s="3" t="str">
        <v>市场广告推广部</v>
      </c>
      <c r="U15" s="3" t="str">
        <v>达播2部</v>
      </c>
      <c r="V15" s="3"/>
    </row>
    <row r="16">
      <c r="A16" s="176" t="str">
        <v>SKA达人</v>
      </c>
      <c r="B16" s="4" t="str">
        <v>抖音直播坑位费-抖音其他</v>
      </c>
      <c r="C16" s="5">
        <f>VLOOKUP(B16,'收集数据表'!$A$2:$A$201,1,FALSE)</f>
      </c>
      <c r="D16" s="1" t="str">
        <v>达人直播</v>
      </c>
      <c r="E16" s="1" t="str">
        <v>佣金-抖音其他</v>
      </c>
      <c r="F16" s="5" t="str">
        <v>佣金-抖音其他</v>
      </c>
      <c r="G16" s="5" t="str">
        <v>是</v>
      </c>
      <c r="H16" s="5" t="str">
        <v>抖音花西子官方旗舰店</v>
      </c>
      <c r="I16" s="5" t="str">
        <v>抖音渠道</v>
      </c>
      <c r="J16" s="5" t="str">
        <v>抖音达播</v>
      </c>
      <c r="K16" s="3"/>
      <c r="L16" s="5" t="str">
        <v>否</v>
      </c>
      <c r="M16" s="5" t="str">
        <v>否</v>
      </c>
      <c r="N16" s="5" t="str">
        <v>否</v>
      </c>
      <c r="O16" s="5" t="str">
        <v>否</v>
      </c>
      <c r="P16" s="5" t="str">
        <v>营销费用</v>
      </c>
      <c r="Q16" s="5" t="str">
        <v>渠道推广费</v>
      </c>
      <c r="R16" s="5" t="str">
        <v>直播坑位费</v>
      </c>
      <c r="S16" s="3" t="str">
        <v>品牌运营中心</v>
      </c>
      <c r="T16" s="3" t="str">
        <v>市场广告推广部</v>
      </c>
      <c r="U16" s="3" t="str">
        <v>达播2部</v>
      </c>
      <c r="V16" s="3"/>
    </row>
    <row r="17">
      <c r="A17" s="92" t="str">
        <v>田恬</v>
      </c>
      <c r="B17" s="4" t="str">
        <v>抖音直播坑位费-田恬</v>
      </c>
      <c r="C17" s="5">
        <f>VLOOKUP(B17,'收集数据表'!$A$2:$A$201,1,FALSE)</f>
      </c>
      <c r="D17" s="1" t="str">
        <v>达人直播</v>
      </c>
      <c r="E17" s="1" t="str">
        <v>服务费-田恬</v>
      </c>
      <c r="F17" s="5" t="str">
        <v>服务费-田恬</v>
      </c>
      <c r="G17" s="5" t="str">
        <v>是</v>
      </c>
      <c r="H17" s="5" t="str">
        <v>抖音花西子官方旗舰店</v>
      </c>
      <c r="I17" s="5" t="str">
        <v>抖音渠道</v>
      </c>
      <c r="J17" s="5" t="str">
        <v>抖音达播</v>
      </c>
      <c r="K17" s="3"/>
      <c r="L17" s="5" t="str">
        <v>否</v>
      </c>
      <c r="M17" s="5" t="str">
        <v>否</v>
      </c>
      <c r="N17" s="5" t="str">
        <v>否</v>
      </c>
      <c r="O17" s="5" t="str">
        <v>否</v>
      </c>
      <c r="P17" s="5" t="str">
        <v>营销费用</v>
      </c>
      <c r="Q17" s="5" t="str">
        <v>渠道推广费</v>
      </c>
      <c r="R17" s="5" t="str">
        <v>直播坑位费</v>
      </c>
      <c r="S17" s="3" t="str">
        <v>品牌运营中心</v>
      </c>
      <c r="T17" s="3" t="str">
        <v>直播运营部</v>
      </c>
      <c r="U17" s="3" t="str">
        <v>达播BD部</v>
      </c>
      <c r="V17" s="3"/>
    </row>
    <row r="18">
      <c r="A18" s="92" t="str">
        <v>其他达人直播</v>
      </c>
      <c r="B18" s="4" t="str">
        <v>抖音直播坑位费-团长计划</v>
      </c>
      <c r="C18" s="5">
        <f>VLOOKUP(B18,'收集数据表'!$A$2:$A$201,1,FALSE)</f>
      </c>
      <c r="D18" s="1" t="str">
        <v>达人直播</v>
      </c>
      <c r="E18" s="1" t="str">
        <v>佣金-团长计划</v>
      </c>
      <c r="F18" s="5" t="str">
        <v>佣金-团长计划</v>
      </c>
      <c r="G18" s="5" t="str">
        <v>是</v>
      </c>
      <c r="H18" s="5" t="str">
        <v>抖音花西子官方旗舰店</v>
      </c>
      <c r="I18" s="5" t="str">
        <v>抖音渠道</v>
      </c>
      <c r="J18" s="5" t="str">
        <v>抖音达播</v>
      </c>
      <c r="K18" s="3"/>
      <c r="L18" s="5" t="str">
        <v>否</v>
      </c>
      <c r="M18" s="5" t="str">
        <v>否</v>
      </c>
      <c r="N18" s="5" t="str">
        <v>否</v>
      </c>
      <c r="O18" s="5" t="str">
        <v>否</v>
      </c>
      <c r="P18" s="5" t="str">
        <v>营销费用</v>
      </c>
      <c r="Q18" s="5" t="str">
        <v>渠道推广费</v>
      </c>
      <c r="R18" s="5" t="str">
        <v>直播坑位费</v>
      </c>
      <c r="S18" s="3" t="str">
        <v>品牌运营中心</v>
      </c>
      <c r="T18" s="3" t="str">
        <v>市场广告推广部</v>
      </c>
      <c r="U18" s="3" t="str">
        <v>达播2部</v>
      </c>
      <c r="V18" s="3"/>
    </row>
    <row r="19">
      <c r="A19" s="92" t="str">
        <v>其他达人直播</v>
      </c>
      <c r="B19" s="4" t="str">
        <v>快手直播服务费</v>
      </c>
      <c r="C19" s="5">
        <f>VLOOKUP(B19,'收集数据表'!$A$2:$A$201,1,FALSE)</f>
      </c>
      <c r="D19" s="1" t="str">
        <v>达人直播</v>
      </c>
      <c r="E19" s="1" t="str">
        <v>佣金-快手</v>
      </c>
      <c r="F19" s="5" t="str">
        <v>佣金-快手</v>
      </c>
      <c r="G19" s="5" t="str">
        <v>是</v>
      </c>
      <c r="H19" s="5" t="str">
        <v>快手花西子旗舰店</v>
      </c>
      <c r="I19" s="5" t="str">
        <v>快手渠道</v>
      </c>
      <c r="J19" s="5" t="str">
        <v>快手达播</v>
      </c>
      <c r="K19" s="3"/>
      <c r="L19" s="5" t="str">
        <v>是</v>
      </c>
      <c r="M19" s="5" t="str">
        <v>是</v>
      </c>
      <c r="N19" s="5" t="str">
        <v>否</v>
      </c>
      <c r="O19" s="5" t="str">
        <v>否</v>
      </c>
      <c r="P19" s="5" t="str">
        <v>营销费用</v>
      </c>
      <c r="Q19" s="5" t="str">
        <v>渠道推广费</v>
      </c>
      <c r="R19" s="5" t="str">
        <v>直播服务费</v>
      </c>
      <c r="S19" s="3" t="str">
        <v>品牌运营中心</v>
      </c>
      <c r="T19" s="3" t="str">
        <v>市场广告推广部</v>
      </c>
      <c r="U19" s="3" t="str">
        <v>达播2部</v>
      </c>
      <c r="V19" s="3"/>
    </row>
    <row r="20">
      <c r="A20" s="176" t="str">
        <v>SKA达人</v>
      </c>
      <c r="B20" s="4" t="str">
        <v>快手直播服务费</v>
      </c>
      <c r="C20" s="5">
        <f>VLOOKUP(B20,'收集数据表'!$A$2:$A$201,1,FALSE)</f>
      </c>
      <c r="D20" s="1" t="str">
        <v>达人直播</v>
      </c>
      <c r="E20" s="1" t="str">
        <v>佣金-快手</v>
      </c>
      <c r="F20" s="5" t="str">
        <v>佣金-快手</v>
      </c>
      <c r="G20" s="5" t="str">
        <v>是</v>
      </c>
      <c r="H20" s="5" t="str">
        <v>快手花西子旗舰店</v>
      </c>
      <c r="I20" s="5" t="str">
        <v>快手渠道</v>
      </c>
      <c r="J20" s="5" t="str">
        <v>快手达播</v>
      </c>
      <c r="K20" s="3"/>
      <c r="L20" s="5" t="str">
        <v>是</v>
      </c>
      <c r="M20" s="5" t="str">
        <v>是</v>
      </c>
      <c r="N20" s="5" t="str">
        <v>否</v>
      </c>
      <c r="O20" s="5" t="str">
        <v>否</v>
      </c>
      <c r="P20" s="5" t="str">
        <v>营销费用</v>
      </c>
      <c r="Q20" s="5" t="str">
        <v>渠道推广费</v>
      </c>
      <c r="R20" s="5" t="str">
        <v>直播服务费</v>
      </c>
      <c r="S20" s="3" t="str">
        <v>品牌运营中心</v>
      </c>
      <c r="T20" s="3" t="str">
        <v>市场广告推广部</v>
      </c>
      <c r="U20" s="3" t="str">
        <v>达播2部</v>
      </c>
      <c r="V20" s="3"/>
    </row>
    <row r="21">
      <c r="A21" s="92" t="str">
        <v>其他达人直播</v>
      </c>
      <c r="B21" s="4" t="str">
        <v>快手直播坑位费</v>
      </c>
      <c r="C21" s="5">
        <f>VLOOKUP(B21,'收集数据表'!$A$2:$A$201,1,FALSE)</f>
      </c>
      <c r="D21" s="1" t="str">
        <v>达人直播</v>
      </c>
      <c r="E21" s="1" t="str">
        <v>服务费-快手</v>
      </c>
      <c r="F21" s="5" t="str">
        <v>服务费-快手</v>
      </c>
      <c r="G21" s="5" t="str">
        <v>是</v>
      </c>
      <c r="H21" s="5" t="str">
        <v>快手花西子旗舰店</v>
      </c>
      <c r="I21" s="5" t="str">
        <v>快手渠道</v>
      </c>
      <c r="J21" s="5" t="str">
        <v>快手达播</v>
      </c>
      <c r="K21" s="3"/>
      <c r="L21" s="5" t="str">
        <v>否</v>
      </c>
      <c r="M21" s="5" t="str">
        <v>否</v>
      </c>
      <c r="N21" s="5" t="str">
        <v>否</v>
      </c>
      <c r="O21" s="5" t="str">
        <v>否</v>
      </c>
      <c r="P21" s="5" t="str">
        <v>营销费用</v>
      </c>
      <c r="Q21" s="5" t="str">
        <v>渠道推广费</v>
      </c>
      <c r="R21" s="5" t="str">
        <v>直播坑位费</v>
      </c>
      <c r="S21" s="3" t="str">
        <v>品牌运营中心</v>
      </c>
      <c r="T21" s="3" t="str">
        <v>市场广告推广部</v>
      </c>
      <c r="U21" s="3" t="str">
        <v>达播2部</v>
      </c>
      <c r="V21" s="3"/>
    </row>
    <row r="22">
      <c r="A22" s="176" t="str">
        <v>SKA达人</v>
      </c>
      <c r="B22" s="4" t="str">
        <v>快手直播坑位费</v>
      </c>
      <c r="C22" s="5">
        <f>VLOOKUP(B22,'收集数据表'!$A$2:$A$201,1,FALSE)</f>
      </c>
      <c r="D22" s="1" t="str">
        <v>达人直播</v>
      </c>
      <c r="E22" s="1" t="str">
        <v>服务费-快手</v>
      </c>
      <c r="F22" s="5" t="str">
        <v>服务费-快手</v>
      </c>
      <c r="G22" s="5" t="str">
        <v>是</v>
      </c>
      <c r="H22" s="5" t="str">
        <v>快手花西子旗舰店</v>
      </c>
      <c r="I22" s="5" t="str">
        <v>快手渠道</v>
      </c>
      <c r="J22" s="5" t="str">
        <v>快手达播</v>
      </c>
      <c r="K22" s="3"/>
      <c r="L22" s="5" t="str">
        <v>否</v>
      </c>
      <c r="M22" s="5" t="str">
        <v>否</v>
      </c>
      <c r="N22" s="5" t="str">
        <v>否</v>
      </c>
      <c r="O22" s="5" t="str">
        <v>否</v>
      </c>
      <c r="P22" s="5" t="str">
        <v>营销费用</v>
      </c>
      <c r="Q22" s="5" t="str">
        <v>渠道推广费</v>
      </c>
      <c r="R22" s="5" t="str">
        <v>直播坑位费</v>
      </c>
      <c r="S22" s="3" t="str">
        <v>品牌运营中心</v>
      </c>
      <c r="T22" s="3" t="str">
        <v>市场广告推广部</v>
      </c>
      <c r="U22" s="3" t="str">
        <v>达播2部</v>
      </c>
      <c r="V22" s="3"/>
    </row>
    <row r="23">
      <c r="A23" s="194" t="str">
        <v>其他达人直播</v>
      </c>
      <c r="B23" s="192" t="str">
        <v>明星直播合作</v>
      </c>
      <c r="C23" s="38">
        <f>VLOOKUP(B23,'收集数据表'!$A$2:$A$201,1,FALSE)</f>
      </c>
      <c r="D23" s="193" t="str">
        <v>达人直播</v>
      </c>
      <c r="E23" s="193" t="str">
        <v>服务费</v>
      </c>
      <c r="F23" s="38" t="str">
        <v>服务费</v>
      </c>
      <c r="G23" s="38" t="str">
        <v>是</v>
      </c>
      <c r="H23" s="38"/>
      <c r="I23" s="38"/>
      <c r="J23" s="38"/>
      <c r="K23" s="191"/>
      <c r="L23" s="38" t="str">
        <v>否</v>
      </c>
      <c r="M23" s="38" t="str">
        <v>否</v>
      </c>
      <c r="N23" s="38" t="str">
        <v>否</v>
      </c>
      <c r="O23" s="38" t="str">
        <v>否</v>
      </c>
      <c r="P23" s="38" t="str">
        <v>营销费用</v>
      </c>
      <c r="Q23" s="38" t="str">
        <v>品牌宣传费</v>
      </c>
      <c r="R23" s="38" t="str">
        <v>明星合作费</v>
      </c>
      <c r="S23" s="191" t="str">
        <v>品牌运营中心</v>
      </c>
      <c r="T23" s="191" t="str">
        <v>直播运营部</v>
      </c>
      <c r="U23" s="191" t="str">
        <v>达播BD部</v>
      </c>
      <c r="V23" s="191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</row>
    <row r="24">
      <c r="A24" s="187" t="str">
        <v>其他达人直播</v>
      </c>
      <c r="B24" s="39" t="str">
        <v>其他直播服务费</v>
      </c>
      <c r="C24" s="38">
        <f>VLOOKUP(B24,'收集数据表'!$A$2:$A$201,1,FALSE)</f>
      </c>
      <c r="D24" s="37" t="str">
        <v>达人直播</v>
      </c>
      <c r="E24" s="37" t="str">
        <v>佣金-其他</v>
      </c>
      <c r="F24" s="38" t="str">
        <v>佣金-其他</v>
      </c>
      <c r="G24" s="38" t="str">
        <v>是</v>
      </c>
      <c r="H24" s="38"/>
      <c r="I24" s="38"/>
      <c r="J24" s="38"/>
      <c r="K24" s="40"/>
      <c r="L24" s="38" t="str">
        <v>是</v>
      </c>
      <c r="M24" s="38" t="str">
        <v>是</v>
      </c>
      <c r="N24" s="38" t="str">
        <v>否</v>
      </c>
      <c r="O24" s="38" t="str">
        <v>否</v>
      </c>
      <c r="P24" s="38" t="str">
        <v>营销费用</v>
      </c>
      <c r="Q24" s="38" t="str">
        <v>渠道推广费</v>
      </c>
      <c r="R24" s="38" t="str">
        <v>直播服务费</v>
      </c>
      <c r="S24" s="40" t="str">
        <v>品牌运营中心</v>
      </c>
      <c r="T24" s="40" t="str">
        <v>直播运营部</v>
      </c>
      <c r="U24" s="40" t="str">
        <v>达播BD部</v>
      </c>
      <c r="V24" s="40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</row>
    <row r="25">
      <c r="A25" s="187" t="str">
        <v>其他达人直播</v>
      </c>
      <c r="B25" s="39" t="str">
        <v>其他直播坑位费</v>
      </c>
      <c r="C25" s="38">
        <f>VLOOKUP(B25,'收集数据表'!$A$2:$A$201,1,FALSE)</f>
      </c>
      <c r="D25" s="37" t="str">
        <v>达人直播</v>
      </c>
      <c r="E25" s="37" t="str">
        <v>服务费-其他</v>
      </c>
      <c r="F25" s="38" t="str">
        <v>服务费-其他</v>
      </c>
      <c r="G25" s="38" t="str">
        <v>是</v>
      </c>
      <c r="H25" s="38"/>
      <c r="I25" s="38"/>
      <c r="J25" s="38"/>
      <c r="K25" s="40"/>
      <c r="L25" s="38" t="str">
        <v>否</v>
      </c>
      <c r="M25" s="38" t="str">
        <v>否</v>
      </c>
      <c r="N25" s="38" t="str">
        <v>否</v>
      </c>
      <c r="O25" s="38" t="str">
        <v>否</v>
      </c>
      <c r="P25" s="38" t="str">
        <v>营销费用</v>
      </c>
      <c r="Q25" s="38" t="str">
        <v>渠道推广费</v>
      </c>
      <c r="R25" s="38" t="str">
        <v>直播坑位费</v>
      </c>
      <c r="S25" s="40" t="str">
        <v>品牌运营中心</v>
      </c>
      <c r="T25" s="40" t="str">
        <v>直播运营部</v>
      </c>
      <c r="U25" s="40" t="str">
        <v>达播BD部</v>
      </c>
      <c r="V25" s="40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</row>
    <row r="26">
      <c r="A26" s="92" t="str">
        <v>李佳琦</v>
      </c>
      <c r="B26" s="4" t="str">
        <v>天猫直播服务费-李佳琦</v>
      </c>
      <c r="C26" s="5">
        <f>VLOOKUP(B26,'收集数据表'!$A$2:$A$201,1,FALSE)</f>
      </c>
      <c r="D26" s="1" t="str">
        <v>达人直播</v>
      </c>
      <c r="E26" s="1" t="str">
        <v>佣金-佳琦</v>
      </c>
      <c r="F26" s="5" t="str">
        <v>佣金-佳琦</v>
      </c>
      <c r="G26" s="5" t="str">
        <v>是</v>
      </c>
      <c r="H26" s="5" t="str">
        <v>天猫花西子旗舰店</v>
      </c>
      <c r="I26" s="5" t="str">
        <v>天猫渠道</v>
      </c>
      <c r="J26" s="5" t="str">
        <v>天猫达播</v>
      </c>
      <c r="K26" s="3"/>
      <c r="L26" s="5" t="str">
        <v>是</v>
      </c>
      <c r="M26" s="5" t="str">
        <v>是</v>
      </c>
      <c r="N26" s="5" t="str">
        <v>否</v>
      </c>
      <c r="O26" s="5" t="str">
        <v>否</v>
      </c>
      <c r="P26" s="5" t="str">
        <v>营销费用</v>
      </c>
      <c r="Q26" s="5" t="str">
        <v>渠道推广费</v>
      </c>
      <c r="R26" s="5" t="str">
        <v>直播服务费</v>
      </c>
      <c r="S26" s="3" t="str">
        <v>品牌运营中心</v>
      </c>
      <c r="T26" s="3" t="str">
        <v>直播运营部</v>
      </c>
      <c r="U26" s="3" t="str">
        <v>达播BD部</v>
      </c>
      <c r="V26" s="3"/>
    </row>
    <row r="27">
      <c r="A27" s="92" t="str">
        <v>其他达人直播</v>
      </c>
      <c r="B27" s="4" t="str">
        <v>天猫直播服务费-其他</v>
      </c>
      <c r="C27" s="5">
        <f>VLOOKUP(B27,'收集数据表'!$A$2:$A$201,1,FALSE)</f>
      </c>
      <c r="D27" s="1" t="str">
        <v>达人直播</v>
      </c>
      <c r="E27" s="1" t="str">
        <v>佣金-淘内其他</v>
      </c>
      <c r="F27" s="5" t="str">
        <v>佣金-淘内其他</v>
      </c>
      <c r="G27" s="5" t="str">
        <v>是</v>
      </c>
      <c r="H27" s="5" t="str">
        <v>天猫花西子旗舰店</v>
      </c>
      <c r="I27" s="5" t="str">
        <v>天猫渠道</v>
      </c>
      <c r="J27" s="5" t="str">
        <v>天猫达播</v>
      </c>
      <c r="K27" s="3"/>
      <c r="L27" s="5" t="str">
        <v>是</v>
      </c>
      <c r="M27" s="5" t="str">
        <v>是</v>
      </c>
      <c r="N27" s="5" t="str">
        <v>否</v>
      </c>
      <c r="O27" s="5" t="str">
        <v>否</v>
      </c>
      <c r="P27" s="5" t="str">
        <v>营销费用</v>
      </c>
      <c r="Q27" s="5" t="str">
        <v>渠道推广费</v>
      </c>
      <c r="R27" s="5" t="str">
        <v>直播服务费</v>
      </c>
      <c r="S27" s="3" t="str">
        <v>品牌运营中心</v>
      </c>
      <c r="T27" s="3" t="str">
        <v>直播运营部</v>
      </c>
      <c r="U27" s="3" t="str">
        <v>达播BD部</v>
      </c>
      <c r="V27" s="3"/>
    </row>
    <row r="28">
      <c r="A28" s="176" t="str">
        <v>SKA达人</v>
      </c>
      <c r="B28" s="4" t="str">
        <v>天猫直播服务费-其他</v>
      </c>
      <c r="C28" s="5">
        <f>VLOOKUP(B28,'收集数据表'!$A$2:$A$201,1,FALSE)</f>
      </c>
      <c r="D28" s="1" t="str">
        <v>达人直播</v>
      </c>
      <c r="E28" s="1" t="str">
        <v>佣金-淘内其他</v>
      </c>
      <c r="F28" s="5" t="str">
        <v>佣金-淘内其他</v>
      </c>
      <c r="G28" s="5" t="str">
        <v>是</v>
      </c>
      <c r="H28" s="5" t="str">
        <v>天猫花西子旗舰店</v>
      </c>
      <c r="I28" s="5" t="str">
        <v>天猫渠道</v>
      </c>
      <c r="J28" s="5" t="str">
        <v>天猫达播</v>
      </c>
      <c r="K28" s="3"/>
      <c r="L28" s="5" t="str">
        <v>是</v>
      </c>
      <c r="M28" s="5" t="str">
        <v>是</v>
      </c>
      <c r="N28" s="5" t="str">
        <v>否</v>
      </c>
      <c r="O28" s="5" t="str">
        <v>否</v>
      </c>
      <c r="P28" s="5" t="str">
        <v>营销费用</v>
      </c>
      <c r="Q28" s="5" t="str">
        <v>渠道推广费</v>
      </c>
      <c r="R28" s="5" t="str">
        <v>直播服务费</v>
      </c>
      <c r="S28" s="3" t="str">
        <v>品牌运营中心</v>
      </c>
      <c r="T28" s="3" t="str">
        <v>直播运营部</v>
      </c>
      <c r="U28" s="3" t="str">
        <v>达播BD部</v>
      </c>
      <c r="V28" s="3"/>
    </row>
    <row r="29">
      <c r="A29" s="92" t="str">
        <v>李佳琦</v>
      </c>
      <c r="B29" s="4" t="str">
        <v>天猫直播坑位费-李佳琦</v>
      </c>
      <c r="C29" s="5">
        <f>VLOOKUP(B29,'收集数据表'!$A$2:$A$201,1,FALSE)</f>
      </c>
      <c r="D29" s="1" t="str">
        <v>达人直播</v>
      </c>
      <c r="E29" s="1" t="str">
        <v>服务费-佳琦</v>
      </c>
      <c r="F29" s="5" t="str">
        <v>服务费-佳琦</v>
      </c>
      <c r="G29" s="5" t="str">
        <v>是</v>
      </c>
      <c r="H29" s="5" t="str">
        <v>天猫花西子旗舰店</v>
      </c>
      <c r="I29" s="5" t="str">
        <v>天猫渠道</v>
      </c>
      <c r="J29" s="5" t="str">
        <v>天猫达播</v>
      </c>
      <c r="K29" s="3"/>
      <c r="L29" s="5" t="str">
        <v>否</v>
      </c>
      <c r="M29" s="5" t="str">
        <v>否</v>
      </c>
      <c r="N29" s="5" t="str">
        <v>否</v>
      </c>
      <c r="O29" s="5" t="str">
        <v>否</v>
      </c>
      <c r="P29" s="5" t="str">
        <v>营销费用</v>
      </c>
      <c r="Q29" s="5" t="str">
        <v>渠道推广费</v>
      </c>
      <c r="R29" s="5" t="str">
        <v>直播坑位费</v>
      </c>
      <c r="S29" s="3" t="str">
        <v>品牌运营中心</v>
      </c>
      <c r="T29" s="3" t="str">
        <v>直播运营部</v>
      </c>
      <c r="U29" s="3" t="str">
        <v>达播BD部</v>
      </c>
      <c r="V29" s="3"/>
    </row>
    <row r="30">
      <c r="A30" s="92" t="str">
        <v>其他达人直播</v>
      </c>
      <c r="B30" s="4" t="str">
        <v>天猫直播坑位费-其他</v>
      </c>
      <c r="C30" s="5">
        <f>VLOOKUP(B30,'收集数据表'!$A$2:$A$201,1,FALSE)</f>
      </c>
      <c r="D30" s="1" t="str">
        <v>达人直播</v>
      </c>
      <c r="E30" s="1" t="str">
        <v>服务费-淘内其他</v>
      </c>
      <c r="F30" s="5" t="str">
        <v>服务费-淘内其他</v>
      </c>
      <c r="G30" s="5" t="str">
        <v>是</v>
      </c>
      <c r="H30" s="5" t="str">
        <v>天猫花西子旗舰店</v>
      </c>
      <c r="I30" s="5" t="str">
        <v>天猫渠道</v>
      </c>
      <c r="J30" s="5" t="str">
        <v>天猫达播</v>
      </c>
      <c r="K30" s="3"/>
      <c r="L30" s="5" t="str">
        <v>否</v>
      </c>
      <c r="M30" s="5" t="str">
        <v>否</v>
      </c>
      <c r="N30" s="5" t="str">
        <v>否</v>
      </c>
      <c r="O30" s="5" t="str">
        <v>否</v>
      </c>
      <c r="P30" s="5" t="str">
        <v>营销费用</v>
      </c>
      <c r="Q30" s="5" t="str">
        <v>渠道推广费</v>
      </c>
      <c r="R30" s="5" t="str">
        <v>直播坑位费</v>
      </c>
      <c r="S30" s="3" t="str">
        <v>品牌运营中心</v>
      </c>
      <c r="T30" s="3" t="str">
        <v>直播运营部</v>
      </c>
      <c r="U30" s="3" t="str">
        <v>达播BD部</v>
      </c>
      <c r="V30" s="3"/>
    </row>
    <row r="31">
      <c r="A31" s="176" t="str">
        <v>SKA达人</v>
      </c>
      <c r="B31" s="4" t="str">
        <v>天猫直播坑位费-其他</v>
      </c>
      <c r="C31" s="5">
        <f>VLOOKUP(B31,'收集数据表'!$A$2:$A$201,1,FALSE)</f>
      </c>
      <c r="D31" s="1" t="str">
        <v>达人直播</v>
      </c>
      <c r="E31" s="1" t="str">
        <v>服务费-淘内其他</v>
      </c>
      <c r="F31" s="5" t="str">
        <v>服务费-淘内其他</v>
      </c>
      <c r="G31" s="5" t="str">
        <v>是</v>
      </c>
      <c r="H31" s="5" t="str">
        <v>天猫花西子旗舰店</v>
      </c>
      <c r="I31" s="5" t="str">
        <v>天猫渠道</v>
      </c>
      <c r="J31" s="5" t="str">
        <v>天猫达播</v>
      </c>
      <c r="K31" s="3"/>
      <c r="L31" s="5" t="str">
        <v>否</v>
      </c>
      <c r="M31" s="5" t="str">
        <v>否</v>
      </c>
      <c r="N31" s="5" t="str">
        <v>否</v>
      </c>
      <c r="O31" s="5" t="str">
        <v>否</v>
      </c>
      <c r="P31" s="5" t="str">
        <v>营销费用</v>
      </c>
      <c r="Q31" s="5" t="str">
        <v>渠道推广费</v>
      </c>
      <c r="R31" s="5" t="str">
        <v>直播坑位费</v>
      </c>
      <c r="S31" s="3" t="str">
        <v>品牌运营中心</v>
      </c>
      <c r="T31" s="3" t="str">
        <v>直播运营部</v>
      </c>
      <c r="U31" s="3" t="str">
        <v>达播BD部</v>
      </c>
      <c r="V31" s="3"/>
    </row>
    <row r="32">
      <c r="A32" s="194" t="str">
        <v>达人直播</v>
      </c>
      <c r="B32" s="192" t="str">
        <v>直播专场服务</v>
      </c>
      <c r="C32" s="38">
        <f>VLOOKUP(B32,'收集数据表'!$A$2:$A$201,1,FALSE)</f>
      </c>
      <c r="D32" s="193" t="str">
        <v>达人直播</v>
      </c>
      <c r="E32" s="193" t="str">
        <v>服务费-淘内其他</v>
      </c>
      <c r="F32" s="38" t="str">
        <v>服务费-淘内其他</v>
      </c>
      <c r="G32" s="38" t="str">
        <v>是</v>
      </c>
      <c r="H32" s="38"/>
      <c r="I32" s="38"/>
      <c r="J32" s="38"/>
      <c r="K32" s="191"/>
      <c r="L32" s="38" t="str">
        <v>否</v>
      </c>
      <c r="M32" s="38" t="str">
        <v>否</v>
      </c>
      <c r="N32" s="38" t="str">
        <v>否</v>
      </c>
      <c r="O32" s="38" t="str">
        <v>否</v>
      </c>
      <c r="P32" s="38" t="str">
        <v>营销费用</v>
      </c>
      <c r="Q32" s="38" t="str">
        <v>内容制作费</v>
      </c>
      <c r="R32" s="38" t="str">
        <v>专业人物合作费</v>
      </c>
      <c r="S32" s="191" t="str">
        <v>品牌运营中心</v>
      </c>
      <c r="T32" s="191" t="str">
        <v>直播运营部</v>
      </c>
      <c r="U32" s="191" t="str">
        <v>达播BD部</v>
      </c>
      <c r="V32" s="191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</row>
    <row r="33">
      <c r="A33" s="92" t="str">
        <v>素材创意制作</v>
      </c>
      <c r="B33" s="4" t="str">
        <v>AD竞价内容创意-场地租赁</v>
      </c>
      <c r="C33" s="5">
        <f>VLOOKUP(B33,'收集数据表'!$A$2:$A$201,1,FALSE)</f>
      </c>
      <c r="D33" s="1" t="str">
        <v>品类内容推广</v>
      </c>
      <c r="E33" s="1" t="str">
        <v>AD竞价内容创意</v>
      </c>
      <c r="F33" s="5" t="str">
        <v>AD竞价内容创意</v>
      </c>
      <c r="G33" s="5" t="str">
        <v>否</v>
      </c>
      <c r="H33" s="5"/>
      <c r="I33" s="5"/>
      <c r="J33" s="5"/>
      <c r="K33" s="3"/>
      <c r="L33" s="5" t="str">
        <v>否</v>
      </c>
      <c r="M33" s="5" t="str">
        <v>否</v>
      </c>
      <c r="N33" s="5" t="str">
        <v>是</v>
      </c>
      <c r="O33" s="5" t="str">
        <v>是</v>
      </c>
      <c r="P33" s="5" t="str">
        <v>营销费用</v>
      </c>
      <c r="Q33" s="5" t="str">
        <v>其他费用</v>
      </c>
      <c r="R33" s="5" t="str">
        <v>场地租赁费</v>
      </c>
      <c r="S33" s="3" t="str">
        <v>品牌运营中心</v>
      </c>
      <c r="T33" s="3" t="str">
        <v>市场广告推广部</v>
      </c>
      <c r="U33" s="3" t="str">
        <v>广告投放部</v>
      </c>
      <c r="V33" s="3" t="str">
        <v>内容策划组</v>
      </c>
    </row>
    <row r="34">
      <c r="A34" s="92" t="str">
        <v>素材创意制作</v>
      </c>
      <c r="B34" s="4" t="str">
        <v>AD竞价内容创意-动画制作</v>
      </c>
      <c r="C34" s="5">
        <f>VLOOKUP(B34,'收集数据表'!$A$2:$A$201,1,FALSE)</f>
      </c>
      <c r="D34" s="1" t="str">
        <v>品类内容推广</v>
      </c>
      <c r="E34" s="1" t="str">
        <v>AD竞价内容创意</v>
      </c>
      <c r="F34" s="5" t="str">
        <v>AD竞价内容创意</v>
      </c>
      <c r="G34" s="5" t="str">
        <v>否</v>
      </c>
      <c r="H34" s="5"/>
      <c r="I34" s="5"/>
      <c r="J34" s="5"/>
      <c r="K34" s="3"/>
      <c r="L34" s="5" t="str">
        <v>否</v>
      </c>
      <c r="M34" s="5" t="str">
        <v>否</v>
      </c>
      <c r="N34" s="5" t="str">
        <v>是</v>
      </c>
      <c r="O34" s="5" t="str">
        <v>是</v>
      </c>
      <c r="P34" s="5" t="str">
        <v>营销费用</v>
      </c>
      <c r="Q34" s="5" t="str">
        <v>内容制作费</v>
      </c>
      <c r="R34" s="5" t="str">
        <v>动画制作费</v>
      </c>
      <c r="S34" s="3" t="str">
        <v>品牌运营中心</v>
      </c>
      <c r="T34" s="3" t="str">
        <v>市场广告推广部</v>
      </c>
      <c r="U34" s="3" t="str">
        <v>广告投放部</v>
      </c>
      <c r="V34" s="3" t="str">
        <v>内容策划组</v>
      </c>
    </row>
    <row r="35">
      <c r="A35" s="92" t="str">
        <v>素材创意制作</v>
      </c>
      <c r="B35" s="4" t="str">
        <v>AD竞价内容创意-服化道费</v>
      </c>
      <c r="C35" s="5">
        <f>VLOOKUP(B35,'收集数据表'!$A$2:$A$201,1,FALSE)</f>
      </c>
      <c r="D35" s="1" t="str">
        <v>品类内容推广</v>
      </c>
      <c r="E35" s="1" t="str">
        <v>AD竞价内容创意</v>
      </c>
      <c r="F35" s="5" t="str">
        <v>AD竞价内容创意</v>
      </c>
      <c r="G35" s="5" t="str">
        <v>否</v>
      </c>
      <c r="H35" s="5"/>
      <c r="I35" s="5"/>
      <c r="J35" s="5"/>
      <c r="K35" s="3"/>
      <c r="L35" s="5" t="str">
        <v>否</v>
      </c>
      <c r="M35" s="5" t="str">
        <v>否</v>
      </c>
      <c r="N35" s="5" t="str">
        <v>是</v>
      </c>
      <c r="O35" s="5" t="str">
        <v>是</v>
      </c>
      <c r="P35" s="5" t="str">
        <v>营销费用</v>
      </c>
      <c r="Q35" s="5" t="str">
        <v>内容制作费</v>
      </c>
      <c r="R35" s="5" t="str">
        <v>服化道费用</v>
      </c>
      <c r="S35" s="3" t="str">
        <v>品牌运营中心</v>
      </c>
      <c r="T35" s="3" t="str">
        <v>市场广告推广部</v>
      </c>
      <c r="U35" s="3" t="str">
        <v>广告投放部</v>
      </c>
      <c r="V35" s="3" t="str">
        <v>内容策划组</v>
      </c>
    </row>
    <row r="36">
      <c r="A36" s="92" t="str">
        <v>素材创意制作</v>
      </c>
      <c r="B36" s="4" t="str">
        <v>AD竞价内容创意-建模服务</v>
      </c>
      <c r="C36" s="5">
        <f>VLOOKUP(B36,'收集数据表'!$A$2:$A$201,1,FALSE)</f>
      </c>
      <c r="D36" s="1" t="str">
        <v>品类内容推广</v>
      </c>
      <c r="E36" s="1" t="str">
        <v>AD竞价内容创意</v>
      </c>
      <c r="F36" s="5" t="str">
        <v>AD竞价内容创意</v>
      </c>
      <c r="G36" s="5" t="str">
        <v>否</v>
      </c>
      <c r="H36" s="5"/>
      <c r="I36" s="5"/>
      <c r="J36" s="5"/>
      <c r="K36" s="3"/>
      <c r="L36" s="5" t="str">
        <v>否</v>
      </c>
      <c r="M36" s="5" t="str">
        <v>否</v>
      </c>
      <c r="N36" s="5" t="str">
        <v>是</v>
      </c>
      <c r="O36" s="5" t="str">
        <v>是</v>
      </c>
      <c r="P36" s="5" t="str">
        <v>营销费用</v>
      </c>
      <c r="Q36" s="5" t="str">
        <v>内容制作费</v>
      </c>
      <c r="R36" s="5" t="str">
        <v>建模服务费</v>
      </c>
      <c r="S36" s="3" t="str">
        <v>品牌运营中心</v>
      </c>
      <c r="T36" s="3" t="str">
        <v>市场广告推广部</v>
      </c>
      <c r="U36" s="3" t="str">
        <v>广告投放部</v>
      </c>
      <c r="V36" s="3" t="str">
        <v>内容策划组</v>
      </c>
    </row>
    <row r="37">
      <c r="A37" s="92" t="str">
        <v>素材创意制作</v>
      </c>
      <c r="B37" s="4" t="str">
        <v>AD竞价内容创意-模特服务</v>
      </c>
      <c r="C37" s="5">
        <f>VLOOKUP(B37,'收集数据表'!$A$2:$A$201,1,FALSE)</f>
      </c>
      <c r="D37" s="1" t="str">
        <v>品类内容推广</v>
      </c>
      <c r="E37" s="1" t="str">
        <v>AD竞价内容创意</v>
      </c>
      <c r="F37" s="5" t="str">
        <v>AD竞价内容创意</v>
      </c>
      <c r="G37" s="5" t="str">
        <v>否</v>
      </c>
      <c r="H37" s="5"/>
      <c r="I37" s="5"/>
      <c r="J37" s="5"/>
      <c r="K37" s="3"/>
      <c r="L37" s="5" t="str">
        <v>否</v>
      </c>
      <c r="M37" s="5" t="str">
        <v>否</v>
      </c>
      <c r="N37" s="5" t="str">
        <v>是</v>
      </c>
      <c r="O37" s="5" t="str">
        <v>是</v>
      </c>
      <c r="P37" s="5" t="str">
        <v>营销费用</v>
      </c>
      <c r="Q37" s="5" t="str">
        <v>内容制作费</v>
      </c>
      <c r="R37" s="5" t="str">
        <v>模特服务费</v>
      </c>
      <c r="S37" s="3" t="str">
        <v>品牌运营中心</v>
      </c>
      <c r="T37" s="3" t="str">
        <v>市场广告推广部</v>
      </c>
      <c r="U37" s="3" t="str">
        <v>广告投放部</v>
      </c>
      <c r="V37" s="3" t="str">
        <v>内容策划组</v>
      </c>
    </row>
    <row r="38">
      <c r="A38" s="92" t="str">
        <v>素材创意制作</v>
      </c>
      <c r="B38" s="4" t="str">
        <v>AD竞价内容创意-内容制作</v>
      </c>
      <c r="C38" s="5">
        <f>VLOOKUP(B38,'收集数据表'!$A$2:$A$201,1,FALSE)</f>
      </c>
      <c r="D38" s="1" t="str">
        <v>品类内容推广</v>
      </c>
      <c r="E38" s="1" t="str">
        <v>AD竞价内容创意</v>
      </c>
      <c r="F38" s="5" t="str">
        <v>AD竞价内容创意</v>
      </c>
      <c r="G38" s="5" t="str">
        <v>否</v>
      </c>
      <c r="H38" s="5"/>
      <c r="I38" s="5"/>
      <c r="J38" s="5"/>
      <c r="K38" s="3"/>
      <c r="L38" s="5" t="str">
        <v>否</v>
      </c>
      <c r="M38" s="5" t="str">
        <v>否</v>
      </c>
      <c r="N38" s="5" t="str">
        <v>是</v>
      </c>
      <c r="O38" s="5" t="str">
        <v>是</v>
      </c>
      <c r="P38" s="5" t="str">
        <v>营销费用</v>
      </c>
      <c r="Q38" s="5" t="str">
        <v>内容制作费</v>
      </c>
      <c r="R38" s="5" t="str">
        <v>内容制作费</v>
      </c>
      <c r="S38" s="3" t="str">
        <v>品牌运营中心</v>
      </c>
      <c r="T38" s="3" t="str">
        <v>市场广告推广部</v>
      </c>
      <c r="U38" s="3" t="str">
        <v>广告投放部</v>
      </c>
      <c r="V38" s="3" t="str">
        <v>内容策划组</v>
      </c>
    </row>
    <row r="39">
      <c r="A39" s="92" t="str">
        <v>素材创意制作</v>
      </c>
      <c r="B39" s="4" t="str">
        <v>AD竞价内容创意-拍摄服务</v>
      </c>
      <c r="C39" s="5">
        <f>VLOOKUP(B39,'收集数据表'!$A$2:$A$201,1,FALSE)</f>
      </c>
      <c r="D39" s="1" t="str">
        <v>品类内容推广</v>
      </c>
      <c r="E39" s="1" t="str">
        <v>AD竞价内容创意</v>
      </c>
      <c r="F39" s="5" t="str">
        <v>AD竞价内容创意</v>
      </c>
      <c r="G39" s="5" t="str">
        <v>否</v>
      </c>
      <c r="H39" s="5"/>
      <c r="I39" s="5"/>
      <c r="J39" s="5"/>
      <c r="K39" s="3"/>
      <c r="L39" s="5" t="str">
        <v>否</v>
      </c>
      <c r="M39" s="5" t="str">
        <v>否</v>
      </c>
      <c r="N39" s="5" t="str">
        <v>是</v>
      </c>
      <c r="O39" s="5" t="str">
        <v>是</v>
      </c>
      <c r="P39" s="5" t="str">
        <v>营销费用</v>
      </c>
      <c r="Q39" s="5" t="str">
        <v>内容制作费</v>
      </c>
      <c r="R39" s="5" t="str">
        <v>拍摄服务费</v>
      </c>
      <c r="S39" s="3" t="str">
        <v>品牌运营中心</v>
      </c>
      <c r="T39" s="3" t="str">
        <v>市场广告推广部</v>
      </c>
      <c r="U39" s="3" t="str">
        <v>广告投放部</v>
      </c>
      <c r="V39" s="3" t="str">
        <v>内容策划组</v>
      </c>
    </row>
    <row r="40">
      <c r="A40" s="92" t="str">
        <v>素材创意制作</v>
      </c>
      <c r="B40" s="4" t="str">
        <v>AD竞价内容创意-拍摄物料</v>
      </c>
      <c r="C40" s="5">
        <f>VLOOKUP(B40,'收集数据表'!$A$2:$A$201,1,FALSE)</f>
      </c>
      <c r="D40" s="1" t="str">
        <v>品类内容推广</v>
      </c>
      <c r="E40" s="1" t="str">
        <v>AD竞价内容创意</v>
      </c>
      <c r="F40" s="5" t="str">
        <v>AD竞价内容创意</v>
      </c>
      <c r="G40" s="5" t="str">
        <v>否</v>
      </c>
      <c r="H40" s="5"/>
      <c r="I40" s="5"/>
      <c r="J40" s="5"/>
      <c r="K40" s="3"/>
      <c r="L40" s="5" t="str">
        <v>否</v>
      </c>
      <c r="M40" s="5" t="str">
        <v>否</v>
      </c>
      <c r="N40" s="5" t="str">
        <v>是</v>
      </c>
      <c r="O40" s="5" t="str">
        <v>是</v>
      </c>
      <c r="P40" s="5" t="str">
        <v>营销费用</v>
      </c>
      <c r="Q40" s="5" t="str">
        <v>内容制作费</v>
      </c>
      <c r="R40" s="5" t="str">
        <v>拍摄物料费</v>
      </c>
      <c r="S40" s="3" t="str">
        <v>品牌运营中心</v>
      </c>
      <c r="T40" s="3" t="str">
        <v>市场广告推广部</v>
      </c>
      <c r="U40" s="3" t="str">
        <v>广告投放部</v>
      </c>
      <c r="V40" s="3" t="str">
        <v>内容策划组</v>
      </c>
    </row>
    <row r="41">
      <c r="A41" s="92" t="str">
        <v>素材创意制作</v>
      </c>
      <c r="B41" s="4" t="str">
        <v>AD竞价内容创意-设备租赁</v>
      </c>
      <c r="C41" s="5">
        <f>VLOOKUP(B41,'收集数据表'!$A$2:$A$201,1,FALSE)</f>
      </c>
      <c r="D41" s="1" t="str">
        <v>品类内容推广</v>
      </c>
      <c r="E41" s="1" t="str">
        <v>AD竞价内容创意</v>
      </c>
      <c r="F41" s="5" t="str">
        <v>AD竞价内容创意</v>
      </c>
      <c r="G41" s="5" t="str">
        <v>否</v>
      </c>
      <c r="H41" s="5"/>
      <c r="I41" s="5"/>
      <c r="J41" s="5"/>
      <c r="K41" s="3"/>
      <c r="L41" s="5" t="str">
        <v>否</v>
      </c>
      <c r="M41" s="5" t="str">
        <v>否</v>
      </c>
      <c r="N41" s="5" t="str">
        <v>是</v>
      </c>
      <c r="O41" s="5" t="str">
        <v>是</v>
      </c>
      <c r="P41" s="5" t="str">
        <v>营销费用</v>
      </c>
      <c r="Q41" s="5" t="str">
        <v>其他费用</v>
      </c>
      <c r="R41" s="5" t="str">
        <v>设备租赁费</v>
      </c>
      <c r="S41" s="3" t="str">
        <v>品牌运营中心</v>
      </c>
      <c r="T41" s="3" t="str">
        <v>市场广告推广部</v>
      </c>
      <c r="U41" s="3" t="str">
        <v>广告投放部</v>
      </c>
      <c r="V41" s="3" t="str">
        <v>内容策划组</v>
      </c>
    </row>
    <row r="42">
      <c r="A42" s="92" t="str">
        <v>素材创意制作</v>
      </c>
      <c r="B42" s="4" t="str">
        <v>AD竞价内容创意-视频制作</v>
      </c>
      <c r="C42" s="5">
        <f>VLOOKUP(B42,'收集数据表'!$A$2:$A$201,1,FALSE)</f>
      </c>
      <c r="D42" s="1" t="str">
        <v>品类内容推广</v>
      </c>
      <c r="E42" s="1" t="str">
        <v>AD竞价内容创意</v>
      </c>
      <c r="F42" s="5" t="str">
        <v>AD竞价内容创意</v>
      </c>
      <c r="G42" s="5" t="str">
        <v>否</v>
      </c>
      <c r="H42" s="5"/>
      <c r="I42" s="5"/>
      <c r="J42" s="5"/>
      <c r="K42" s="3"/>
      <c r="L42" s="5" t="str">
        <v>否</v>
      </c>
      <c r="M42" s="5" t="str">
        <v>否</v>
      </c>
      <c r="N42" s="5" t="str">
        <v>是</v>
      </c>
      <c r="O42" s="5" t="str">
        <v>是</v>
      </c>
      <c r="P42" s="5" t="str">
        <v>营销费用</v>
      </c>
      <c r="Q42" s="5" t="str">
        <v>内容制作费</v>
      </c>
      <c r="R42" s="5" t="str">
        <v>视频制作费</v>
      </c>
      <c r="S42" s="3" t="str">
        <v>品牌运营中心</v>
      </c>
      <c r="T42" s="3" t="str">
        <v>市场广告推广部</v>
      </c>
      <c r="U42" s="3" t="str">
        <v>广告投放部</v>
      </c>
      <c r="V42" s="3" t="str">
        <v>内容策划组</v>
      </c>
    </row>
    <row r="43">
      <c r="A43" s="92" t="str">
        <v>素材创意制作</v>
      </c>
      <c r="B43" s="4" t="str">
        <v>AD竞价内容创意-图文平面制作</v>
      </c>
      <c r="C43" s="5">
        <f>VLOOKUP(B43,'收集数据表'!$A$2:$A$201,1,FALSE)</f>
      </c>
      <c r="D43" s="1" t="str">
        <v>品类内容推广</v>
      </c>
      <c r="E43" s="1" t="str">
        <v>AD竞价内容创意</v>
      </c>
      <c r="F43" s="5" t="str">
        <v>AD竞价内容创意</v>
      </c>
      <c r="G43" s="5" t="str">
        <v>否</v>
      </c>
      <c r="H43" s="5"/>
      <c r="I43" s="5"/>
      <c r="J43" s="5"/>
      <c r="K43" s="3"/>
      <c r="L43" s="5" t="str">
        <v>否</v>
      </c>
      <c r="M43" s="5" t="str">
        <v>否</v>
      </c>
      <c r="N43" s="5" t="str">
        <v>是</v>
      </c>
      <c r="O43" s="5" t="str">
        <v>是</v>
      </c>
      <c r="P43" s="5" t="str">
        <v>营销费用</v>
      </c>
      <c r="Q43" s="5" t="str">
        <v>内容制作费</v>
      </c>
      <c r="R43" s="5" t="str">
        <v>图文平面制作费</v>
      </c>
      <c r="S43" s="3" t="str">
        <v>品牌运营中心</v>
      </c>
      <c r="T43" s="3" t="str">
        <v>市场广告推广部</v>
      </c>
      <c r="U43" s="3" t="str">
        <v>广告投放部</v>
      </c>
      <c r="V43" s="3" t="str">
        <v>内容策划组</v>
      </c>
    </row>
    <row r="44">
      <c r="A44" s="92" t="str">
        <v>素材创意制作</v>
      </c>
      <c r="B44" s="4" t="str">
        <v>AD竞价内容创意-舞台场地</v>
      </c>
      <c r="C44" s="5">
        <f>VLOOKUP(B44,'收集数据表'!$A$2:$A$201,1,FALSE)</f>
      </c>
      <c r="D44" s="1" t="str">
        <v>品类内容推广</v>
      </c>
      <c r="E44" s="1" t="str">
        <v>AD竞价内容创意</v>
      </c>
      <c r="F44" s="5" t="str">
        <v>AD竞价内容创意</v>
      </c>
      <c r="G44" s="5" t="str">
        <v>否</v>
      </c>
      <c r="H44" s="5"/>
      <c r="I44" s="5"/>
      <c r="J44" s="5"/>
      <c r="K44" s="3"/>
      <c r="L44" s="5" t="str">
        <v>否</v>
      </c>
      <c r="M44" s="5" t="str">
        <v>否</v>
      </c>
      <c r="N44" s="5" t="str">
        <v>是</v>
      </c>
      <c r="O44" s="5" t="str">
        <v>是</v>
      </c>
      <c r="P44" s="5" t="str">
        <v>营销费用</v>
      </c>
      <c r="Q44" s="5" t="str">
        <v>其他费用</v>
      </c>
      <c r="R44" s="5" t="str">
        <v>舞台场地搭建费</v>
      </c>
      <c r="S44" s="3" t="str">
        <v>品牌运营中心</v>
      </c>
      <c r="T44" s="3" t="str">
        <v>市场广告推广部</v>
      </c>
      <c r="U44" s="3" t="str">
        <v>广告投放部</v>
      </c>
      <c r="V44" s="3" t="str">
        <v>内容策划组</v>
      </c>
    </row>
    <row r="45">
      <c r="A45" s="92" t="str">
        <v>素材创意制作</v>
      </c>
      <c r="B45" s="4" t="str">
        <v>AD竞价内容创意-渲染服务</v>
      </c>
      <c r="C45" s="5">
        <f>VLOOKUP(B45,'收集数据表'!$A$2:$A$201,1,FALSE)</f>
      </c>
      <c r="D45" s="1" t="str">
        <v>品类内容推广</v>
      </c>
      <c r="E45" s="1" t="str">
        <v>AD竞价内容创意</v>
      </c>
      <c r="F45" s="5" t="str">
        <v>AD竞价内容创意</v>
      </c>
      <c r="G45" s="5" t="str">
        <v>否</v>
      </c>
      <c r="H45" s="5"/>
      <c r="I45" s="5"/>
      <c r="J45" s="5"/>
      <c r="K45" s="3"/>
      <c r="L45" s="5" t="str">
        <v>否</v>
      </c>
      <c r="M45" s="5" t="str">
        <v>否</v>
      </c>
      <c r="N45" s="5" t="str">
        <v>是</v>
      </c>
      <c r="O45" s="5" t="str">
        <v>是</v>
      </c>
      <c r="P45" s="5" t="str">
        <v>营销费用</v>
      </c>
      <c r="Q45" s="5" t="str">
        <v>内容制作费</v>
      </c>
      <c r="R45" s="5" t="str">
        <v>渲染服务费</v>
      </c>
      <c r="S45" s="3" t="str">
        <v>品牌运营中心</v>
      </c>
      <c r="T45" s="3" t="str">
        <v>市场广告推广部</v>
      </c>
      <c r="U45" s="3" t="str">
        <v>广告投放部</v>
      </c>
      <c r="V45" s="3" t="str">
        <v>内容策划组</v>
      </c>
    </row>
    <row r="46">
      <c r="A46" s="92" t="str">
        <v>素材创意制作</v>
      </c>
      <c r="B46" s="4" t="str">
        <v>AD竞价内容创意-专业人物合作</v>
      </c>
      <c r="C46" s="5">
        <f>VLOOKUP(B46,'收集数据表'!$A$2:$A$201,1,FALSE)</f>
      </c>
      <c r="D46" s="1" t="str">
        <v>品类内容推广</v>
      </c>
      <c r="E46" s="1" t="str">
        <v>AD竞价内容创意</v>
      </c>
      <c r="F46" s="5" t="str">
        <v>AD竞价内容创意</v>
      </c>
      <c r="G46" s="5" t="str">
        <v>否</v>
      </c>
      <c r="H46" s="5"/>
      <c r="I46" s="5"/>
      <c r="J46" s="5"/>
      <c r="K46" s="3"/>
      <c r="L46" s="5" t="str">
        <v>否</v>
      </c>
      <c r="M46" s="5" t="str">
        <v>否</v>
      </c>
      <c r="N46" s="5" t="str">
        <v>是</v>
      </c>
      <c r="O46" s="5" t="str">
        <v>是</v>
      </c>
      <c r="P46" s="5" t="str">
        <v>营销费用</v>
      </c>
      <c r="Q46" s="5" t="str">
        <v>内容制作费</v>
      </c>
      <c r="R46" s="5" t="str">
        <v>专业人物合作费</v>
      </c>
      <c r="S46" s="3" t="str">
        <v>品牌运营中心</v>
      </c>
      <c r="T46" s="3" t="str">
        <v>市场广告推广部</v>
      </c>
      <c r="U46" s="3" t="str">
        <v>广告投放部</v>
      </c>
      <c r="V46" s="3" t="str">
        <v>内容策划组</v>
      </c>
    </row>
    <row r="47">
      <c r="A47" s="92" t="str">
        <v>内容加热</v>
      </c>
      <c r="B47" s="4" t="str">
        <v>B站起飞加热</v>
      </c>
      <c r="C47" s="5">
        <f>VLOOKUP(B47,'收集数据表'!$A$2:$A$201,1,FALSE)</f>
      </c>
      <c r="D47" s="1" t="str">
        <v>品类内容推广</v>
      </c>
      <c r="E47" s="1" t="str">
        <v>其他新媒体加热</v>
      </c>
      <c r="F47" s="5" t="str">
        <v>其他新媒体加热</v>
      </c>
      <c r="G47" s="5" t="str">
        <v>否</v>
      </c>
      <c r="H47" s="5"/>
      <c r="I47" s="5"/>
      <c r="J47" s="5"/>
      <c r="K47" s="3"/>
      <c r="L47" s="5" t="str">
        <v>否</v>
      </c>
      <c r="M47" s="5" t="str">
        <v>否</v>
      </c>
      <c r="N47" s="5" t="str">
        <v>否</v>
      </c>
      <c r="O47" s="5" t="str">
        <v>否</v>
      </c>
      <c r="P47" s="5" t="str">
        <v>营销费用</v>
      </c>
      <c r="Q47" s="5" t="str">
        <v>达人推广费</v>
      </c>
      <c r="R47" s="5" t="str">
        <v>内容推广费</v>
      </c>
      <c r="S47" s="3" t="str">
        <v>品牌运营中心</v>
      </c>
      <c r="T47" s="3" t="str">
        <v>市场广告推广部</v>
      </c>
      <c r="U47" s="3" t="str">
        <v>市场推广部</v>
      </c>
      <c r="V47" s="3" t="str">
        <v>内容投放组</v>
      </c>
    </row>
    <row r="48">
      <c r="A48" s="92" t="str">
        <v>内容加热</v>
      </c>
      <c r="B48" s="4" t="str">
        <v>DOU+</v>
      </c>
      <c r="C48" s="5">
        <f>VLOOKUP(B48,'收集数据表'!$A$2:$A$201,1,FALSE)</f>
      </c>
      <c r="D48" s="1" t="str">
        <v>品类内容推广</v>
      </c>
      <c r="E48" s="1" t="str">
        <v>内容加热</v>
      </c>
      <c r="F48" s="5" t="str">
        <v>内容加热</v>
      </c>
      <c r="G48" s="5" t="str">
        <v>否</v>
      </c>
      <c r="H48" s="5"/>
      <c r="I48" s="5"/>
      <c r="J48" s="5"/>
      <c r="K48" s="3"/>
      <c r="L48" s="5" t="str">
        <v>否</v>
      </c>
      <c r="M48" s="5" t="str">
        <v>否</v>
      </c>
      <c r="N48" s="5" t="str">
        <v>否</v>
      </c>
      <c r="O48" s="5" t="str">
        <v>否</v>
      </c>
      <c r="P48" s="5" t="str">
        <v>营销费用</v>
      </c>
      <c r="Q48" s="5" t="str">
        <v>达人推广费</v>
      </c>
      <c r="R48" s="5" t="str">
        <v>内容推广费</v>
      </c>
      <c r="S48" s="3" t="str">
        <v>品牌运营中心</v>
      </c>
      <c r="T48" s="3" t="str">
        <v>市场广告推广部</v>
      </c>
      <c r="U48" s="3" t="str">
        <v>市场推广部</v>
      </c>
      <c r="V48" s="3" t="str">
        <v>内容投放组</v>
      </c>
    </row>
    <row r="49">
      <c r="A49" s="92" t="str">
        <v>素材创意制作</v>
      </c>
      <c r="B49" s="4" t="str">
        <v>抖音视频创意-店铺-场地租赁</v>
      </c>
      <c r="C49" s="5">
        <f>VLOOKUP(B49,'收集数据表'!$A$2:$A$201,1,FALSE)</f>
      </c>
      <c r="D49" s="1" t="str">
        <v>品类内容推广</v>
      </c>
      <c r="E49" s="1" t="str">
        <v>抖音视频创意-店铺</v>
      </c>
      <c r="F49" s="5" t="str">
        <v>抖音视频创意-店铺</v>
      </c>
      <c r="G49" s="5" t="str">
        <v>是</v>
      </c>
      <c r="H49" s="5" t="str">
        <v>抖音花西子官方旗舰店</v>
      </c>
      <c r="I49" s="5" t="str">
        <v>抖音渠道</v>
      </c>
      <c r="J49" s="5" t="str">
        <v>抖音自播</v>
      </c>
      <c r="K49" s="3"/>
      <c r="L49" s="5" t="str">
        <v>否</v>
      </c>
      <c r="M49" s="5" t="str">
        <v>否</v>
      </c>
      <c r="N49" s="5" t="str">
        <v>是</v>
      </c>
      <c r="O49" s="5" t="str">
        <v>是</v>
      </c>
      <c r="P49" s="5" t="str">
        <v>营销费用</v>
      </c>
      <c r="Q49" s="5" t="str">
        <v>其他费用</v>
      </c>
      <c r="R49" s="5" t="str">
        <v>场地租赁费</v>
      </c>
      <c r="S49" s="3" t="str">
        <v>品牌运营中心</v>
      </c>
      <c r="T49" s="3" t="str">
        <v>渠道运营部</v>
      </c>
      <c r="U49" s="3" t="str">
        <v>抖音部</v>
      </c>
      <c r="V49" s="3" t="str">
        <v>内容部</v>
      </c>
    </row>
    <row r="50">
      <c r="A50" s="92" t="str">
        <v>素材创意制作</v>
      </c>
      <c r="B50" s="4" t="str">
        <v>抖音视频创意-店铺-动画制作</v>
      </c>
      <c r="C50" s="5">
        <f>VLOOKUP(B50,'收集数据表'!$A$2:$A$201,1,FALSE)</f>
      </c>
      <c r="D50" s="1" t="str">
        <v>品类内容推广</v>
      </c>
      <c r="E50" s="1" t="str">
        <v>抖音视频创意-店铺</v>
      </c>
      <c r="F50" s="5" t="str">
        <v>抖音视频创意-店铺</v>
      </c>
      <c r="G50" s="5" t="str">
        <v>是</v>
      </c>
      <c r="H50" s="5" t="str">
        <v>抖音花西子官方旗舰店</v>
      </c>
      <c r="I50" s="5" t="str">
        <v>抖音渠道</v>
      </c>
      <c r="J50" s="5" t="str">
        <v>抖音自播</v>
      </c>
      <c r="K50" s="3"/>
      <c r="L50" s="5" t="str">
        <v>否</v>
      </c>
      <c r="M50" s="5" t="str">
        <v>否</v>
      </c>
      <c r="N50" s="5" t="str">
        <v>是</v>
      </c>
      <c r="O50" s="5" t="str">
        <v>是</v>
      </c>
      <c r="P50" s="5" t="str">
        <v>营销费用</v>
      </c>
      <c r="Q50" s="5" t="str">
        <v>内容制作费</v>
      </c>
      <c r="R50" s="5" t="str">
        <v>动画制作费</v>
      </c>
      <c r="S50" s="3" t="str">
        <v>品牌运营中心</v>
      </c>
      <c r="T50" s="3" t="str">
        <v>渠道运营部</v>
      </c>
      <c r="U50" s="3" t="str">
        <v>抖音部</v>
      </c>
      <c r="V50" s="3" t="str">
        <v>内容部</v>
      </c>
    </row>
    <row r="51">
      <c r="A51" s="92" t="str">
        <v>素材创意制作</v>
      </c>
      <c r="B51" s="4" t="str">
        <v>抖音视频创意-店铺-服化道费</v>
      </c>
      <c r="C51" s="5">
        <f>VLOOKUP(B51,'收集数据表'!$A$2:$A$201,1,FALSE)</f>
      </c>
      <c r="D51" s="1" t="str">
        <v>品类内容推广</v>
      </c>
      <c r="E51" s="1" t="str">
        <v>抖音视频创意-店铺</v>
      </c>
      <c r="F51" s="5" t="str">
        <v>抖音视频创意-店铺</v>
      </c>
      <c r="G51" s="5" t="str">
        <v>是</v>
      </c>
      <c r="H51" s="5" t="str">
        <v>抖音花西子官方旗舰店</v>
      </c>
      <c r="I51" s="5" t="str">
        <v>抖音渠道</v>
      </c>
      <c r="J51" s="5" t="str">
        <v>抖音自播</v>
      </c>
      <c r="K51" s="3"/>
      <c r="L51" s="5" t="str">
        <v>否</v>
      </c>
      <c r="M51" s="5" t="str">
        <v>否</v>
      </c>
      <c r="N51" s="5" t="str">
        <v>是</v>
      </c>
      <c r="O51" s="5" t="str">
        <v>是</v>
      </c>
      <c r="P51" s="5" t="str">
        <v>营销费用</v>
      </c>
      <c r="Q51" s="5" t="str">
        <v>内容制作费</v>
      </c>
      <c r="R51" s="5" t="str">
        <v>服化道费用</v>
      </c>
      <c r="S51" s="3" t="str">
        <v>品牌运营中心</v>
      </c>
      <c r="T51" s="3" t="str">
        <v>渠道运营部</v>
      </c>
      <c r="U51" s="3" t="str">
        <v>抖音部</v>
      </c>
      <c r="V51" s="3" t="str">
        <v>内容部</v>
      </c>
    </row>
    <row r="52">
      <c r="A52" s="92" t="str">
        <v>素材创意制作</v>
      </c>
      <c r="B52" s="4" t="str">
        <v>抖音视频创意-店铺-建模服务</v>
      </c>
      <c r="C52" s="5">
        <f>VLOOKUP(B52,'收集数据表'!$A$2:$A$201,1,FALSE)</f>
      </c>
      <c r="D52" s="1" t="str">
        <v>品类内容推广</v>
      </c>
      <c r="E52" s="1" t="str">
        <v>抖音视频创意-店铺</v>
      </c>
      <c r="F52" s="5" t="str">
        <v>抖音视频创意-店铺</v>
      </c>
      <c r="G52" s="5" t="str">
        <v>是</v>
      </c>
      <c r="H52" s="5" t="str">
        <v>抖音花西子官方旗舰店</v>
      </c>
      <c r="I52" s="5" t="str">
        <v>抖音渠道</v>
      </c>
      <c r="J52" s="5" t="str">
        <v>抖音自播</v>
      </c>
      <c r="K52" s="3"/>
      <c r="L52" s="5" t="str">
        <v>否</v>
      </c>
      <c r="M52" s="5" t="str">
        <v>否</v>
      </c>
      <c r="N52" s="5" t="str">
        <v>是</v>
      </c>
      <c r="O52" s="5" t="str">
        <v>是</v>
      </c>
      <c r="P52" s="5" t="str">
        <v>营销费用</v>
      </c>
      <c r="Q52" s="5" t="str">
        <v>内容制作费</v>
      </c>
      <c r="R52" s="5" t="str">
        <v>建模服务费</v>
      </c>
      <c r="S52" s="3" t="str">
        <v>品牌运营中心</v>
      </c>
      <c r="T52" s="3" t="str">
        <v>渠道运营部</v>
      </c>
      <c r="U52" s="3" t="str">
        <v>抖音部</v>
      </c>
      <c r="V52" s="3" t="str">
        <v>内容部</v>
      </c>
    </row>
    <row r="53">
      <c r="A53" s="92" t="str">
        <v>素材创意制作</v>
      </c>
      <c r="B53" s="4" t="str">
        <v>抖音视频创意-店铺-模特服务</v>
      </c>
      <c r="C53" s="5">
        <f>VLOOKUP(B53,'收集数据表'!$A$2:$A$201,1,FALSE)</f>
      </c>
      <c r="D53" s="1" t="str">
        <v>品类内容推广</v>
      </c>
      <c r="E53" s="1" t="str">
        <v>抖音视频创意-店铺</v>
      </c>
      <c r="F53" s="5" t="str">
        <v>抖音视频创意-店铺</v>
      </c>
      <c r="G53" s="5" t="str">
        <v>是</v>
      </c>
      <c r="H53" s="5" t="str">
        <v>抖音花西子官方旗舰店</v>
      </c>
      <c r="I53" s="5" t="str">
        <v>抖音渠道</v>
      </c>
      <c r="J53" s="5" t="str">
        <v>抖音自播</v>
      </c>
      <c r="K53" s="3"/>
      <c r="L53" s="5" t="str">
        <v>否</v>
      </c>
      <c r="M53" s="5" t="str">
        <v>否</v>
      </c>
      <c r="N53" s="5" t="str">
        <v>是</v>
      </c>
      <c r="O53" s="5" t="str">
        <v>是</v>
      </c>
      <c r="P53" s="5" t="str">
        <v>营销费用</v>
      </c>
      <c r="Q53" s="5" t="str">
        <v>内容制作费</v>
      </c>
      <c r="R53" s="5" t="str">
        <v>模特服务费</v>
      </c>
      <c r="S53" s="3" t="str">
        <v>品牌运营中心</v>
      </c>
      <c r="T53" s="3" t="str">
        <v>渠道运营部</v>
      </c>
      <c r="U53" s="3" t="str">
        <v>抖音部</v>
      </c>
      <c r="V53" s="3" t="str">
        <v>内容部</v>
      </c>
    </row>
    <row r="54">
      <c r="A54" s="92" t="str">
        <v>素材创意制作</v>
      </c>
      <c r="B54" s="4" t="str">
        <v>抖音视频创意-店铺-内容制作</v>
      </c>
      <c r="C54" s="5">
        <f>VLOOKUP(B54,'收集数据表'!$A$2:$A$201,1,FALSE)</f>
      </c>
      <c r="D54" s="1" t="str">
        <v>品类内容推广</v>
      </c>
      <c r="E54" s="1" t="str">
        <v>抖音视频创意-店铺</v>
      </c>
      <c r="F54" s="5" t="str">
        <v>抖音视频创意-店铺</v>
      </c>
      <c r="G54" s="5" t="str">
        <v>是</v>
      </c>
      <c r="H54" s="5" t="str">
        <v>抖音花西子官方旗舰店</v>
      </c>
      <c r="I54" s="5" t="str">
        <v>抖音渠道</v>
      </c>
      <c r="J54" s="5" t="str">
        <v>抖音自播</v>
      </c>
      <c r="K54" s="3"/>
      <c r="L54" s="5" t="str">
        <v>否</v>
      </c>
      <c r="M54" s="5" t="str">
        <v>否</v>
      </c>
      <c r="N54" s="5" t="str">
        <v>是</v>
      </c>
      <c r="O54" s="5" t="str">
        <v>是</v>
      </c>
      <c r="P54" s="5" t="str">
        <v>营销费用</v>
      </c>
      <c r="Q54" s="5" t="str">
        <v>内容制作费</v>
      </c>
      <c r="R54" s="5" t="str">
        <v>内容制作费</v>
      </c>
      <c r="S54" s="3" t="str">
        <v>品牌运营中心</v>
      </c>
      <c r="T54" s="3" t="str">
        <v>渠道运营部</v>
      </c>
      <c r="U54" s="3" t="str">
        <v>抖音部</v>
      </c>
      <c r="V54" s="3" t="str">
        <v>内容部</v>
      </c>
    </row>
    <row r="55">
      <c r="A55" s="92" t="str">
        <v>素材创意制作</v>
      </c>
      <c r="B55" s="4" t="str">
        <v>抖音视频创意-店铺-拍摄服务</v>
      </c>
      <c r="C55" s="5">
        <f>VLOOKUP(B55,'收集数据表'!$A$2:$A$201,1,FALSE)</f>
      </c>
      <c r="D55" s="1" t="str">
        <v>品类内容推广</v>
      </c>
      <c r="E55" s="1" t="str">
        <v>抖音视频创意-店铺</v>
      </c>
      <c r="F55" s="5" t="str">
        <v>抖音视频创意-店铺</v>
      </c>
      <c r="G55" s="5" t="str">
        <v>是</v>
      </c>
      <c r="H55" s="5" t="str">
        <v>抖音花西子官方旗舰店</v>
      </c>
      <c r="I55" s="5" t="str">
        <v>抖音渠道</v>
      </c>
      <c r="J55" s="5" t="str">
        <v>抖音自播</v>
      </c>
      <c r="K55" s="3"/>
      <c r="L55" s="5" t="str">
        <v>否</v>
      </c>
      <c r="M55" s="5" t="str">
        <v>否</v>
      </c>
      <c r="N55" s="5" t="str">
        <v>是</v>
      </c>
      <c r="O55" s="5" t="str">
        <v>是</v>
      </c>
      <c r="P55" s="5" t="str">
        <v>营销费用</v>
      </c>
      <c r="Q55" s="5" t="str">
        <v>内容制作费</v>
      </c>
      <c r="R55" s="5" t="str">
        <v>拍摄服务费</v>
      </c>
      <c r="S55" s="3" t="str">
        <v>品牌运营中心</v>
      </c>
      <c r="T55" s="3" t="str">
        <v>渠道运营部</v>
      </c>
      <c r="U55" s="3" t="str">
        <v>抖音部</v>
      </c>
      <c r="V55" s="3" t="str">
        <v>内容部</v>
      </c>
    </row>
    <row r="56">
      <c r="A56" s="92" t="str">
        <v>素材创意制作</v>
      </c>
      <c r="B56" s="4" t="str">
        <v>抖音视频创意-店铺-拍摄物料</v>
      </c>
      <c r="C56" s="5">
        <f>VLOOKUP(B56,'收集数据表'!$A$2:$A$201,1,FALSE)</f>
      </c>
      <c r="D56" s="1" t="str">
        <v>品类内容推广</v>
      </c>
      <c r="E56" s="1" t="str">
        <v>抖音视频创意-店铺</v>
      </c>
      <c r="F56" s="5" t="str">
        <v>抖音视频创意-店铺</v>
      </c>
      <c r="G56" s="5" t="str">
        <v>是</v>
      </c>
      <c r="H56" s="5" t="str">
        <v>抖音花西子官方旗舰店</v>
      </c>
      <c r="I56" s="5" t="str">
        <v>抖音渠道</v>
      </c>
      <c r="J56" s="5" t="str">
        <v>抖音自播</v>
      </c>
      <c r="K56" s="3"/>
      <c r="L56" s="5" t="str">
        <v>否</v>
      </c>
      <c r="M56" s="5" t="str">
        <v>否</v>
      </c>
      <c r="N56" s="5" t="str">
        <v>是</v>
      </c>
      <c r="O56" s="5" t="str">
        <v>是</v>
      </c>
      <c r="P56" s="5" t="str">
        <v>营销费用</v>
      </c>
      <c r="Q56" s="5" t="str">
        <v>内容制作费</v>
      </c>
      <c r="R56" s="5" t="str">
        <v>拍摄物料费</v>
      </c>
      <c r="S56" s="3" t="str">
        <v>品牌运营中心</v>
      </c>
      <c r="T56" s="3" t="str">
        <v>渠道运营部</v>
      </c>
      <c r="U56" s="3" t="str">
        <v>抖音部</v>
      </c>
      <c r="V56" s="3" t="str">
        <v>内容部</v>
      </c>
    </row>
    <row r="57">
      <c r="A57" s="92" t="str">
        <v>素材创意制作</v>
      </c>
      <c r="B57" s="4" t="str">
        <v>抖音视频创意-店铺-设备租赁</v>
      </c>
      <c r="C57" s="5">
        <f>VLOOKUP(B57,'收集数据表'!$A$2:$A$201,1,FALSE)</f>
      </c>
      <c r="D57" s="1" t="str">
        <v>品类内容推广</v>
      </c>
      <c r="E57" s="1" t="str">
        <v>抖音视频创意-店铺</v>
      </c>
      <c r="F57" s="5" t="str">
        <v>抖音视频创意-店铺</v>
      </c>
      <c r="G57" s="5" t="str">
        <v>是</v>
      </c>
      <c r="H57" s="5" t="str">
        <v>抖音花西子官方旗舰店</v>
      </c>
      <c r="I57" s="5" t="str">
        <v>抖音渠道</v>
      </c>
      <c r="J57" s="5" t="str">
        <v>抖音自播</v>
      </c>
      <c r="K57" s="3"/>
      <c r="L57" s="5" t="str">
        <v>否</v>
      </c>
      <c r="M57" s="5" t="str">
        <v>否</v>
      </c>
      <c r="N57" s="5" t="str">
        <v>是</v>
      </c>
      <c r="O57" s="5" t="str">
        <v>是</v>
      </c>
      <c r="P57" s="5" t="str">
        <v>营销费用</v>
      </c>
      <c r="Q57" s="5" t="str">
        <v>其他费用</v>
      </c>
      <c r="R57" s="5" t="str">
        <v>设备租赁费</v>
      </c>
      <c r="S57" s="3" t="str">
        <v>品牌运营中心</v>
      </c>
      <c r="T57" s="3" t="str">
        <v>渠道运营部</v>
      </c>
      <c r="U57" s="3" t="str">
        <v>抖音部</v>
      </c>
      <c r="V57" s="3" t="str">
        <v>内容部</v>
      </c>
    </row>
    <row r="58">
      <c r="A58" s="92" t="str">
        <v>素材创意制作</v>
      </c>
      <c r="B58" s="4" t="str">
        <v>抖音视频创意-店铺-视频制作</v>
      </c>
      <c r="C58" s="5">
        <f>VLOOKUP(B58,'收集数据表'!$A$2:$A$201,1,FALSE)</f>
      </c>
      <c r="D58" s="1" t="str">
        <v>品类内容推广</v>
      </c>
      <c r="E58" s="1" t="str">
        <v>抖音视频创意-店铺</v>
      </c>
      <c r="F58" s="5" t="str">
        <v>抖音视频创意-店铺</v>
      </c>
      <c r="G58" s="5" t="str">
        <v>是</v>
      </c>
      <c r="H58" s="5" t="str">
        <v>抖音花西子官方旗舰店</v>
      </c>
      <c r="I58" s="5" t="str">
        <v>抖音渠道</v>
      </c>
      <c r="J58" s="5" t="str">
        <v>抖音自播</v>
      </c>
      <c r="K58" s="3"/>
      <c r="L58" s="5" t="str">
        <v>否</v>
      </c>
      <c r="M58" s="5" t="str">
        <v>否</v>
      </c>
      <c r="N58" s="5" t="str">
        <v>是</v>
      </c>
      <c r="O58" s="5" t="str">
        <v>是</v>
      </c>
      <c r="P58" s="5" t="str">
        <v>营销费用</v>
      </c>
      <c r="Q58" s="5" t="str">
        <v>内容制作费</v>
      </c>
      <c r="R58" s="5" t="str">
        <v>视频制作费</v>
      </c>
      <c r="S58" s="3" t="str">
        <v>品牌运营中心</v>
      </c>
      <c r="T58" s="3" t="str">
        <v>渠道运营部</v>
      </c>
      <c r="U58" s="3" t="str">
        <v>抖音部</v>
      </c>
      <c r="V58" s="3" t="str">
        <v>内容部</v>
      </c>
    </row>
    <row r="59">
      <c r="A59" s="92" t="str">
        <v>素材创意制作</v>
      </c>
      <c r="B59" s="4" t="str">
        <v>抖音视频创意-店铺-图文平面制作</v>
      </c>
      <c r="C59" s="5">
        <f>VLOOKUP(B59,'收集数据表'!$A$2:$A$201,1,FALSE)</f>
      </c>
      <c r="D59" s="1" t="str">
        <v>品类内容推广</v>
      </c>
      <c r="E59" s="1" t="str">
        <v>抖音视频创意-店铺</v>
      </c>
      <c r="F59" s="5" t="str">
        <v>抖音视频创意-店铺</v>
      </c>
      <c r="G59" s="5" t="str">
        <v>是</v>
      </c>
      <c r="H59" s="5" t="str">
        <v>抖音花西子官方旗舰店</v>
      </c>
      <c r="I59" s="5" t="str">
        <v>抖音渠道</v>
      </c>
      <c r="J59" s="5" t="str">
        <v>抖音自播</v>
      </c>
      <c r="K59" s="3"/>
      <c r="L59" s="5" t="str">
        <v>否</v>
      </c>
      <c r="M59" s="5" t="str">
        <v>否</v>
      </c>
      <c r="N59" s="5" t="str">
        <v>是</v>
      </c>
      <c r="O59" s="5" t="str">
        <v>是</v>
      </c>
      <c r="P59" s="5" t="str">
        <v>营销费用</v>
      </c>
      <c r="Q59" s="5" t="str">
        <v>内容制作费</v>
      </c>
      <c r="R59" s="5" t="str">
        <v>图文平面制作费</v>
      </c>
      <c r="S59" s="3" t="str">
        <v>品牌运营中心</v>
      </c>
      <c r="T59" s="3" t="str">
        <v>渠道运营部</v>
      </c>
      <c r="U59" s="3" t="str">
        <v>抖音部</v>
      </c>
      <c r="V59" s="3" t="str">
        <v>内容部</v>
      </c>
    </row>
    <row r="60">
      <c r="A60" s="92" t="str">
        <v>素材创意制作</v>
      </c>
      <c r="B60" s="4" t="str">
        <v>抖音视频创意-店铺-舞台场地搭建</v>
      </c>
      <c r="C60" s="5">
        <f>VLOOKUP(B60,'收集数据表'!$A$2:$A$201,1,FALSE)</f>
      </c>
      <c r="D60" s="1" t="str">
        <v>品类内容推广</v>
      </c>
      <c r="E60" s="1" t="str">
        <v>抖音视频创意-店铺</v>
      </c>
      <c r="F60" s="5" t="str">
        <v>抖音视频创意-店铺</v>
      </c>
      <c r="G60" s="5" t="str">
        <v>是</v>
      </c>
      <c r="H60" s="5" t="str">
        <v>抖音花西子官方旗舰店</v>
      </c>
      <c r="I60" s="5" t="str">
        <v>抖音渠道</v>
      </c>
      <c r="J60" s="5" t="str">
        <v>抖音自播</v>
      </c>
      <c r="K60" s="3"/>
      <c r="L60" s="5" t="str">
        <v>否</v>
      </c>
      <c r="M60" s="5" t="str">
        <v>否</v>
      </c>
      <c r="N60" s="5" t="str">
        <v>是</v>
      </c>
      <c r="O60" s="5" t="str">
        <v>是</v>
      </c>
      <c r="P60" s="5" t="str">
        <v>营销费用</v>
      </c>
      <c r="Q60" s="5" t="str">
        <v>其他费用</v>
      </c>
      <c r="R60" s="5" t="str">
        <v>舞台场地搭建费</v>
      </c>
      <c r="S60" s="3" t="str">
        <v>品牌运营中心</v>
      </c>
      <c r="T60" s="3" t="str">
        <v>渠道运营部</v>
      </c>
      <c r="U60" s="3" t="str">
        <v>抖音部</v>
      </c>
      <c r="V60" s="3" t="str">
        <v>内容部</v>
      </c>
    </row>
    <row r="61">
      <c r="A61" s="92" t="str">
        <v>素材创意制作</v>
      </c>
      <c r="B61" s="4" t="str">
        <v>抖音视频创意-店铺-渲染服务</v>
      </c>
      <c r="C61" s="5">
        <f>VLOOKUP(B61,'收集数据表'!$A$2:$A$201,1,FALSE)</f>
      </c>
      <c r="D61" s="1" t="str">
        <v>品类内容推广</v>
      </c>
      <c r="E61" s="1" t="str">
        <v>抖音视频创意-店铺</v>
      </c>
      <c r="F61" s="5" t="str">
        <v>抖音视频创意-店铺</v>
      </c>
      <c r="G61" s="5" t="str">
        <v>是</v>
      </c>
      <c r="H61" s="5" t="str">
        <v>抖音花西子官方旗舰店</v>
      </c>
      <c r="I61" s="5" t="str">
        <v>抖音渠道</v>
      </c>
      <c r="J61" s="5" t="str">
        <v>抖音自播</v>
      </c>
      <c r="K61" s="3"/>
      <c r="L61" s="5" t="str">
        <v>否</v>
      </c>
      <c r="M61" s="5" t="str">
        <v>否</v>
      </c>
      <c r="N61" s="5" t="str">
        <v>是</v>
      </c>
      <c r="O61" s="5" t="str">
        <v>是</v>
      </c>
      <c r="P61" s="5" t="str">
        <v>营销费用</v>
      </c>
      <c r="Q61" s="5" t="str">
        <v>内容制作费</v>
      </c>
      <c r="R61" s="5" t="str">
        <v>渲染服务费</v>
      </c>
      <c r="S61" s="3" t="str">
        <v>品牌运营中心</v>
      </c>
      <c r="T61" s="3" t="str">
        <v>渠道运营部</v>
      </c>
      <c r="U61" s="3" t="str">
        <v>抖音部</v>
      </c>
      <c r="V61" s="3" t="str">
        <v>内容部</v>
      </c>
    </row>
    <row r="62">
      <c r="A62" s="92" t="str">
        <v>素材创意制作</v>
      </c>
      <c r="B62" s="4" t="str">
        <v>抖音视频创意-店铺-专业人物合作</v>
      </c>
      <c r="C62" s="5">
        <f>VLOOKUP(B62,'收集数据表'!$A$2:$A$201,1,FALSE)</f>
      </c>
      <c r="D62" s="1" t="str">
        <v>品类内容推广</v>
      </c>
      <c r="E62" s="1" t="str">
        <v>抖音视频创意-店铺</v>
      </c>
      <c r="F62" s="5" t="str">
        <v>抖音视频创意-店铺</v>
      </c>
      <c r="G62" s="5" t="str">
        <v>是</v>
      </c>
      <c r="H62" s="5" t="str">
        <v>抖音花西子官方旗舰店</v>
      </c>
      <c r="I62" s="5" t="str">
        <v>抖音渠道</v>
      </c>
      <c r="J62" s="5" t="str">
        <v>抖音自播</v>
      </c>
      <c r="K62" s="3"/>
      <c r="L62" s="5" t="str">
        <v>否</v>
      </c>
      <c r="M62" s="5" t="str">
        <v>否</v>
      </c>
      <c r="N62" s="5" t="str">
        <v>是</v>
      </c>
      <c r="O62" s="5" t="str">
        <v>是</v>
      </c>
      <c r="P62" s="5" t="str">
        <v>营销费用</v>
      </c>
      <c r="Q62" s="5" t="str">
        <v>内容制作费</v>
      </c>
      <c r="R62" s="5" t="str">
        <v>专业人物合作费</v>
      </c>
      <c r="S62" s="3" t="str">
        <v>品牌运营中心</v>
      </c>
      <c r="T62" s="3" t="str">
        <v>渠道运营部</v>
      </c>
      <c r="U62" s="3" t="str">
        <v>抖音部</v>
      </c>
      <c r="V62" s="3" t="str">
        <v>内容部</v>
      </c>
    </row>
    <row r="63">
      <c r="A63" s="92" t="str">
        <v>素材创意制作</v>
      </c>
      <c r="B63" s="4" t="str">
        <v>抖音视频创意-矩阵号-场地租赁</v>
      </c>
      <c r="C63" s="5">
        <f>VLOOKUP(B63,'收集数据表'!$A$2:$A$201,1,FALSE)</f>
      </c>
      <c r="D63" s="1" t="str">
        <v>品类内容推广</v>
      </c>
      <c r="E63" s="1" t="str">
        <v>抖音视频创意-矩阵号</v>
      </c>
      <c r="F63" s="5" t="str">
        <v>抖音视频创意-矩阵号</v>
      </c>
      <c r="G63" s="5" t="str">
        <v>是</v>
      </c>
      <c r="H63" s="5" t="str">
        <v>抖音花西子官方旗舰店</v>
      </c>
      <c r="I63" s="5" t="str">
        <v>抖音渠道</v>
      </c>
      <c r="J63" s="5" t="str">
        <v>抖音矩阵号</v>
      </c>
      <c r="K63" s="3"/>
      <c r="L63" s="5" t="str">
        <v>否</v>
      </c>
      <c r="M63" s="5" t="str">
        <v>否</v>
      </c>
      <c r="N63" s="5" t="str">
        <v>是</v>
      </c>
      <c r="O63" s="5" t="str">
        <v>是</v>
      </c>
      <c r="P63" s="5" t="str">
        <v>营销费用</v>
      </c>
      <c r="Q63" s="5" t="str">
        <v>其他费用</v>
      </c>
      <c r="R63" s="5" t="str">
        <v>场地租赁费</v>
      </c>
      <c r="S63" s="3" t="str">
        <v>品牌运营中心</v>
      </c>
      <c r="T63" s="3" t="str">
        <v>渠道运营部</v>
      </c>
      <c r="U63" s="3" t="str">
        <v>抖音部</v>
      </c>
      <c r="V63" s="3" t="str">
        <v>矩阵部</v>
      </c>
    </row>
    <row r="64">
      <c r="A64" s="92" t="str">
        <v>素材创意制作</v>
      </c>
      <c r="B64" s="4" t="str">
        <v>抖音视频创意-矩阵号-动画制作</v>
      </c>
      <c r="C64" s="5">
        <f>VLOOKUP(B64,'收集数据表'!$A$2:$A$201,1,FALSE)</f>
      </c>
      <c r="D64" s="1" t="str">
        <v>品类内容推广</v>
      </c>
      <c r="E64" s="1" t="str">
        <v>抖音视频创意-矩阵号</v>
      </c>
      <c r="F64" s="5" t="str">
        <v>抖音视频创意-矩阵号</v>
      </c>
      <c r="G64" s="5" t="str">
        <v>是</v>
      </c>
      <c r="H64" s="5" t="str">
        <v>抖音花西子官方旗舰店</v>
      </c>
      <c r="I64" s="5" t="str">
        <v>抖音渠道</v>
      </c>
      <c r="J64" s="5" t="str">
        <v>抖音矩阵号</v>
      </c>
      <c r="K64" s="3"/>
      <c r="L64" s="5" t="str">
        <v>否</v>
      </c>
      <c r="M64" s="5" t="str">
        <v>否</v>
      </c>
      <c r="N64" s="5" t="str">
        <v>是</v>
      </c>
      <c r="O64" s="5" t="str">
        <v>是</v>
      </c>
      <c r="P64" s="5" t="str">
        <v>营销费用</v>
      </c>
      <c r="Q64" s="5" t="str">
        <v>内容制作费</v>
      </c>
      <c r="R64" s="5" t="str">
        <v>动画制作费</v>
      </c>
      <c r="S64" s="3" t="str">
        <v>品牌运营中心</v>
      </c>
      <c r="T64" s="3" t="str">
        <v>渠道运营部</v>
      </c>
      <c r="U64" s="3" t="str">
        <v>抖音部</v>
      </c>
      <c r="V64" s="3" t="str">
        <v>矩阵部</v>
      </c>
    </row>
    <row r="65">
      <c r="A65" s="92" t="str">
        <v>素材创意制作</v>
      </c>
      <c r="B65" s="4" t="str">
        <v>抖音视频创意-矩阵号-服化道费</v>
      </c>
      <c r="C65" s="5">
        <f>VLOOKUP(B65,'收集数据表'!$A$2:$A$201,1,FALSE)</f>
      </c>
      <c r="D65" s="1" t="str">
        <v>品类内容推广</v>
      </c>
      <c r="E65" s="1" t="str">
        <v>抖音视频创意-矩阵号</v>
      </c>
      <c r="F65" s="5" t="str">
        <v>抖音视频创意-矩阵号</v>
      </c>
      <c r="G65" s="5" t="str">
        <v>是</v>
      </c>
      <c r="H65" s="5" t="str">
        <v>抖音花西子官方旗舰店</v>
      </c>
      <c r="I65" s="5" t="str">
        <v>抖音渠道</v>
      </c>
      <c r="J65" s="5" t="str">
        <v>抖音矩阵号</v>
      </c>
      <c r="K65" s="3"/>
      <c r="L65" s="5" t="str">
        <v>否</v>
      </c>
      <c r="M65" s="5" t="str">
        <v>否</v>
      </c>
      <c r="N65" s="5" t="str">
        <v>是</v>
      </c>
      <c r="O65" s="5" t="str">
        <v>是</v>
      </c>
      <c r="P65" s="5" t="str">
        <v>营销费用</v>
      </c>
      <c r="Q65" s="5" t="str">
        <v>内容制作费</v>
      </c>
      <c r="R65" s="5" t="str">
        <v>服化道费用</v>
      </c>
      <c r="S65" s="3" t="str">
        <v>品牌运营中心</v>
      </c>
      <c r="T65" s="3" t="str">
        <v>渠道运营部</v>
      </c>
      <c r="U65" s="3" t="str">
        <v>抖音部</v>
      </c>
      <c r="V65" s="3" t="str">
        <v>矩阵部</v>
      </c>
    </row>
    <row r="66">
      <c r="A66" s="92" t="str">
        <v>素材创意制作</v>
      </c>
      <c r="B66" s="4" t="str">
        <v>抖音视频创意-矩阵号-建模服务</v>
      </c>
      <c r="C66" s="5">
        <f>VLOOKUP(B66,'收集数据表'!$A$2:$A$201,1,FALSE)</f>
      </c>
      <c r="D66" s="1" t="str">
        <v>品类内容推广</v>
      </c>
      <c r="E66" s="1" t="str">
        <v>抖音视频创意-矩阵号</v>
      </c>
      <c r="F66" s="5" t="str">
        <v>抖音视频创意-矩阵号</v>
      </c>
      <c r="G66" s="5" t="str">
        <v>是</v>
      </c>
      <c r="H66" s="5" t="str">
        <v>抖音花西子官方旗舰店</v>
      </c>
      <c r="I66" s="5" t="str">
        <v>抖音渠道</v>
      </c>
      <c r="J66" s="5" t="str">
        <v>抖音矩阵号</v>
      </c>
      <c r="K66" s="3"/>
      <c r="L66" s="5" t="str">
        <v>否</v>
      </c>
      <c r="M66" s="5" t="str">
        <v>否</v>
      </c>
      <c r="N66" s="5" t="str">
        <v>是</v>
      </c>
      <c r="O66" s="5" t="str">
        <v>是</v>
      </c>
      <c r="P66" s="5" t="str">
        <v>营销费用</v>
      </c>
      <c r="Q66" s="5" t="str">
        <v>内容制作费</v>
      </c>
      <c r="R66" s="5" t="str">
        <v>建模服务费</v>
      </c>
      <c r="S66" s="3" t="str">
        <v>品牌运营中心</v>
      </c>
      <c r="T66" s="3" t="str">
        <v>渠道运营部</v>
      </c>
      <c r="U66" s="3" t="str">
        <v>抖音部</v>
      </c>
      <c r="V66" s="3" t="str">
        <v>矩阵部</v>
      </c>
    </row>
    <row r="67">
      <c r="A67" s="92" t="str">
        <v>素材创意制作</v>
      </c>
      <c r="B67" s="4" t="str">
        <v>抖音视频创意-矩阵号-模特服务</v>
      </c>
      <c r="C67" s="5">
        <f>VLOOKUP(B67,'收集数据表'!$A$2:$A$201,1,FALSE)</f>
      </c>
      <c r="D67" s="1" t="str">
        <v>品类内容推广</v>
      </c>
      <c r="E67" s="1" t="str">
        <v>抖音视频创意-矩阵号</v>
      </c>
      <c r="F67" s="5" t="str">
        <v>抖音视频创意-矩阵号</v>
      </c>
      <c r="G67" s="5" t="str">
        <v>是</v>
      </c>
      <c r="H67" s="5" t="str">
        <v>抖音花西子官方旗舰店</v>
      </c>
      <c r="I67" s="5" t="str">
        <v>抖音渠道</v>
      </c>
      <c r="J67" s="5" t="str">
        <v>抖音矩阵号</v>
      </c>
      <c r="K67" s="3"/>
      <c r="L67" s="5" t="str">
        <v>否</v>
      </c>
      <c r="M67" s="5" t="str">
        <v>否</v>
      </c>
      <c r="N67" s="5" t="str">
        <v>是</v>
      </c>
      <c r="O67" s="5" t="str">
        <v>是</v>
      </c>
      <c r="P67" s="5" t="str">
        <v>营销费用</v>
      </c>
      <c r="Q67" s="5" t="str">
        <v>内容制作费</v>
      </c>
      <c r="R67" s="5" t="str">
        <v>模特服务费</v>
      </c>
      <c r="S67" s="3" t="str">
        <v>品牌运营中心</v>
      </c>
      <c r="T67" s="3" t="str">
        <v>渠道运营部</v>
      </c>
      <c r="U67" s="3" t="str">
        <v>抖音部</v>
      </c>
      <c r="V67" s="3" t="str">
        <v>矩阵部</v>
      </c>
    </row>
    <row r="68">
      <c r="A68" s="92" t="str">
        <v>素材创意制作</v>
      </c>
      <c r="B68" s="4" t="str">
        <v>抖音视频创意-矩阵号-内容制作</v>
      </c>
      <c r="C68" s="5">
        <f>VLOOKUP(B68,'收集数据表'!$A$2:$A$201,1,FALSE)</f>
      </c>
      <c r="D68" s="1" t="str">
        <v>品类内容推广</v>
      </c>
      <c r="E68" s="1" t="str">
        <v>抖音视频创意-矩阵号</v>
      </c>
      <c r="F68" s="5" t="str">
        <v>抖音视频创意-矩阵号</v>
      </c>
      <c r="G68" s="5" t="str">
        <v>是</v>
      </c>
      <c r="H68" s="5" t="str">
        <v>抖音花西子官方旗舰店</v>
      </c>
      <c r="I68" s="5" t="str">
        <v>抖音渠道</v>
      </c>
      <c r="J68" s="5" t="str">
        <v>抖音矩阵号</v>
      </c>
      <c r="K68" s="3"/>
      <c r="L68" s="5" t="str">
        <v>否</v>
      </c>
      <c r="M68" s="5" t="str">
        <v>否</v>
      </c>
      <c r="N68" s="5" t="str">
        <v>是</v>
      </c>
      <c r="O68" s="5" t="str">
        <v>是</v>
      </c>
      <c r="P68" s="5" t="str">
        <v>营销费用</v>
      </c>
      <c r="Q68" s="5" t="str">
        <v>内容制作费</v>
      </c>
      <c r="R68" s="5" t="str">
        <v>内容制作费</v>
      </c>
      <c r="S68" s="3" t="str">
        <v>品牌运营中心</v>
      </c>
      <c r="T68" s="3" t="str">
        <v>渠道运营部</v>
      </c>
      <c r="U68" s="3" t="str">
        <v>抖音部</v>
      </c>
      <c r="V68" s="3" t="str">
        <v>矩阵部</v>
      </c>
    </row>
    <row r="69">
      <c r="A69" s="92" t="str">
        <v>素材创意制作</v>
      </c>
      <c r="B69" s="4" t="str">
        <v>抖音视频创意-矩阵号-拍摄服务</v>
      </c>
      <c r="C69" s="5">
        <f>VLOOKUP(B69,'收集数据表'!$A$2:$A$201,1,FALSE)</f>
      </c>
      <c r="D69" s="1" t="str">
        <v>品类内容推广</v>
      </c>
      <c r="E69" s="1" t="str">
        <v>抖音视频创意-矩阵号</v>
      </c>
      <c r="F69" s="5" t="str">
        <v>抖音视频创意-矩阵号</v>
      </c>
      <c r="G69" s="5" t="str">
        <v>是</v>
      </c>
      <c r="H69" s="5" t="str">
        <v>抖音花西子官方旗舰店</v>
      </c>
      <c r="I69" s="5" t="str">
        <v>抖音渠道</v>
      </c>
      <c r="J69" s="5" t="str">
        <v>抖音矩阵号</v>
      </c>
      <c r="K69" s="3"/>
      <c r="L69" s="5" t="str">
        <v>否</v>
      </c>
      <c r="M69" s="5" t="str">
        <v>否</v>
      </c>
      <c r="N69" s="5" t="str">
        <v>是</v>
      </c>
      <c r="O69" s="5" t="str">
        <v>是</v>
      </c>
      <c r="P69" s="5" t="str">
        <v>营销费用</v>
      </c>
      <c r="Q69" s="5" t="str">
        <v>内容制作费</v>
      </c>
      <c r="R69" s="5" t="str">
        <v>拍摄服务费</v>
      </c>
      <c r="S69" s="3" t="str">
        <v>品牌运营中心</v>
      </c>
      <c r="T69" s="3" t="str">
        <v>渠道运营部</v>
      </c>
      <c r="U69" s="3" t="str">
        <v>抖音部</v>
      </c>
      <c r="V69" s="3" t="str">
        <v>矩阵部</v>
      </c>
    </row>
    <row r="70">
      <c r="A70" s="92" t="str">
        <v>素材创意制作</v>
      </c>
      <c r="B70" s="4" t="str">
        <v>抖音视频创意-矩阵号-拍摄物料</v>
      </c>
      <c r="C70" s="5">
        <f>VLOOKUP(B70,'收集数据表'!$A$2:$A$201,1,FALSE)</f>
      </c>
      <c r="D70" s="1" t="str">
        <v>品类内容推广</v>
      </c>
      <c r="E70" s="1" t="str">
        <v>抖音视频创意-矩阵号</v>
      </c>
      <c r="F70" s="5" t="str">
        <v>抖音视频创意-矩阵号</v>
      </c>
      <c r="G70" s="5" t="str">
        <v>是</v>
      </c>
      <c r="H70" s="5" t="str">
        <v>抖音花西子官方旗舰店</v>
      </c>
      <c r="I70" s="5" t="str">
        <v>抖音渠道</v>
      </c>
      <c r="J70" s="5" t="str">
        <v>抖音矩阵号</v>
      </c>
      <c r="K70" s="3"/>
      <c r="L70" s="5" t="str">
        <v>否</v>
      </c>
      <c r="M70" s="5" t="str">
        <v>否</v>
      </c>
      <c r="N70" s="5" t="str">
        <v>是</v>
      </c>
      <c r="O70" s="5" t="str">
        <v>是</v>
      </c>
      <c r="P70" s="5" t="str">
        <v>营销费用</v>
      </c>
      <c r="Q70" s="5" t="str">
        <v>内容制作费</v>
      </c>
      <c r="R70" s="5" t="str">
        <v>拍摄物料费</v>
      </c>
      <c r="S70" s="3" t="str">
        <v>品牌运营中心</v>
      </c>
      <c r="T70" s="3" t="str">
        <v>渠道运营部</v>
      </c>
      <c r="U70" s="3" t="str">
        <v>抖音部</v>
      </c>
      <c r="V70" s="3" t="str">
        <v>矩阵部</v>
      </c>
    </row>
    <row r="71">
      <c r="A71" s="92" t="str">
        <v>素材创意制作</v>
      </c>
      <c r="B71" s="4" t="str">
        <v>抖音视频创意-矩阵号-设备租赁</v>
      </c>
      <c r="C71" s="5">
        <f>VLOOKUP(B71,'收集数据表'!$A$2:$A$201,1,FALSE)</f>
      </c>
      <c r="D71" s="1" t="str">
        <v>品类内容推广</v>
      </c>
      <c r="E71" s="1" t="str">
        <v>抖音视频创意-矩阵号</v>
      </c>
      <c r="F71" s="5" t="str">
        <v>抖音视频创意-矩阵号</v>
      </c>
      <c r="G71" s="5" t="str">
        <v>是</v>
      </c>
      <c r="H71" s="5" t="str">
        <v>抖音花西子官方旗舰店</v>
      </c>
      <c r="I71" s="5" t="str">
        <v>抖音渠道</v>
      </c>
      <c r="J71" s="5" t="str">
        <v>抖音矩阵号</v>
      </c>
      <c r="K71" s="3"/>
      <c r="L71" s="5" t="str">
        <v>否</v>
      </c>
      <c r="M71" s="5" t="str">
        <v>否</v>
      </c>
      <c r="N71" s="5" t="str">
        <v>是</v>
      </c>
      <c r="O71" s="5" t="str">
        <v>是</v>
      </c>
      <c r="P71" s="5" t="str">
        <v>营销费用</v>
      </c>
      <c r="Q71" s="5" t="str">
        <v>其他费用</v>
      </c>
      <c r="R71" s="5" t="str">
        <v>设备租赁费</v>
      </c>
      <c r="S71" s="3" t="str">
        <v>品牌运营中心</v>
      </c>
      <c r="T71" s="3" t="str">
        <v>渠道运营部</v>
      </c>
      <c r="U71" s="3" t="str">
        <v>抖音部</v>
      </c>
      <c r="V71" s="3" t="str">
        <v>矩阵部</v>
      </c>
    </row>
    <row r="72">
      <c r="A72" s="92" t="str">
        <v>素材创意制作</v>
      </c>
      <c r="B72" s="4" t="str">
        <v>抖音视频创意-矩阵号-视频制作</v>
      </c>
      <c r="C72" s="5">
        <f>VLOOKUP(B72,'收集数据表'!$A$2:$A$201,1,FALSE)</f>
      </c>
      <c r="D72" s="1" t="str">
        <v>品类内容推广</v>
      </c>
      <c r="E72" s="1" t="str">
        <v>抖音视频创意-矩阵号</v>
      </c>
      <c r="F72" s="5" t="str">
        <v>抖音视频创意-矩阵号</v>
      </c>
      <c r="G72" s="5" t="str">
        <v>是</v>
      </c>
      <c r="H72" s="5" t="str">
        <v>抖音花西子官方旗舰店</v>
      </c>
      <c r="I72" s="5" t="str">
        <v>抖音渠道</v>
      </c>
      <c r="J72" s="5" t="str">
        <v>抖音矩阵号</v>
      </c>
      <c r="K72" s="3"/>
      <c r="L72" s="5" t="str">
        <v>否</v>
      </c>
      <c r="M72" s="5" t="str">
        <v>否</v>
      </c>
      <c r="N72" s="5" t="str">
        <v>是</v>
      </c>
      <c r="O72" s="5" t="str">
        <v>是</v>
      </c>
      <c r="P72" s="5" t="str">
        <v>营销费用</v>
      </c>
      <c r="Q72" s="5" t="str">
        <v>内容制作费</v>
      </c>
      <c r="R72" s="5" t="str">
        <v>视频制作费</v>
      </c>
      <c r="S72" s="3" t="str">
        <v>品牌运营中心</v>
      </c>
      <c r="T72" s="3" t="str">
        <v>渠道运营部</v>
      </c>
      <c r="U72" s="3" t="str">
        <v>抖音部</v>
      </c>
      <c r="V72" s="3" t="str">
        <v>矩阵部</v>
      </c>
    </row>
    <row r="73">
      <c r="A73" s="92" t="str">
        <v>素材创意制作</v>
      </c>
      <c r="B73" s="4" t="str">
        <v>抖音视频创意-矩阵号-图文平面制作</v>
      </c>
      <c r="C73" s="5">
        <f>VLOOKUP(B73,'收集数据表'!$A$2:$A$201,1,FALSE)</f>
      </c>
      <c r="D73" s="1" t="str">
        <v>品类内容推广</v>
      </c>
      <c r="E73" s="1" t="str">
        <v>抖音视频创意-矩阵号</v>
      </c>
      <c r="F73" s="5" t="str">
        <v>抖音视频创意-矩阵号</v>
      </c>
      <c r="G73" s="5" t="str">
        <v>是</v>
      </c>
      <c r="H73" s="5" t="str">
        <v>抖音花西子官方旗舰店</v>
      </c>
      <c r="I73" s="5" t="str">
        <v>抖音渠道</v>
      </c>
      <c r="J73" s="5" t="str">
        <v>抖音矩阵号</v>
      </c>
      <c r="K73" s="3"/>
      <c r="L73" s="5" t="str">
        <v>否</v>
      </c>
      <c r="M73" s="5" t="str">
        <v>否</v>
      </c>
      <c r="N73" s="5" t="str">
        <v>是</v>
      </c>
      <c r="O73" s="5" t="str">
        <v>是</v>
      </c>
      <c r="P73" s="5" t="str">
        <v>营销费用</v>
      </c>
      <c r="Q73" s="5" t="str">
        <v>内容制作费</v>
      </c>
      <c r="R73" s="5" t="str">
        <v>图文平面制作费</v>
      </c>
      <c r="S73" s="3" t="str">
        <v>品牌运营中心</v>
      </c>
      <c r="T73" s="3" t="str">
        <v>渠道运营部</v>
      </c>
      <c r="U73" s="3" t="str">
        <v>抖音部</v>
      </c>
      <c r="V73" s="3" t="str">
        <v>矩阵部</v>
      </c>
    </row>
    <row r="74">
      <c r="A74" s="92" t="str">
        <v>素材创意制作</v>
      </c>
      <c r="B74" s="4" t="str">
        <v>抖音视频创意-矩阵号-舞台场地搭建</v>
      </c>
      <c r="C74" s="5">
        <f>VLOOKUP(B74,'收集数据表'!$A$2:$A$201,1,FALSE)</f>
      </c>
      <c r="D74" s="1" t="str">
        <v>品类内容推广</v>
      </c>
      <c r="E74" s="1" t="str">
        <v>抖音视频创意-矩阵号</v>
      </c>
      <c r="F74" s="5" t="str">
        <v>抖音视频创意-矩阵号</v>
      </c>
      <c r="G74" s="5" t="str">
        <v>是</v>
      </c>
      <c r="H74" s="5" t="str">
        <v>抖音花西子官方旗舰店</v>
      </c>
      <c r="I74" s="5" t="str">
        <v>抖音渠道</v>
      </c>
      <c r="J74" s="5" t="str">
        <v>抖音矩阵号</v>
      </c>
      <c r="K74" s="3"/>
      <c r="L74" s="5" t="str">
        <v>否</v>
      </c>
      <c r="M74" s="5" t="str">
        <v>否</v>
      </c>
      <c r="N74" s="5" t="str">
        <v>是</v>
      </c>
      <c r="O74" s="5" t="str">
        <v>是</v>
      </c>
      <c r="P74" s="5" t="str">
        <v>营销费用</v>
      </c>
      <c r="Q74" s="5" t="str">
        <v>其他费用</v>
      </c>
      <c r="R74" s="5" t="str">
        <v>舞台场地搭建费</v>
      </c>
      <c r="S74" s="3" t="str">
        <v>品牌运营中心</v>
      </c>
      <c r="T74" s="3" t="str">
        <v>渠道运营部</v>
      </c>
      <c r="U74" s="3" t="str">
        <v>抖音部</v>
      </c>
      <c r="V74" s="3" t="str">
        <v>矩阵部</v>
      </c>
    </row>
    <row r="75">
      <c r="A75" s="92" t="str">
        <v>素材创意制作</v>
      </c>
      <c r="B75" s="4" t="str">
        <v>抖音视频创意-矩阵号-渲染服务</v>
      </c>
      <c r="C75" s="5">
        <f>VLOOKUP(B75,'收集数据表'!$A$2:$A$201,1,FALSE)</f>
      </c>
      <c r="D75" s="1" t="str">
        <v>品类内容推广</v>
      </c>
      <c r="E75" s="1" t="str">
        <v>抖音视频创意-矩阵号</v>
      </c>
      <c r="F75" s="5" t="str">
        <v>抖音视频创意-矩阵号</v>
      </c>
      <c r="G75" s="5" t="str">
        <v>是</v>
      </c>
      <c r="H75" s="5" t="str">
        <v>抖音花西子官方旗舰店</v>
      </c>
      <c r="I75" s="5" t="str">
        <v>抖音渠道</v>
      </c>
      <c r="J75" s="5" t="str">
        <v>抖音矩阵号</v>
      </c>
      <c r="K75" s="3"/>
      <c r="L75" s="5" t="str">
        <v>否</v>
      </c>
      <c r="M75" s="5" t="str">
        <v>否</v>
      </c>
      <c r="N75" s="5" t="str">
        <v>是</v>
      </c>
      <c r="O75" s="5" t="str">
        <v>是</v>
      </c>
      <c r="P75" s="5" t="str">
        <v>营销费用</v>
      </c>
      <c r="Q75" s="5" t="str">
        <v>内容制作费</v>
      </c>
      <c r="R75" s="5" t="str">
        <v>渲染服务费</v>
      </c>
      <c r="S75" s="3" t="str">
        <v>品牌运营中心</v>
      </c>
      <c r="T75" s="3" t="str">
        <v>渠道运营部</v>
      </c>
      <c r="U75" s="3" t="str">
        <v>抖音部</v>
      </c>
      <c r="V75" s="3" t="str">
        <v>矩阵部</v>
      </c>
    </row>
    <row r="76">
      <c r="A76" s="92" t="str">
        <v>素材创意制作</v>
      </c>
      <c r="B76" s="4" t="str">
        <v>抖音视频创意-矩阵号-专业人物合作</v>
      </c>
      <c r="C76" s="5">
        <f>VLOOKUP(B76,'收集数据表'!$A$2:$A$201,1,FALSE)</f>
      </c>
      <c r="D76" s="1" t="str">
        <v>品类内容推广</v>
      </c>
      <c r="E76" s="1" t="str">
        <v>抖音视频创意-矩阵号</v>
      </c>
      <c r="F76" s="5" t="str">
        <v>抖音视频创意-矩阵号</v>
      </c>
      <c r="G76" s="5" t="str">
        <v>是</v>
      </c>
      <c r="H76" s="5" t="str">
        <v>抖音花西子官方旗舰店</v>
      </c>
      <c r="I76" s="5" t="str">
        <v>抖音渠道</v>
      </c>
      <c r="J76" s="5" t="str">
        <v>抖音矩阵号</v>
      </c>
      <c r="K76" s="3"/>
      <c r="L76" s="5" t="str">
        <v>否</v>
      </c>
      <c r="M76" s="5" t="str">
        <v>否</v>
      </c>
      <c r="N76" s="5" t="str">
        <v>是</v>
      </c>
      <c r="O76" s="5" t="str">
        <v>是</v>
      </c>
      <c r="P76" s="5" t="str">
        <v>营销费用</v>
      </c>
      <c r="Q76" s="5" t="str">
        <v>内容制作费</v>
      </c>
      <c r="R76" s="5" t="str">
        <v>专业人物合作费</v>
      </c>
      <c r="S76" s="3" t="str">
        <v>品牌运营中心</v>
      </c>
      <c r="T76" s="3" t="str">
        <v>渠道运营部</v>
      </c>
      <c r="U76" s="3" t="str">
        <v>抖音部</v>
      </c>
      <c r="V76" s="3" t="str">
        <v>矩阵部</v>
      </c>
    </row>
    <row r="77">
      <c r="A77" s="92" t="str">
        <v>内容加热</v>
      </c>
      <c r="B77" s="4" t="str">
        <v>粉丝通</v>
      </c>
      <c r="C77" s="5">
        <f>VLOOKUP(B77,'收集数据表'!$A$2:$A$201,1,FALSE)</f>
      </c>
      <c r="D77" s="1" t="str">
        <v>品类内容推广</v>
      </c>
      <c r="E77" s="1" t="str">
        <v>其他新媒体加热</v>
      </c>
      <c r="F77" s="5" t="str">
        <v>其他新媒体加热</v>
      </c>
      <c r="G77" s="5" t="str">
        <v>否</v>
      </c>
      <c r="H77" s="5"/>
      <c r="I77" s="5"/>
      <c r="J77" s="5"/>
      <c r="K77" s="3"/>
      <c r="L77" s="5" t="str">
        <v>否</v>
      </c>
      <c r="M77" s="5" t="str">
        <v>否</v>
      </c>
      <c r="N77" s="5" t="str">
        <v>否</v>
      </c>
      <c r="O77" s="5" t="str">
        <v>否</v>
      </c>
      <c r="P77" s="5" t="str">
        <v>营销费用</v>
      </c>
      <c r="Q77" s="5" t="str">
        <v>达人推广费</v>
      </c>
      <c r="R77" s="5" t="str">
        <v>内容推广费</v>
      </c>
      <c r="S77" s="3" t="str">
        <v>品牌运营中心</v>
      </c>
      <c r="T77" s="3" t="str">
        <v>市场广告推广部</v>
      </c>
      <c r="U77" s="3" t="str">
        <v>市场推广部</v>
      </c>
      <c r="V77" s="3" t="str">
        <v>内容投放组</v>
      </c>
    </row>
    <row r="78">
      <c r="A78" s="92" t="str">
        <v>内容加热</v>
      </c>
      <c r="B78" s="4" t="str">
        <v>矩阵号DOU+</v>
      </c>
      <c r="C78" s="5">
        <f>VLOOKUP(B78,'收集数据表'!$A$2:$A$201,1,FALSE)</f>
      </c>
      <c r="D78" s="1" t="str">
        <v>品类内容推广</v>
      </c>
      <c r="E78" s="1" t="str">
        <v>抖音矩阵号渠道推广</v>
      </c>
      <c r="F78" s="5" t="str">
        <v>抖音矩阵号渠道推广</v>
      </c>
      <c r="G78" s="5" t="str">
        <v>是</v>
      </c>
      <c r="H78" s="5" t="str">
        <v>抖音花西子官方旗舰店</v>
      </c>
      <c r="I78" s="5" t="str">
        <v>抖音渠道</v>
      </c>
      <c r="J78" s="5" t="str">
        <v>抖音矩阵号</v>
      </c>
      <c r="K78" s="3"/>
      <c r="L78" s="5" t="str">
        <v>否</v>
      </c>
      <c r="M78" s="5" t="str">
        <v>否</v>
      </c>
      <c r="N78" s="5" t="str">
        <v>否</v>
      </c>
      <c r="O78" s="5" t="str">
        <v>否</v>
      </c>
      <c r="P78" s="5" t="str">
        <v>营销费用</v>
      </c>
      <c r="Q78" s="5" t="str">
        <v>达人推广费</v>
      </c>
      <c r="R78" s="5" t="str">
        <v>内容推广费</v>
      </c>
      <c r="S78" s="3" t="str">
        <v>品牌运营中心</v>
      </c>
      <c r="T78" s="3" t="str">
        <v>渠道运营部</v>
      </c>
      <c r="U78" s="3" t="str">
        <v>抖音部</v>
      </c>
      <c r="V78" s="3" t="str">
        <v>矩阵部</v>
      </c>
    </row>
    <row r="79">
      <c r="A79" s="92" t="str">
        <v>内容加热</v>
      </c>
      <c r="B79" s="4" t="str">
        <v>快手作品推荐</v>
      </c>
      <c r="C79" s="5">
        <f>VLOOKUP(B79,'收集数据表'!$A$2:$A$201,1,FALSE)</f>
      </c>
      <c r="D79" s="1" t="str">
        <v>品类内容推广</v>
      </c>
      <c r="E79" s="1" t="str">
        <v>内容加热</v>
      </c>
      <c r="F79" s="5" t="str">
        <v>内容加热</v>
      </c>
      <c r="G79" s="5" t="str">
        <v>否</v>
      </c>
      <c r="H79" s="5"/>
      <c r="I79" s="5"/>
      <c r="J79" s="5"/>
      <c r="K79" s="3"/>
      <c r="L79" s="5" t="str">
        <v>否</v>
      </c>
      <c r="M79" s="5" t="str">
        <v>否</v>
      </c>
      <c r="N79" s="5" t="str">
        <v>否</v>
      </c>
      <c r="O79" s="5" t="str">
        <v>否</v>
      </c>
      <c r="P79" s="5" t="str">
        <v>营销费用</v>
      </c>
      <c r="Q79" s="5" t="str">
        <v>达人推广费</v>
      </c>
      <c r="R79" s="5" t="str">
        <v>内容推广费</v>
      </c>
      <c r="S79" s="3" t="str">
        <v>品牌运营中心</v>
      </c>
      <c r="T79" s="3" t="str">
        <v>市场广告推广部</v>
      </c>
      <c r="U79" s="3" t="str">
        <v>市场推广部</v>
      </c>
      <c r="V79" s="3" t="str">
        <v>内容投放组</v>
      </c>
    </row>
    <row r="80">
      <c r="A80" s="92" t="str">
        <v>内容加热</v>
      </c>
      <c r="B80" s="4" t="str">
        <v>内容服务</v>
      </c>
      <c r="C80" s="5">
        <f>VLOOKUP(B80,'收集数据表'!$A$2:$A$201,1,FALSE)</f>
      </c>
      <c r="D80" s="1" t="str">
        <v>品类内容推广</v>
      </c>
      <c r="E80" s="1" t="str">
        <v>内容加热</v>
      </c>
      <c r="F80" s="5" t="str">
        <v>内容加热</v>
      </c>
      <c r="G80" s="5" t="str">
        <v>否</v>
      </c>
      <c r="H80" s="5"/>
      <c r="I80" s="5"/>
      <c r="J80" s="5"/>
      <c r="K80" s="3"/>
      <c r="L80" s="5" t="str">
        <v>否</v>
      </c>
      <c r="M80" s="5" t="str">
        <v>否</v>
      </c>
      <c r="N80" s="5" t="str">
        <v>否</v>
      </c>
      <c r="O80" s="5" t="str">
        <v>否</v>
      </c>
      <c r="P80" s="5" t="str">
        <v>营销费用</v>
      </c>
      <c r="Q80" s="5" t="str">
        <v>达人推广费</v>
      </c>
      <c r="R80" s="5" t="str">
        <v>内容推广费</v>
      </c>
      <c r="S80" s="3" t="str">
        <v>品牌运营中心</v>
      </c>
      <c r="T80" s="3" t="str">
        <v>市场广告推广部</v>
      </c>
      <c r="U80" s="3" t="str">
        <v>市场推广部</v>
      </c>
      <c r="V80" s="3" t="str">
        <v>内容投放组</v>
      </c>
    </row>
    <row r="81">
      <c r="A81" s="92" t="str">
        <v>内容加热</v>
      </c>
      <c r="B81" s="4" t="str">
        <v>内容热推</v>
      </c>
      <c r="C81" s="5">
        <f>VLOOKUP(B81,'收集数据表'!$A$2:$A$201,1,FALSE)</f>
      </c>
      <c r="D81" s="1" t="str">
        <v>品类内容推广</v>
      </c>
      <c r="E81" s="1" t="str">
        <v>内容加热</v>
      </c>
      <c r="F81" s="5" t="str">
        <v>内容加热</v>
      </c>
      <c r="G81" s="5" t="str">
        <v>否</v>
      </c>
      <c r="H81" s="5"/>
      <c r="I81" s="5"/>
      <c r="J81" s="5"/>
      <c r="K81" s="3"/>
      <c r="L81" s="5" t="str">
        <v>否</v>
      </c>
      <c r="M81" s="5" t="str">
        <v>否</v>
      </c>
      <c r="N81" s="5" t="str">
        <v>否</v>
      </c>
      <c r="O81" s="5" t="str">
        <v>否</v>
      </c>
      <c r="P81" s="5" t="str">
        <v>营销费用</v>
      </c>
      <c r="Q81" s="5" t="str">
        <v>达人推广费</v>
      </c>
      <c r="R81" s="5" t="str">
        <v>内容推广费</v>
      </c>
      <c r="S81" s="3" t="str">
        <v>品牌运营中心</v>
      </c>
      <c r="T81" s="3" t="str">
        <v>市场广告推广部</v>
      </c>
      <c r="U81" s="3" t="str">
        <v>市场推广部</v>
      </c>
      <c r="V81" s="3" t="str">
        <v>内容投放组</v>
      </c>
    </row>
    <row r="82">
      <c r="A82" s="92" t="str">
        <v>素材创意制作</v>
      </c>
      <c r="B82" s="4" t="str">
        <v>天猫淘内内容</v>
      </c>
      <c r="C82" s="5">
        <f>VLOOKUP(B82,'收集数据表'!$A$2:$A$201,1,FALSE)</f>
      </c>
      <c r="D82" s="1" t="str">
        <v>品类内容推广</v>
      </c>
      <c r="E82" s="1" t="str">
        <v>天猫淘内内容</v>
      </c>
      <c r="F82" s="5" t="str">
        <v>天猫淘内内容</v>
      </c>
      <c r="G82" s="5" t="str">
        <v>是</v>
      </c>
      <c r="H82" s="5" t="str">
        <v>天猫花西子旗舰店</v>
      </c>
      <c r="I82" s="5" t="str">
        <v>天猫渠道</v>
      </c>
      <c r="J82" s="5" t="str">
        <v>天猫货架</v>
      </c>
      <c r="K82" s="3"/>
      <c r="L82" s="5" t="str">
        <v>否</v>
      </c>
      <c r="M82" s="5" t="str">
        <v>否</v>
      </c>
      <c r="N82" s="5" t="str">
        <v>否</v>
      </c>
      <c r="O82" s="5" t="str">
        <v>否</v>
      </c>
      <c r="P82" s="5" t="str">
        <v>营销费用</v>
      </c>
      <c r="Q82" s="5" t="str">
        <v>内容制作费</v>
      </c>
      <c r="R82" s="5" t="str">
        <v>视频制作费</v>
      </c>
      <c r="S82" s="3" t="str">
        <v>品牌运营中心</v>
      </c>
      <c r="T82" s="3" t="str">
        <v>直播运营部</v>
      </c>
      <c r="U82" s="3" t="str">
        <v>达播BD部</v>
      </c>
      <c r="V82" s="3"/>
    </row>
    <row r="83">
      <c r="A83" s="92" t="str">
        <v>内容加热</v>
      </c>
      <c r="B83" s="4" t="str">
        <v>微博粉条</v>
      </c>
      <c r="C83" s="5">
        <f>VLOOKUP(B83,'收集数据表'!$A$2:$A$201,1,FALSE)</f>
      </c>
      <c r="D83" s="1" t="str">
        <v>品类内容推广</v>
      </c>
      <c r="E83" s="1" t="str">
        <v>其他新媒体加热</v>
      </c>
      <c r="F83" s="5" t="str">
        <v>其他新媒体加热</v>
      </c>
      <c r="G83" s="5" t="str">
        <v>否</v>
      </c>
      <c r="H83" s="5"/>
      <c r="I83" s="5"/>
      <c r="J83" s="5"/>
      <c r="K83" s="3"/>
      <c r="L83" s="5" t="str">
        <v>否</v>
      </c>
      <c r="M83" s="5" t="str">
        <v>否</v>
      </c>
      <c r="N83" s="5" t="str">
        <v>否</v>
      </c>
      <c r="O83" s="5" t="str">
        <v>否</v>
      </c>
      <c r="P83" s="5" t="str">
        <v>营销费用</v>
      </c>
      <c r="Q83" s="5" t="str">
        <v>达人推广费</v>
      </c>
      <c r="R83" s="5" t="str">
        <v>内容推广费</v>
      </c>
      <c r="S83" s="3" t="str">
        <v>品牌运营中心</v>
      </c>
      <c r="T83" s="3" t="str">
        <v>市场广告推广部</v>
      </c>
      <c r="U83" s="3" t="str">
        <v>市场推广部</v>
      </c>
      <c r="V83" s="3" t="str">
        <v>内容投放组</v>
      </c>
    </row>
    <row r="84">
      <c r="A84" s="92" t="str">
        <v>内容加热</v>
      </c>
      <c r="B84" s="4" t="str">
        <v>微博搜索</v>
      </c>
      <c r="C84" s="5">
        <f>VLOOKUP(B84,'收集数据表'!$A$2:$A$201,1,FALSE)</f>
      </c>
      <c r="D84" s="1" t="str">
        <v>品类内容推广</v>
      </c>
      <c r="E84" s="1" t="str">
        <v>其他新媒体加热</v>
      </c>
      <c r="F84" s="5" t="str">
        <v>其他新媒体加热</v>
      </c>
      <c r="G84" s="5" t="str">
        <v>否</v>
      </c>
      <c r="H84" s="5"/>
      <c r="I84" s="5"/>
      <c r="J84" s="5"/>
      <c r="K84" s="3"/>
      <c r="L84" s="5" t="str">
        <v>否</v>
      </c>
      <c r="M84" s="5" t="str">
        <v>否</v>
      </c>
      <c r="N84" s="5" t="str">
        <v>否</v>
      </c>
      <c r="O84" s="5" t="str">
        <v>否</v>
      </c>
      <c r="P84" s="5" t="str">
        <v>营销费用</v>
      </c>
      <c r="Q84" s="5" t="str">
        <v>达人推广费</v>
      </c>
      <c r="R84" s="5" t="str">
        <v>内容推广费</v>
      </c>
      <c r="S84" s="3" t="str">
        <v>品牌运营中心</v>
      </c>
      <c r="T84" s="3" t="str">
        <v>市场广告推广部</v>
      </c>
      <c r="U84" s="3" t="str">
        <v>市场推广部</v>
      </c>
      <c r="V84" s="3" t="str">
        <v>内容投放组</v>
      </c>
    </row>
    <row r="85">
      <c r="A85" s="92" t="str">
        <v>内容加热</v>
      </c>
      <c r="B85" s="4" t="str">
        <v>小红书加热</v>
      </c>
      <c r="C85" s="5">
        <f>VLOOKUP(B85,'收集数据表'!$A$2:$A$201,1,FALSE)</f>
      </c>
      <c r="D85" s="1" t="str">
        <v>品类内容推广</v>
      </c>
      <c r="E85" s="1" t="str">
        <v>其他新媒体加热</v>
      </c>
      <c r="F85" s="5" t="str">
        <v>其他新媒体加热</v>
      </c>
      <c r="G85" s="5" t="str">
        <v>否</v>
      </c>
      <c r="H85" s="5"/>
      <c r="I85" s="5"/>
      <c r="J85" s="5"/>
      <c r="K85" s="3"/>
      <c r="L85" s="5" t="str">
        <v>否</v>
      </c>
      <c r="M85" s="5" t="str">
        <v>否</v>
      </c>
      <c r="N85" s="5" t="str">
        <v>否</v>
      </c>
      <c r="O85" s="5" t="str">
        <v>否</v>
      </c>
      <c r="P85" s="5" t="str">
        <v>营销费用</v>
      </c>
      <c r="Q85" s="5" t="str">
        <v>达人推广费</v>
      </c>
      <c r="R85" s="5" t="str">
        <v>内容推广费</v>
      </c>
      <c r="S85" s="3" t="str">
        <v>品牌运营中心</v>
      </c>
      <c r="T85" s="3" t="str">
        <v>市场广告推广部</v>
      </c>
      <c r="U85" s="3" t="str">
        <v>市场推广部</v>
      </c>
      <c r="V85" s="3" t="str">
        <v>内容投放组</v>
      </c>
    </row>
    <row r="86">
      <c r="A86" s="92" t="str">
        <v>内容加热</v>
      </c>
      <c r="B86" s="4" t="str">
        <v>星聚力</v>
      </c>
      <c r="C86" s="5">
        <f>VLOOKUP(B86,'收集数据表'!$A$2:$A$201,1,FALSE)</f>
      </c>
      <c r="D86" s="1" t="str">
        <v>品类内容推广</v>
      </c>
      <c r="E86" s="1" t="str">
        <v>内容加热</v>
      </c>
      <c r="F86" s="5" t="str">
        <v>内容加热</v>
      </c>
      <c r="G86" s="5" t="str">
        <v>否</v>
      </c>
      <c r="H86" s="5"/>
      <c r="I86" s="5"/>
      <c r="J86" s="5"/>
      <c r="K86" s="3"/>
      <c r="L86" s="5" t="str">
        <v>否</v>
      </c>
      <c r="M86" s="5" t="str">
        <v>否</v>
      </c>
      <c r="N86" s="5" t="str">
        <v>否</v>
      </c>
      <c r="O86" s="5" t="str">
        <v>否</v>
      </c>
      <c r="P86" s="5" t="str">
        <v>营销费用</v>
      </c>
      <c r="Q86" s="5" t="str">
        <v>达人推广费</v>
      </c>
      <c r="R86" s="5" t="str">
        <v>内容推广费</v>
      </c>
      <c r="S86" s="3" t="str">
        <v>品牌运营中心</v>
      </c>
      <c r="T86" s="3" t="str">
        <v>市场广告推广部</v>
      </c>
      <c r="U86" s="3" t="str">
        <v>市场推广部</v>
      </c>
      <c r="V86" s="3" t="str">
        <v>内容投放组</v>
      </c>
    </row>
    <row r="87">
      <c r="A87" s="92" t="str">
        <v>素材创意制作</v>
      </c>
      <c r="B87" s="4" t="str">
        <v>虚拟IP</v>
      </c>
      <c r="C87" s="5">
        <f>VLOOKUP(B87,'收集数据表'!$A$2:$A$201,1,FALSE)</f>
      </c>
      <c r="D87" s="1" t="str">
        <v>品类内容推广</v>
      </c>
      <c r="E87" s="180" t="str">
        <v>虚拟IP &amp;直播间视觉设计</v>
      </c>
      <c r="F87" s="5" t="str" xml:space="preserve">
        <v>虚拟IP &amp;直播间视觉设计 </v>
      </c>
      <c r="G87" s="5" t="str">
        <v>否</v>
      </c>
      <c r="H87" s="5"/>
      <c r="I87" s="5"/>
      <c r="J87" s="5"/>
      <c r="K87" s="3"/>
      <c r="L87" s="5" t="str">
        <v>否</v>
      </c>
      <c r="M87" s="5" t="str">
        <v>否</v>
      </c>
      <c r="N87" s="5" t="str">
        <v>否</v>
      </c>
      <c r="O87" s="5" t="str">
        <v>否</v>
      </c>
      <c r="P87" s="5" t="str">
        <v>营销费用</v>
      </c>
      <c r="Q87" s="5" t="str">
        <v>内容制作费</v>
      </c>
      <c r="R87" s="5" t="str">
        <v>视频制作费</v>
      </c>
      <c r="S87" s="3" t="str">
        <v>品牌运营中心</v>
      </c>
      <c r="T87" s="3" t="str">
        <v>渠道运营部</v>
      </c>
      <c r="U87" s="3" t="str">
        <v>抖音部</v>
      </c>
      <c r="V87" s="3" t="str">
        <v>内容部</v>
      </c>
    </row>
    <row r="88">
      <c r="A88" s="92" t="str">
        <v>素材创意制作</v>
      </c>
      <c r="B88" s="4" t="str">
        <v>直播间视觉设计费</v>
      </c>
      <c r="C88" s="5">
        <f>VLOOKUP(B88,'收集数据表'!$A$2:$A$201,1,FALSE)</f>
      </c>
      <c r="D88" s="1" t="str">
        <v>品类内容推广</v>
      </c>
      <c r="E88" s="180" t="str">
        <v>虚拟IP &amp;直播间视觉设计</v>
      </c>
      <c r="F88" s="5" t="str" xml:space="preserve">
        <v>虚拟IP &amp;直播间视觉设计 </v>
      </c>
      <c r="G88" s="5" t="str">
        <v>否</v>
      </c>
      <c r="H88" s="5"/>
      <c r="I88" s="5"/>
      <c r="J88" s="5"/>
      <c r="K88" s="3"/>
      <c r="L88" s="5" t="str">
        <v>否</v>
      </c>
      <c r="M88" s="5" t="str">
        <v>否</v>
      </c>
      <c r="N88" s="5" t="str">
        <v>否</v>
      </c>
      <c r="O88" s="5" t="str">
        <v>否</v>
      </c>
      <c r="P88" s="5" t="str">
        <v>营销费用</v>
      </c>
      <c r="Q88" s="5" t="str">
        <v>内容制作费</v>
      </c>
      <c r="R88" s="5" t="str">
        <v>视觉设计费</v>
      </c>
      <c r="S88" s="3" t="str">
        <v>品牌运营中心</v>
      </c>
      <c r="T88" s="3" t="str">
        <v>渠道运营部</v>
      </c>
      <c r="U88" s="3" t="str">
        <v>抖音部</v>
      </c>
      <c r="V88" s="3" t="str">
        <v>内容部</v>
      </c>
    </row>
    <row r="89">
      <c r="A89" s="92" t="str">
        <v>线上品宣</v>
      </c>
      <c r="B89" s="4" t="str">
        <v>OTT广告</v>
      </c>
      <c r="C89" s="5">
        <f>VLOOKUP(B89,'收集数据表'!$A$2:$A$201,1,FALSE)</f>
      </c>
      <c r="D89" s="1" t="str">
        <v>品牌媒介</v>
      </c>
      <c r="E89" s="1" t="str">
        <v>线上品宣媒介</v>
      </c>
      <c r="F89" s="5" t="str">
        <v>线上品宣媒介</v>
      </c>
      <c r="G89" s="5" t="str">
        <v>否</v>
      </c>
      <c r="H89" s="5"/>
      <c r="I89" s="5"/>
      <c r="J89" s="5"/>
      <c r="K89" s="3"/>
      <c r="L89" s="5" t="str">
        <v>否</v>
      </c>
      <c r="M89" s="5" t="str">
        <v>否</v>
      </c>
      <c r="N89" s="5" t="str">
        <v>否</v>
      </c>
      <c r="O89" s="5" t="str">
        <v>否</v>
      </c>
      <c r="P89" s="5" t="str">
        <v>营销费用</v>
      </c>
      <c r="Q89" s="5" t="str">
        <v>媒介宣传费</v>
      </c>
      <c r="R89" s="5" t="str">
        <v>线上媒介费</v>
      </c>
      <c r="S89" s="3" t="str">
        <v>品牌运营中心</v>
      </c>
      <c r="T89" s="3" t="str">
        <v>市场广告推广部</v>
      </c>
      <c r="U89" s="3" t="str">
        <v>广告投放部</v>
      </c>
      <c r="V89" s="3" t="str">
        <v>媒介部</v>
      </c>
    </row>
    <row r="90">
      <c r="A90" s="92" t="str">
        <v>线上品宣</v>
      </c>
      <c r="B90" s="4" t="str">
        <v>OTV广告</v>
      </c>
      <c r="C90" s="5">
        <f>VLOOKUP(B90,'收集数据表'!$A$2:$A$201,1,FALSE)</f>
      </c>
      <c r="D90" s="1" t="str">
        <v>品牌媒介</v>
      </c>
      <c r="E90" s="1" t="str">
        <v>线上品宣媒介</v>
      </c>
      <c r="F90" s="5" t="str">
        <v>线上品宣媒介</v>
      </c>
      <c r="G90" s="5" t="str">
        <v>否</v>
      </c>
      <c r="H90" s="5"/>
      <c r="I90" s="5"/>
      <c r="J90" s="5"/>
      <c r="K90" s="3"/>
      <c r="L90" s="5" t="str">
        <v>否</v>
      </c>
      <c r="M90" s="5" t="str">
        <v>否</v>
      </c>
      <c r="N90" s="5" t="str">
        <v>否</v>
      </c>
      <c r="O90" s="5" t="str">
        <v>否</v>
      </c>
      <c r="P90" s="5" t="str">
        <v>营销费用</v>
      </c>
      <c r="Q90" s="5" t="str">
        <v>媒介宣传费</v>
      </c>
      <c r="R90" s="5" t="str">
        <v>线上媒介费</v>
      </c>
      <c r="S90" s="3" t="str">
        <v>品牌运营中心</v>
      </c>
      <c r="T90" s="3" t="str">
        <v>市场广告推广部</v>
      </c>
      <c r="U90" s="3" t="str">
        <v>广告投放部</v>
      </c>
      <c r="V90" s="3" t="str">
        <v>媒介部</v>
      </c>
    </row>
    <row r="91">
      <c r="A91" s="92" t="str">
        <v>线上品宣</v>
      </c>
      <c r="B91" s="4" t="str">
        <v>程序化投放</v>
      </c>
      <c r="C91" s="5">
        <f>VLOOKUP(B91,'收集数据表'!$A$2:$A$201,1,FALSE)</f>
      </c>
      <c r="D91" s="1" t="str">
        <v>品牌媒介</v>
      </c>
      <c r="E91" s="1" t="str">
        <v>线上品宣媒介</v>
      </c>
      <c r="F91" s="5" t="str">
        <v>线上品宣媒介</v>
      </c>
      <c r="G91" s="5" t="str">
        <v>否</v>
      </c>
      <c r="H91" s="5"/>
      <c r="I91" s="5"/>
      <c r="J91" s="5"/>
      <c r="K91" s="3"/>
      <c r="L91" s="5" t="str">
        <v>否</v>
      </c>
      <c r="M91" s="5" t="str">
        <v>否</v>
      </c>
      <c r="N91" s="5" t="str">
        <v>否</v>
      </c>
      <c r="O91" s="5" t="str">
        <v>否</v>
      </c>
      <c r="P91" s="5" t="str">
        <v>营销费用</v>
      </c>
      <c r="Q91" s="5" t="str">
        <v>媒介宣传费</v>
      </c>
      <c r="R91" s="5" t="str">
        <v>线上媒介费</v>
      </c>
      <c r="S91" s="3" t="str">
        <v>品牌运营中心</v>
      </c>
      <c r="T91" s="3" t="str">
        <v>市场广告推广部</v>
      </c>
      <c r="U91" s="3" t="str">
        <v>广告投放部</v>
      </c>
      <c r="V91" s="3" t="str">
        <v>媒介部</v>
      </c>
    </row>
    <row r="92">
      <c r="A92" s="92" t="str">
        <v>线下品宣</v>
      </c>
      <c r="B92" s="4" t="str">
        <v>地标广告</v>
      </c>
      <c r="C92" s="5">
        <f>VLOOKUP(B92,'收集数据表'!$A$2:$A$201,1,FALSE)</f>
      </c>
      <c r="D92" s="1" t="str">
        <v>品牌媒介</v>
      </c>
      <c r="E92" s="1" t="str">
        <v>线下品宣媒介</v>
      </c>
      <c r="F92" s="5" t="str">
        <v>线下品宣媒介</v>
      </c>
      <c r="G92" s="5" t="str">
        <v>否</v>
      </c>
      <c r="H92" s="5"/>
      <c r="I92" s="5"/>
      <c r="J92" s="5"/>
      <c r="K92" s="3"/>
      <c r="L92" s="5" t="str">
        <v>否</v>
      </c>
      <c r="M92" s="5" t="str">
        <v>否</v>
      </c>
      <c r="N92" s="5" t="str">
        <v>否</v>
      </c>
      <c r="O92" s="5" t="str">
        <v>否</v>
      </c>
      <c r="P92" s="5" t="str">
        <v>营销费用</v>
      </c>
      <c r="Q92" s="5" t="str">
        <v>媒介宣传费</v>
      </c>
      <c r="R92" s="5" t="str">
        <v>线下媒介费</v>
      </c>
      <c r="S92" s="3" t="str">
        <v>品牌运营中心</v>
      </c>
      <c r="T92" s="3" t="str">
        <v>市场广告推广部</v>
      </c>
      <c r="U92" s="3" t="str">
        <v>广告投放部</v>
      </c>
      <c r="V92" s="3" t="str">
        <v>媒介部</v>
      </c>
    </row>
    <row r="93">
      <c r="A93" s="92" t="str">
        <v>线下品宣</v>
      </c>
      <c r="B93" s="4" t="str">
        <v>电梯广告</v>
      </c>
      <c r="C93" s="5">
        <f>VLOOKUP(B93,'收集数据表'!$A$2:$A$201,1,FALSE)</f>
      </c>
      <c r="D93" s="1" t="str">
        <v>品牌媒介</v>
      </c>
      <c r="E93" s="1" t="str">
        <v>线下品宣媒介</v>
      </c>
      <c r="F93" s="5" t="str">
        <v>线下品宣媒介</v>
      </c>
      <c r="G93" s="5" t="str">
        <v>否</v>
      </c>
      <c r="H93" s="5"/>
      <c r="I93" s="5"/>
      <c r="J93" s="5"/>
      <c r="K93" s="3"/>
      <c r="L93" s="5" t="str">
        <v>否</v>
      </c>
      <c r="M93" s="5" t="str">
        <v>否</v>
      </c>
      <c r="N93" s="5" t="str">
        <v>否</v>
      </c>
      <c r="O93" s="5" t="str">
        <v>否</v>
      </c>
      <c r="P93" s="5" t="str">
        <v>营销费用</v>
      </c>
      <c r="Q93" s="5" t="str">
        <v>媒介宣传费</v>
      </c>
      <c r="R93" s="5" t="str">
        <v>线下媒介费</v>
      </c>
      <c r="S93" s="3" t="str">
        <v>品牌运营中心</v>
      </c>
      <c r="T93" s="3" t="str">
        <v>市场广告推广部</v>
      </c>
      <c r="U93" s="3" t="str">
        <v>广告投放部</v>
      </c>
      <c r="V93" s="3" t="str">
        <v>媒介部</v>
      </c>
    </row>
    <row r="94">
      <c r="A94" s="92" t="str">
        <v>线下品宣</v>
      </c>
      <c r="B94" s="4" t="str">
        <v>电影院广告</v>
      </c>
      <c r="C94" s="5">
        <f>VLOOKUP(B94,'收集数据表'!$A$2:$A$201,1,FALSE)</f>
      </c>
      <c r="D94" s="1" t="str">
        <v>品牌媒介</v>
      </c>
      <c r="E94" s="1" t="str">
        <v>线下品宣媒介</v>
      </c>
      <c r="F94" s="5" t="str">
        <v>线下品宣媒介</v>
      </c>
      <c r="G94" s="5" t="str">
        <v>否</v>
      </c>
      <c r="H94" s="5"/>
      <c r="I94" s="5"/>
      <c r="J94" s="5"/>
      <c r="K94" s="3"/>
      <c r="L94" s="5" t="str">
        <v>否</v>
      </c>
      <c r="M94" s="5" t="str">
        <v>否</v>
      </c>
      <c r="N94" s="5" t="str">
        <v>否</v>
      </c>
      <c r="O94" s="5" t="str">
        <v>否</v>
      </c>
      <c r="P94" s="5" t="str">
        <v>营销费用</v>
      </c>
      <c r="Q94" s="5" t="str">
        <v>媒介宣传费</v>
      </c>
      <c r="R94" s="5" t="str">
        <v>线下媒介费</v>
      </c>
      <c r="S94" s="3" t="str">
        <v>品牌运营中心</v>
      </c>
      <c r="T94" s="3" t="str">
        <v>市场广告推广部</v>
      </c>
      <c r="U94" s="3" t="str">
        <v>广告投放部</v>
      </c>
      <c r="V94" s="3" t="str">
        <v>媒介部</v>
      </c>
    </row>
    <row r="95">
      <c r="A95" s="92" t="str">
        <v>线上品宣</v>
      </c>
      <c r="B95" s="4" t="str">
        <v>抖音品牌信息流</v>
      </c>
      <c r="C95" s="5">
        <f>VLOOKUP(B95,'收集数据表'!$A$2:$A$201,1,FALSE)</f>
      </c>
      <c r="D95" s="1" t="str">
        <v>品牌媒介</v>
      </c>
      <c r="E95" s="1" t="str">
        <v>线上品宣媒介</v>
      </c>
      <c r="F95" s="5" t="str">
        <v>线上品宣媒介</v>
      </c>
      <c r="G95" s="5" t="str">
        <v>否</v>
      </c>
      <c r="H95" s="5"/>
      <c r="I95" s="5"/>
      <c r="J95" s="5"/>
      <c r="K95" s="3"/>
      <c r="L95" s="5" t="str">
        <v>否</v>
      </c>
      <c r="M95" s="5" t="str">
        <v>否</v>
      </c>
      <c r="N95" s="5" t="str">
        <v>否</v>
      </c>
      <c r="O95" s="5" t="str">
        <v>否</v>
      </c>
      <c r="P95" s="5" t="str">
        <v>营销费用</v>
      </c>
      <c r="Q95" s="5" t="str">
        <v>媒介宣传费</v>
      </c>
      <c r="R95" s="5" t="str">
        <v>线上媒介费</v>
      </c>
      <c r="S95" s="3" t="str">
        <v>品牌运营中心</v>
      </c>
      <c r="T95" s="3" t="str">
        <v>市场广告推广部</v>
      </c>
      <c r="U95" s="3" t="str">
        <v>广告投放部</v>
      </c>
      <c r="V95" s="3" t="str">
        <v>媒介部</v>
      </c>
    </row>
    <row r="96">
      <c r="A96" s="92" t="str">
        <v>线上品宣</v>
      </c>
      <c r="B96" s="4" t="str">
        <v>广告效果监测</v>
      </c>
      <c r="C96" s="5">
        <f>VLOOKUP(B96,'收集数据表'!$A$2:$A$201,1,FALSE)</f>
      </c>
      <c r="D96" s="1" t="str">
        <v>品牌媒介</v>
      </c>
      <c r="E96" s="1" t="str">
        <v>线上品宣媒介</v>
      </c>
      <c r="F96" s="5" t="str">
        <v>线上品宣媒介</v>
      </c>
      <c r="G96" s="5" t="str">
        <v>否</v>
      </c>
      <c r="H96" s="5"/>
      <c r="I96" s="5"/>
      <c r="J96" s="5"/>
      <c r="K96" s="3"/>
      <c r="L96" s="5" t="str">
        <v>否</v>
      </c>
      <c r="M96" s="5" t="str">
        <v>否</v>
      </c>
      <c r="N96" s="5" t="str">
        <v>否</v>
      </c>
      <c r="O96" s="5" t="str">
        <v>否</v>
      </c>
      <c r="P96" s="5" t="str">
        <v>营销费用</v>
      </c>
      <c r="Q96" s="5" t="str">
        <v>媒介宣传费</v>
      </c>
      <c r="R96" s="5" t="str">
        <v>线上媒介费</v>
      </c>
      <c r="S96" s="3" t="str">
        <v>品牌运营中心</v>
      </c>
      <c r="T96" s="3" t="str">
        <v>市场广告推广部</v>
      </c>
      <c r="U96" s="3" t="str">
        <v>广告投放部</v>
      </c>
      <c r="V96" s="3" t="str">
        <v>媒介部</v>
      </c>
    </row>
    <row r="97">
      <c r="A97" s="92" t="str">
        <v>线上品宣</v>
      </c>
      <c r="B97" s="4" t="str">
        <v>开屏类广告</v>
      </c>
      <c r="C97" s="5">
        <f>VLOOKUP(B97,'收集数据表'!$A$2:$A$201,1,FALSE)</f>
      </c>
      <c r="D97" s="1" t="str">
        <v>品牌媒介</v>
      </c>
      <c r="E97" s="1" t="str">
        <v>线上品宣媒介</v>
      </c>
      <c r="F97" s="5" t="str">
        <v>线上品宣媒介</v>
      </c>
      <c r="G97" s="5" t="str">
        <v>否</v>
      </c>
      <c r="H97" s="5"/>
      <c r="I97" s="5"/>
      <c r="J97" s="5"/>
      <c r="K97" s="3"/>
      <c r="L97" s="5" t="str">
        <v>否</v>
      </c>
      <c r="M97" s="5" t="str">
        <v>否</v>
      </c>
      <c r="N97" s="5" t="str">
        <v>否</v>
      </c>
      <c r="O97" s="5" t="str">
        <v>否</v>
      </c>
      <c r="P97" s="5" t="str">
        <v>营销费用</v>
      </c>
      <c r="Q97" s="5" t="str">
        <v>媒介宣传费</v>
      </c>
      <c r="R97" s="5" t="str">
        <v>线上媒介费</v>
      </c>
      <c r="S97" s="3" t="str">
        <v>品牌运营中心</v>
      </c>
      <c r="T97" s="3" t="str">
        <v>市场广告推广部</v>
      </c>
      <c r="U97" s="3" t="str">
        <v>广告投放部</v>
      </c>
      <c r="V97" s="3" t="str">
        <v>媒介部</v>
      </c>
    </row>
    <row r="98">
      <c r="A98" s="92" t="str">
        <v>线上品宣</v>
      </c>
      <c r="B98" s="4" t="str">
        <v>快手品牌信息流</v>
      </c>
      <c r="C98" s="5">
        <f>VLOOKUP(B98,'收集数据表'!$A$2:$A$201,1,FALSE)</f>
      </c>
      <c r="D98" s="1" t="str">
        <v>品牌媒介</v>
      </c>
      <c r="E98" s="1" t="str">
        <v>线上品宣媒介</v>
      </c>
      <c r="F98" s="5" t="str">
        <v>线上品宣媒介</v>
      </c>
      <c r="G98" s="5" t="str">
        <v>否</v>
      </c>
      <c r="H98" s="5"/>
      <c r="I98" s="5"/>
      <c r="J98" s="5"/>
      <c r="K98" s="3"/>
      <c r="L98" s="5" t="str">
        <v>否</v>
      </c>
      <c r="M98" s="5" t="str">
        <v>否</v>
      </c>
      <c r="N98" s="5" t="str">
        <v>否</v>
      </c>
      <c r="O98" s="5" t="str">
        <v>否</v>
      </c>
      <c r="P98" s="5" t="str">
        <v>营销费用</v>
      </c>
      <c r="Q98" s="5" t="str">
        <v>媒介宣传费</v>
      </c>
      <c r="R98" s="5" t="str">
        <v>线上媒介费</v>
      </c>
      <c r="S98" s="3" t="str">
        <v>品牌运营中心</v>
      </c>
      <c r="T98" s="3" t="str">
        <v>市场广告推广部</v>
      </c>
      <c r="U98" s="3" t="str">
        <v>广告投放部</v>
      </c>
      <c r="V98" s="3" t="str">
        <v>媒介部</v>
      </c>
    </row>
    <row r="99">
      <c r="A99" s="92" t="str">
        <v>线上品宣</v>
      </c>
      <c r="B99" s="4" t="str">
        <v>商业化资源包合作</v>
      </c>
      <c r="C99" s="5">
        <f>VLOOKUP(B99,'收集数据表'!$A$2:$A$201,1,FALSE)</f>
      </c>
      <c r="D99" s="1" t="str">
        <v>品牌媒介</v>
      </c>
      <c r="E99" s="1" t="str">
        <v>线上品宣媒介</v>
      </c>
      <c r="F99" s="5" t="str">
        <v>线上品宣媒介</v>
      </c>
      <c r="G99" s="5" t="str">
        <v>否</v>
      </c>
      <c r="H99" s="5"/>
      <c r="I99" s="5"/>
      <c r="J99" s="5"/>
      <c r="K99" s="3"/>
      <c r="L99" s="5" t="str">
        <v>否</v>
      </c>
      <c r="M99" s="5" t="str">
        <v>否</v>
      </c>
      <c r="N99" s="5" t="str">
        <v>否</v>
      </c>
      <c r="O99" s="5" t="str">
        <v>否</v>
      </c>
      <c r="P99" s="5" t="str">
        <v>营销费用</v>
      </c>
      <c r="Q99" s="5" t="str">
        <v>媒介宣传费</v>
      </c>
      <c r="R99" s="5" t="str">
        <v>线上媒介费</v>
      </c>
      <c r="S99" s="3" t="str">
        <v>品牌运营中心</v>
      </c>
      <c r="T99" s="3" t="str">
        <v>市场广告推广部</v>
      </c>
      <c r="U99" s="3" t="str">
        <v>广告投放部</v>
      </c>
      <c r="V99" s="3" t="str">
        <v>媒介部</v>
      </c>
    </row>
    <row r="100">
      <c r="A100" s="92" t="str">
        <v>线上品宣</v>
      </c>
      <c r="B100" s="4" t="str">
        <v>投放策略调研</v>
      </c>
      <c r="C100" s="5">
        <f>VLOOKUP(B100,'收集数据表'!$A$2:$A$201,1,FALSE)</f>
      </c>
      <c r="D100" s="1" t="str">
        <v>品牌媒介</v>
      </c>
      <c r="E100" s="1" t="str">
        <v>调研费（其他非标）</v>
      </c>
      <c r="F100" s="5" t="str">
        <v>调研费（其他非标）</v>
      </c>
      <c r="G100" s="5" t="str">
        <v>否</v>
      </c>
      <c r="H100" s="5"/>
      <c r="I100" s="5"/>
      <c r="J100" s="5"/>
      <c r="K100" s="3"/>
      <c r="L100" s="5" t="str">
        <v>否</v>
      </c>
      <c r="M100" s="5" t="str">
        <v>否</v>
      </c>
      <c r="N100" s="5" t="str">
        <v>否</v>
      </c>
      <c r="O100" s="5" t="str">
        <v>否</v>
      </c>
      <c r="P100" s="5" t="str">
        <v>营销费用</v>
      </c>
      <c r="Q100" s="5" t="str">
        <v>品牌宣传费</v>
      </c>
      <c r="R100" s="5" t="str">
        <v>市场调研费</v>
      </c>
      <c r="S100" s="3" t="str">
        <v>品牌运营中心</v>
      </c>
      <c r="T100" s="3" t="str">
        <v>市场广告推广部</v>
      </c>
      <c r="U100" s="3" t="str">
        <v>策略部</v>
      </c>
      <c r="V100" s="3"/>
    </row>
    <row r="101">
      <c r="A101" s="18" t="str">
        <v>IMC国妆</v>
      </c>
      <c r="B101" s="1" t="str">
        <v>IMC国妆</v>
      </c>
      <c r="C101" s="5">
        <f>VLOOKUP(B101,'收集数据表'!$A$2:$A$201,1,FALSE)</f>
      </c>
      <c r="D101" s="1" t="str">
        <v>品牌项目</v>
      </c>
      <c r="E101" s="1" t="str">
        <v>IMC国妆</v>
      </c>
      <c r="F101" s="5" t="str">
        <v>IMC国妆</v>
      </c>
      <c r="G101" s="5" t="str">
        <v>否</v>
      </c>
      <c r="H101" s="5"/>
      <c r="I101" s="5"/>
      <c r="J101" s="5"/>
      <c r="K101" s="3"/>
      <c r="L101" s="5" t="str">
        <v>否</v>
      </c>
      <c r="M101" s="5" t="str">
        <v>否</v>
      </c>
      <c r="N101" s="5" t="str">
        <v>是</v>
      </c>
      <c r="O101" s="5" t="str">
        <v>是</v>
      </c>
      <c r="P101" s="5" t="str">
        <v>营销费用</v>
      </c>
      <c r="Q101" s="5" t="str">
        <v>内容制作费</v>
      </c>
      <c r="R101" s="5" t="str">
        <v>视频制作费</v>
      </c>
      <c r="S101" s="3" t="str">
        <v>品牌产品中心</v>
      </c>
      <c r="T101" s="3" t="str">
        <v>品牌营销部</v>
      </c>
      <c r="U101" s="3"/>
      <c r="V101" s="3"/>
    </row>
    <row r="102">
      <c r="A102" s="4" t="str">
        <v>IMC花养</v>
      </c>
      <c r="B102" s="1" t="str">
        <v>IMC花养</v>
      </c>
      <c r="C102" s="5">
        <f>VLOOKUP(B102,'收集数据表'!$A$2:$A$201,1,FALSE)</f>
      </c>
      <c r="D102" s="1" t="str">
        <v>品牌项目</v>
      </c>
      <c r="E102" s="1" t="str">
        <v>IMC花养</v>
      </c>
      <c r="F102" s="5" t="str">
        <v>IMC花养</v>
      </c>
      <c r="G102" s="5" t="str">
        <v>否</v>
      </c>
      <c r="H102" s="5"/>
      <c r="I102" s="5"/>
      <c r="J102" s="5"/>
      <c r="K102" s="3"/>
      <c r="L102" s="5" t="str">
        <v>否</v>
      </c>
      <c r="M102" s="5" t="str">
        <v>否</v>
      </c>
      <c r="N102" s="5" t="str">
        <v>是</v>
      </c>
      <c r="O102" s="5" t="str">
        <v>是</v>
      </c>
      <c r="P102" s="5" t="str">
        <v>营销费用</v>
      </c>
      <c r="Q102" s="5" t="str">
        <v>内容制作费</v>
      </c>
      <c r="R102" s="5" t="str">
        <v>视频制作费</v>
      </c>
      <c r="S102" s="3" t="str">
        <v>品牌产品中心</v>
      </c>
      <c r="T102" s="3" t="str">
        <v>品牌营销部</v>
      </c>
      <c r="U102" s="3"/>
      <c r="V102" s="3"/>
    </row>
    <row r="103">
      <c r="A103" s="4" t="str">
        <v>IMC文化</v>
      </c>
      <c r="B103" s="1" t="str">
        <v>IMC文化</v>
      </c>
      <c r="C103" s="5">
        <f>VLOOKUP(B103,'收集数据表'!$A$2:$A$201,1,FALSE)</f>
      </c>
      <c r="D103" s="1" t="str">
        <v>品牌项目</v>
      </c>
      <c r="E103" s="1" t="str">
        <v>IMC文化</v>
      </c>
      <c r="F103" s="5" t="str">
        <v>IMC文化</v>
      </c>
      <c r="G103" s="5" t="str">
        <v>否</v>
      </c>
      <c r="H103" s="5"/>
      <c r="I103" s="5"/>
      <c r="J103" s="5"/>
      <c r="K103" s="3"/>
      <c r="L103" s="5" t="str">
        <v>否</v>
      </c>
      <c r="M103" s="5" t="str">
        <v>否</v>
      </c>
      <c r="N103" s="5" t="str">
        <v>是</v>
      </c>
      <c r="O103" s="5" t="str">
        <v>是</v>
      </c>
      <c r="P103" s="5" t="str">
        <v>营销费用</v>
      </c>
      <c r="Q103" s="5" t="str">
        <v>内容制作费</v>
      </c>
      <c r="R103" s="5" t="str">
        <v>视频制作费</v>
      </c>
      <c r="S103" s="3" t="str">
        <v>品牌产品中心</v>
      </c>
      <c r="T103" s="3" t="str">
        <v>品牌营销部</v>
      </c>
      <c r="U103" s="3"/>
      <c r="V103" s="3"/>
    </row>
    <row r="104">
      <c r="A104" s="92" t="str">
        <v>日常-创意与物料</v>
      </c>
      <c r="B104" s="4" t="str">
        <v>日常-创意与物料</v>
      </c>
      <c r="C104" s="5">
        <f>VLOOKUP(B104,'收集数据表'!$A$2:$A$201,1,FALSE)</f>
      </c>
      <c r="D104" s="1" t="str">
        <v>品牌项目</v>
      </c>
      <c r="E104" s="1" t="str">
        <v>日常-创意与物料</v>
      </c>
      <c r="F104" s="5" t="str">
        <v>日常-创意与物料</v>
      </c>
      <c r="G104" s="5" t="str">
        <v>否</v>
      </c>
      <c r="H104" s="5"/>
      <c r="I104" s="5"/>
      <c r="J104" s="5"/>
      <c r="K104" s="3"/>
      <c r="L104" s="5" t="str">
        <v>否</v>
      </c>
      <c r="M104" s="5" t="str">
        <v>否</v>
      </c>
      <c r="N104" s="5" t="str">
        <v>否</v>
      </c>
      <c r="O104" s="5" t="str">
        <v>否</v>
      </c>
      <c r="P104" s="5" t="str">
        <v>营销费用</v>
      </c>
      <c r="Q104" s="5" t="str">
        <v>品牌宣传费</v>
      </c>
      <c r="R104" s="5" t="str">
        <v>明星合作费</v>
      </c>
      <c r="S104" s="3" t="str">
        <v>品牌产品中心</v>
      </c>
      <c r="T104" s="3" t="str">
        <v>品牌营销部</v>
      </c>
      <c r="U104" s="3"/>
      <c r="V104" s="3"/>
    </row>
    <row r="105">
      <c r="A105" s="174" t="str">
        <v>调研费</v>
      </c>
      <c r="B105" s="1" t="str">
        <v>数据采买和调研费</v>
      </c>
      <c r="C105" s="5">
        <f>VLOOKUP(B105,'收集数据表'!$A$2:$A$201,1,FALSE)</f>
      </c>
      <c r="D105" s="1" t="str">
        <v>品牌项目</v>
      </c>
      <c r="E105" s="1" t="str">
        <v>日常-测试</v>
      </c>
      <c r="F105" s="5" t="str">
        <v>日常-测试</v>
      </c>
      <c r="G105" s="5" t="str">
        <v>否</v>
      </c>
      <c r="H105" s="5"/>
      <c r="I105" s="5"/>
      <c r="J105" s="5"/>
      <c r="K105" s="3"/>
      <c r="L105" s="5" t="str">
        <v>否</v>
      </c>
      <c r="M105" s="5" t="str">
        <v>否</v>
      </c>
      <c r="N105" s="5" t="str">
        <v>否</v>
      </c>
      <c r="O105" s="5" t="str">
        <v>否</v>
      </c>
      <c r="P105" s="5" t="str">
        <v>营销费用</v>
      </c>
      <c r="Q105" s="5" t="str">
        <v>品牌宣传费</v>
      </c>
      <c r="R105" s="5" t="str">
        <v>市场调研费</v>
      </c>
      <c r="S105" s="3" t="str">
        <v>品牌产品中心</v>
      </c>
      <c r="T105" s="3" t="str">
        <v>品牌营销部</v>
      </c>
      <c r="U105" s="3"/>
      <c r="V105" s="3"/>
    </row>
    <row r="106">
      <c r="A106" s="174" t="str">
        <v>新媒体费用</v>
      </c>
      <c r="B106" s="1" t="str">
        <v>私域代运营费用</v>
      </c>
      <c r="C106" s="5">
        <f>VLOOKUP(B106,'收集数据表'!$A$2:$A$201,1,FALSE)</f>
      </c>
      <c r="D106" s="1" t="str">
        <v>品牌项目</v>
      </c>
      <c r="E106" s="1" t="str">
        <v>日常-私域</v>
      </c>
      <c r="F106" s="5" t="str">
        <v>日常-私域</v>
      </c>
      <c r="G106" s="5" t="str">
        <v>否</v>
      </c>
      <c r="H106" s="5"/>
      <c r="I106" s="5"/>
      <c r="J106" s="5"/>
      <c r="K106" s="3"/>
      <c r="L106" s="5" t="str">
        <v>否</v>
      </c>
      <c r="M106" s="5" t="str">
        <v>否</v>
      </c>
      <c r="N106" s="5" t="str">
        <v>否</v>
      </c>
      <c r="O106" s="5" t="str">
        <v>否</v>
      </c>
      <c r="P106" s="5" t="str">
        <v>营销费用</v>
      </c>
      <c r="Q106" s="5" t="str">
        <v>渠道推广费</v>
      </c>
      <c r="R106" s="5" t="str">
        <v>代运营服务费</v>
      </c>
      <c r="S106" s="3" t="str">
        <v>品牌产品中心</v>
      </c>
      <c r="T106" s="3" t="str">
        <v>品牌营销部</v>
      </c>
      <c r="U106" s="3"/>
      <c r="V106" s="3"/>
    </row>
    <row r="107">
      <c r="A107" s="174" t="str">
        <v>新媒体费用</v>
      </c>
      <c r="B107" s="1" t="str">
        <v>私域视频制作</v>
      </c>
      <c r="C107" s="5">
        <f>VLOOKUP(B107,'收集数据表'!$A$2:$A$201,1,FALSE)</f>
      </c>
      <c r="D107" s="1" t="str">
        <v>品牌项目</v>
      </c>
      <c r="E107" s="1" t="str">
        <v>日常-私域</v>
      </c>
      <c r="F107" s="5" t="str">
        <v>日常-私域</v>
      </c>
      <c r="G107" s="5" t="str">
        <v>否</v>
      </c>
      <c r="H107" s="5"/>
      <c r="I107" s="5"/>
      <c r="J107" s="5"/>
      <c r="K107" s="3"/>
      <c r="L107" s="5" t="str">
        <v>否</v>
      </c>
      <c r="M107" s="5" t="str">
        <v>否</v>
      </c>
      <c r="N107" s="5" t="str">
        <v>否</v>
      </c>
      <c r="O107" s="5" t="str">
        <v>否</v>
      </c>
      <c r="P107" s="5" t="str">
        <v>营销费用</v>
      </c>
      <c r="Q107" s="5" t="str">
        <v>内容制作费</v>
      </c>
      <c r="R107" s="5" t="str">
        <v>视频制作费</v>
      </c>
      <c r="S107" s="3" t="str">
        <v>品牌产品中心</v>
      </c>
      <c r="T107" s="3" t="str">
        <v>品牌营销部</v>
      </c>
      <c r="U107" s="3"/>
      <c r="V107" s="3"/>
    </row>
    <row r="108">
      <c r="A108" s="174" t="str">
        <v>新媒体费用</v>
      </c>
      <c r="B108" s="1" t="str">
        <v>私域图文制作费</v>
      </c>
      <c r="C108" s="5">
        <f>VLOOKUP(B108,'收集数据表'!$A$2:$A$201,1,FALSE)</f>
      </c>
      <c r="D108" s="1" t="str">
        <v>品牌项目</v>
      </c>
      <c r="E108" s="1" t="str">
        <v>日常-私域</v>
      </c>
      <c r="F108" s="5" t="str">
        <v>日常-私域</v>
      </c>
      <c r="G108" s="5" t="str">
        <v>否</v>
      </c>
      <c r="H108" s="5"/>
      <c r="I108" s="5"/>
      <c r="J108" s="5"/>
      <c r="K108" s="3"/>
      <c r="L108" s="5" t="str">
        <v>否</v>
      </c>
      <c r="M108" s="5" t="str">
        <v>否</v>
      </c>
      <c r="N108" s="5" t="str">
        <v>否</v>
      </c>
      <c r="O108" s="5" t="str">
        <v>否</v>
      </c>
      <c r="P108" s="5" t="str">
        <v>营销费用</v>
      </c>
      <c r="Q108" s="5" t="str">
        <v>内容制作费</v>
      </c>
      <c r="R108" s="5" t="str">
        <v>图文平面制作费</v>
      </c>
      <c r="S108" s="3" t="str">
        <v>品牌产品中心</v>
      </c>
      <c r="T108" s="3" t="str">
        <v>品牌营销部</v>
      </c>
      <c r="U108" s="3"/>
      <c r="V108" s="3"/>
    </row>
    <row r="109">
      <c r="A109" s="174" t="str">
        <v>新媒体费用</v>
      </c>
      <c r="B109" s="1" t="str">
        <v>私域账号运营费</v>
      </c>
      <c r="C109" s="5">
        <f>VLOOKUP(B109,'收集数据表'!$A$2:$A$201,1,FALSE)</f>
      </c>
      <c r="D109" s="1" t="str">
        <v>品牌项目</v>
      </c>
      <c r="E109" s="1" t="str">
        <v>日常-私域</v>
      </c>
      <c r="F109" s="5" t="str">
        <v>日常-私域</v>
      </c>
      <c r="G109" s="5" t="str">
        <v>否</v>
      </c>
      <c r="H109" s="5"/>
      <c r="I109" s="5"/>
      <c r="J109" s="5"/>
      <c r="K109" s="3"/>
      <c r="L109" s="5" t="str">
        <v>否</v>
      </c>
      <c r="M109" s="5" t="str">
        <v>否</v>
      </c>
      <c r="N109" s="5" t="str">
        <v>否</v>
      </c>
      <c r="O109" s="5" t="str">
        <v>否</v>
      </c>
      <c r="P109" s="5" t="str">
        <v>营销费用</v>
      </c>
      <c r="Q109" s="5" t="str">
        <v>其他费用</v>
      </c>
      <c r="R109" s="5" t="str">
        <v>日常营运费用</v>
      </c>
      <c r="S109" s="3" t="str">
        <v>品牌产品中心</v>
      </c>
      <c r="T109" s="3" t="str">
        <v>品牌营销部</v>
      </c>
      <c r="U109" s="3"/>
      <c r="V109" s="3"/>
    </row>
    <row r="110">
      <c r="A110" s="92" t="str">
        <v>李佳琦全案</v>
      </c>
      <c r="B110" s="4" t="str">
        <v>佳琦全案-服务费</v>
      </c>
      <c r="C110" s="5">
        <f>VLOOKUP(B110,'收集数据表'!$A$2:$A$201,1,FALSE)</f>
      </c>
      <c r="D110" s="1" t="str">
        <v>品牌营销直播专项</v>
      </c>
      <c r="E110" s="1" t="str">
        <v>佳琦全案</v>
      </c>
      <c r="F110" s="5" t="str">
        <v>佳琦全案</v>
      </c>
      <c r="G110" s="5" t="str">
        <v>否</v>
      </c>
      <c r="H110" s="5"/>
      <c r="I110" s="5"/>
      <c r="J110" s="5"/>
      <c r="K110" s="3"/>
      <c r="L110" s="5" t="str">
        <v>否</v>
      </c>
      <c r="M110" s="5" t="str">
        <v>否</v>
      </c>
      <c r="N110" s="5" t="str">
        <v>否</v>
      </c>
      <c r="O110" s="5" t="str">
        <v>否</v>
      </c>
      <c r="P110" s="5" t="str">
        <v>营销费用</v>
      </c>
      <c r="Q110" s="5" t="str">
        <v>内容制作费</v>
      </c>
      <c r="R110" s="5" t="str">
        <v>拍摄服务费</v>
      </c>
      <c r="S110" s="3" t="str">
        <v>品牌运营中心</v>
      </c>
      <c r="T110" s="3" t="str">
        <v>直播运营部</v>
      </c>
      <c r="U110" s="3" t="str">
        <v>达播BD部</v>
      </c>
      <c r="V110" s="3"/>
    </row>
    <row r="111">
      <c r="A111" s="92" t="str">
        <v>李佳琦全案</v>
      </c>
      <c r="B111" s="4" t="str">
        <v>佳琦全案-设计费</v>
      </c>
      <c r="C111" s="5">
        <f>VLOOKUP(B111,'收集数据表'!$A$2:$A$201,1,FALSE)</f>
      </c>
      <c r="D111" s="1" t="str">
        <v>品牌营销直播专项</v>
      </c>
      <c r="E111" s="1" t="str">
        <v>佳琦全案</v>
      </c>
      <c r="F111" s="5" t="str">
        <v>佳琦全案</v>
      </c>
      <c r="G111" s="5" t="str">
        <v>否</v>
      </c>
      <c r="H111" s="5"/>
      <c r="I111" s="5"/>
      <c r="J111" s="5"/>
      <c r="K111" s="3"/>
      <c r="L111" s="5" t="str">
        <v>否</v>
      </c>
      <c r="M111" s="5" t="str">
        <v>否</v>
      </c>
      <c r="N111" s="5" t="str">
        <v>否</v>
      </c>
      <c r="O111" s="5" t="str">
        <v>否</v>
      </c>
      <c r="P111" s="5" t="str">
        <v>营销费用</v>
      </c>
      <c r="Q111" s="5" t="str">
        <v>内容制作费</v>
      </c>
      <c r="R111" s="5" t="str">
        <v>视频制作费</v>
      </c>
      <c r="S111" s="3" t="str">
        <v>品牌运营中心</v>
      </c>
      <c r="T111" s="3" t="str">
        <v>直播运营部</v>
      </c>
      <c r="U111" s="3" t="str">
        <v>达播BD部</v>
      </c>
      <c r="V111" s="3"/>
    </row>
    <row r="112">
      <c r="A112" s="92" t="str">
        <v>直播公关费</v>
      </c>
      <c r="B112" s="4" t="str">
        <v>李佳琦公关礼</v>
      </c>
      <c r="C112" s="5">
        <f>VLOOKUP(B112,'收集数据表'!$A$2:$A$201,1,FALSE)</f>
      </c>
      <c r="D112" s="1" t="str">
        <v>品牌营销直播专项</v>
      </c>
      <c r="E112" s="1" t="str">
        <v>BD公关费-李佳琦专项</v>
      </c>
      <c r="F112" s="5" t="str">
        <v>BD公关费-李佳琦专项</v>
      </c>
      <c r="G112" s="5" t="str">
        <v>否</v>
      </c>
      <c r="H112" s="5"/>
      <c r="I112" s="5"/>
      <c r="J112" s="5"/>
      <c r="K112" s="3"/>
      <c r="L112" s="5" t="str">
        <v>否</v>
      </c>
      <c r="M112" s="5" t="str">
        <v>否</v>
      </c>
      <c r="N112" s="5" t="str">
        <v>是</v>
      </c>
      <c r="O112" s="5" t="str">
        <v>是</v>
      </c>
      <c r="P112" s="5" t="str">
        <v>营销费用</v>
      </c>
      <c r="Q112" s="5" t="str">
        <v>其他费用</v>
      </c>
      <c r="R112" s="5" t="str">
        <v>公关礼品费</v>
      </c>
      <c r="S112" s="3" t="str">
        <v>品牌运营中心</v>
      </c>
      <c r="T112" s="3" t="str">
        <v>直播运营部</v>
      </c>
      <c r="U112" s="3" t="str">
        <v>达播BD部</v>
      </c>
      <c r="V112" s="3"/>
    </row>
    <row r="113">
      <c r="A113" s="188" t="str">
        <v>直播公关费</v>
      </c>
      <c r="B113" s="4" t="str">
        <v>直播公关礼-外采-达播二部</v>
      </c>
      <c r="C113" s="5">
        <f>VLOOKUP(B113,'收集数据表'!$A$2:$A$201,1,FALSE)</f>
      </c>
      <c r="D113" s="1" t="str">
        <v>品牌营销直播专项</v>
      </c>
      <c r="E113" s="1" t="str">
        <v>BD公关费-达播二部</v>
      </c>
      <c r="F113" s="5" t="str">
        <v>BD公关费-达播二部</v>
      </c>
      <c r="G113" s="5" t="str">
        <v>否</v>
      </c>
      <c r="H113" s="5"/>
      <c r="I113" s="5"/>
      <c r="J113" s="5"/>
      <c r="K113" s="3"/>
      <c r="L113" s="5" t="str">
        <v>否</v>
      </c>
      <c r="M113" s="5" t="str">
        <v>否</v>
      </c>
      <c r="N113" s="5" t="str">
        <v>是</v>
      </c>
      <c r="O113" s="5" t="str">
        <v>是</v>
      </c>
      <c r="P113" s="5" t="str">
        <v>营销费用</v>
      </c>
      <c r="Q113" s="5" t="str">
        <v>其他费用</v>
      </c>
      <c r="R113" s="5" t="str">
        <v>公关礼品费</v>
      </c>
      <c r="S113" s="3" t="str">
        <v>品牌运营中心</v>
      </c>
      <c r="T113" s="3" t="str">
        <v>市场广告推广部</v>
      </c>
      <c r="U113" s="3" t="str">
        <v>达播2部</v>
      </c>
      <c r="V113" s="3"/>
    </row>
    <row r="114">
      <c r="A114" s="188" t="str">
        <v>直播公关费</v>
      </c>
      <c r="B114" s="4" t="str">
        <v>直播公关礼-外采-淘宝其他</v>
      </c>
      <c r="C114" s="5">
        <f>VLOOKUP(B114,'收集数据表'!$A$2:$A$201,1,FALSE)</f>
      </c>
      <c r="D114" s="1" t="str">
        <v>品牌营销直播专项</v>
      </c>
      <c r="E114" s="1" t="str">
        <v>BD公关费-淘宝其他</v>
      </c>
      <c r="F114" s="5" t="str">
        <v>BD公关费-淘宝其他</v>
      </c>
      <c r="G114" s="5" t="str">
        <v>否</v>
      </c>
      <c r="H114" s="5"/>
      <c r="I114" s="5"/>
      <c r="J114" s="5"/>
      <c r="K114" s="3"/>
      <c r="L114" s="5" t="str">
        <v>否</v>
      </c>
      <c r="M114" s="5" t="str">
        <v>否</v>
      </c>
      <c r="N114" s="5" t="str">
        <v>是</v>
      </c>
      <c r="O114" s="5" t="str">
        <v>是</v>
      </c>
      <c r="P114" s="5" t="str">
        <v>营销费用</v>
      </c>
      <c r="Q114" s="5" t="str">
        <v>其他费用</v>
      </c>
      <c r="R114" s="5" t="str">
        <v>公关礼品费</v>
      </c>
      <c r="S114" s="3" t="str">
        <v>品牌运营中心</v>
      </c>
      <c r="T114" s="3" t="str">
        <v>市场广告推广部</v>
      </c>
      <c r="U114" s="3" t="str">
        <v>达播2部</v>
      </c>
      <c r="V114" s="3"/>
    </row>
    <row r="115">
      <c r="A115" s="92" t="str">
        <v>直播公关费</v>
      </c>
      <c r="B115" s="4" t="str">
        <v>直播公关礼-外采-田恬</v>
      </c>
      <c r="C115" s="5">
        <f>VLOOKUP(B115,'收集数据表'!$A$2:$A$201,1,FALSE)</f>
      </c>
      <c r="D115" s="1" t="str">
        <v>品牌营销直播专项</v>
      </c>
      <c r="E115" s="1" t="str">
        <v>BD公关费-田恬</v>
      </c>
      <c r="F115" s="5" t="str">
        <v>BD公关费-田恬</v>
      </c>
      <c r="G115" s="5" t="str">
        <v>否</v>
      </c>
      <c r="H115" s="5"/>
      <c r="I115" s="5"/>
      <c r="J115" s="5"/>
      <c r="K115" s="3"/>
      <c r="L115" s="5" t="str">
        <v>否</v>
      </c>
      <c r="M115" s="5" t="str">
        <v>否</v>
      </c>
      <c r="N115" s="5" t="str">
        <v>是</v>
      </c>
      <c r="O115" s="5" t="str">
        <v>是</v>
      </c>
      <c r="P115" s="5" t="str">
        <v>营销费用</v>
      </c>
      <c r="Q115" s="5" t="str">
        <v>其他费用</v>
      </c>
      <c r="R115" s="5" t="str">
        <v>公关礼品费</v>
      </c>
      <c r="S115" s="3" t="str">
        <v>品牌运营中心</v>
      </c>
      <c r="T115" s="3" t="str">
        <v>直播运营部</v>
      </c>
      <c r="U115" s="3" t="str">
        <v>达播BD部</v>
      </c>
      <c r="V115" s="3"/>
    </row>
    <row r="116">
      <c r="A116" s="188" t="str">
        <v>直播公关费</v>
      </c>
      <c r="B116" s="4" t="str">
        <v>直播公关礼-自有-达播二部</v>
      </c>
      <c r="C116" s="5">
        <f>VLOOKUP(B116,'收集数据表'!$A$2:$A$201,1,FALSE)</f>
      </c>
      <c r="D116" s="1" t="str">
        <v>品牌营销直播专项</v>
      </c>
      <c r="E116" s="1" t="str">
        <v>BD公关费-达播二部</v>
      </c>
      <c r="F116" s="5" t="str">
        <v>BD公关费-达播二部</v>
      </c>
      <c r="G116" s="5" t="str">
        <v>否</v>
      </c>
      <c r="H116" s="5"/>
      <c r="I116" s="5"/>
      <c r="J116" s="5"/>
      <c r="K116" s="3"/>
      <c r="L116" s="5" t="str">
        <v>否</v>
      </c>
      <c r="M116" s="5" t="str">
        <v>否</v>
      </c>
      <c r="N116" s="5" t="str">
        <v>是</v>
      </c>
      <c r="O116" s="5" t="str">
        <v>是</v>
      </c>
      <c r="P116" s="5" t="str">
        <v>营销费用</v>
      </c>
      <c r="Q116" s="5" t="str">
        <v>其他费用</v>
      </c>
      <c r="R116" s="5" t="str">
        <v>公关礼品费</v>
      </c>
      <c r="S116" s="3" t="str">
        <v>品牌运营中心</v>
      </c>
      <c r="T116" s="3" t="str">
        <v>市场广告推广部</v>
      </c>
      <c r="U116" s="3" t="str">
        <v>达播2部</v>
      </c>
      <c r="V116" s="3"/>
    </row>
    <row r="117">
      <c r="A117" s="188" t="str">
        <v>直播公关费</v>
      </c>
      <c r="B117" s="4" t="str">
        <v>直播公关礼-自有-淘宝其他</v>
      </c>
      <c r="C117" s="5">
        <f>VLOOKUP(B117,'收集数据表'!$A$2:$A$201,1,FALSE)</f>
      </c>
      <c r="D117" s="1" t="str">
        <v>品牌营销直播专项</v>
      </c>
      <c r="E117" s="1" t="str">
        <v>BD公关费-淘宝其他</v>
      </c>
      <c r="F117" s="5" t="str">
        <v>BD公关费-淘宝其他</v>
      </c>
      <c r="G117" s="5" t="str">
        <v>否</v>
      </c>
      <c r="H117" s="5"/>
      <c r="I117" s="5"/>
      <c r="J117" s="5"/>
      <c r="K117" s="3"/>
      <c r="L117" s="5" t="str">
        <v>否</v>
      </c>
      <c r="M117" s="5" t="str">
        <v>否</v>
      </c>
      <c r="N117" s="5" t="str">
        <v>是</v>
      </c>
      <c r="O117" s="5" t="str">
        <v>是</v>
      </c>
      <c r="P117" s="5" t="str">
        <v>营销费用</v>
      </c>
      <c r="Q117" s="5" t="str">
        <v>其他费用</v>
      </c>
      <c r="R117" s="5" t="str">
        <v>公关礼品费</v>
      </c>
      <c r="S117" s="3" t="str">
        <v>品牌运营中心</v>
      </c>
      <c r="T117" s="3" t="str">
        <v>市场广告推广部</v>
      </c>
      <c r="U117" s="3" t="str">
        <v>达播2部</v>
      </c>
      <c r="V117" s="3"/>
    </row>
    <row r="118">
      <c r="A118" s="92" t="str">
        <v>直播公关费</v>
      </c>
      <c r="B118" s="4" t="str">
        <v>直播公关礼-自有-田恬</v>
      </c>
      <c r="C118" s="5">
        <f>VLOOKUP(B118,'收集数据表'!$A$2:$A$201,1,FALSE)</f>
      </c>
      <c r="D118" s="1" t="str">
        <v>品牌营销直播专项</v>
      </c>
      <c r="E118" s="1" t="str">
        <v>BD公关费-田恬</v>
      </c>
      <c r="F118" s="5" t="str">
        <v>BD公关费-田恬</v>
      </c>
      <c r="G118" s="5" t="str">
        <v>否</v>
      </c>
      <c r="H118" s="5"/>
      <c r="I118" s="5"/>
      <c r="J118" s="5"/>
      <c r="K118" s="3"/>
      <c r="L118" s="5" t="str">
        <v>否</v>
      </c>
      <c r="M118" s="5" t="str">
        <v>否</v>
      </c>
      <c r="N118" s="5" t="str">
        <v>是</v>
      </c>
      <c r="O118" s="5" t="str">
        <v>是</v>
      </c>
      <c r="P118" s="5" t="str">
        <v>营销费用</v>
      </c>
      <c r="Q118" s="5" t="str">
        <v>其他费用</v>
      </c>
      <c r="R118" s="5" t="str">
        <v>公关礼品费</v>
      </c>
      <c r="S118" s="3" t="str">
        <v>品牌运营中心</v>
      </c>
      <c r="T118" s="3" t="str">
        <v>直播运营部</v>
      </c>
      <c r="U118" s="3" t="str">
        <v>达播BD部</v>
      </c>
      <c r="V118" s="3"/>
    </row>
    <row r="119">
      <c r="A119" s="155" t="str">
        <v>品牌营销-跨中心协同</v>
      </c>
      <c r="B119" s="156" t="str">
        <v>项目推广协同</v>
      </c>
      <c r="C119" s="5">
        <f>VLOOKUP(B119,'收集数据表'!$A$2:$A$201,1,FALSE)</f>
      </c>
      <c r="D119" s="158" t="str">
        <v>品牌运营其他</v>
      </c>
      <c r="E119" s="158" t="str">
        <v>市场价值营销</v>
      </c>
      <c r="F119" s="5" t="str">
        <v>市场价值营销</v>
      </c>
      <c r="G119" s="5" t="str">
        <v>否</v>
      </c>
      <c r="H119" s="5"/>
      <c r="I119" s="5"/>
      <c r="J119" s="5"/>
      <c r="K119" s="157"/>
      <c r="L119" s="5" t="str">
        <v>否</v>
      </c>
      <c r="M119" s="5" t="str">
        <v>否</v>
      </c>
      <c r="N119" s="5" t="str">
        <v>否</v>
      </c>
      <c r="O119" s="5" t="str">
        <v>否</v>
      </c>
      <c r="P119" s="5" t="str">
        <v>营销费用</v>
      </c>
      <c r="Q119" s="5">
        <v>0</v>
      </c>
      <c r="R119" s="5">
        <v>0</v>
      </c>
      <c r="S119" s="157"/>
      <c r="T119" s="157"/>
      <c r="U119" s="157"/>
      <c r="V119" s="157"/>
      <c r="W119" s="61"/>
      <c r="X119" s="61"/>
      <c r="Y119" s="61"/>
      <c r="Z119" s="61"/>
      <c r="AA119" s="61"/>
      <c r="AB119" s="61"/>
      <c r="AC119" s="61"/>
      <c r="AD119" s="61"/>
      <c r="AE119" s="61"/>
      <c r="AF119" s="61"/>
      <c r="AG119" s="61"/>
      <c r="AH119" s="61"/>
    </row>
    <row r="120">
      <c r="A120" s="152" t="str">
        <v>GWP外采</v>
      </c>
      <c r="B120" s="153" t="str">
        <v>虚拟权益赠送</v>
      </c>
      <c r="C120" s="53">
        <f>VLOOKUP(B120,'收集数据表'!$A$2:$A$201,1,FALSE)</f>
      </c>
      <c r="D120" s="154" t="str">
        <v>品牌运营其他</v>
      </c>
      <c r="E120" s="154" t="str">
        <v>运营4P需求 - 外采</v>
      </c>
      <c r="F120" s="53" t="str">
        <v>#N/A</v>
      </c>
      <c r="G120" s="53" t="str">
        <v>否</v>
      </c>
      <c r="H120" s="53" t="str">
        <v>#N/A</v>
      </c>
      <c r="I120" s="53" t="str">
        <v>#N/A</v>
      </c>
      <c r="J120" s="53" t="str">
        <v>#N/A</v>
      </c>
      <c r="K120" s="151"/>
      <c r="L120" s="53" t="str">
        <v>#N/A</v>
      </c>
      <c r="M120" s="53" t="str">
        <v>#N/A</v>
      </c>
      <c r="N120" s="53" t="str">
        <v>#N/A</v>
      </c>
      <c r="O120" s="53" t="str">
        <v>#N/A</v>
      </c>
      <c r="P120" s="53" t="str">
        <v>#N/A</v>
      </c>
      <c r="Q120" s="53" t="str">
        <v>#N/A</v>
      </c>
      <c r="R120" s="53" t="str">
        <v>#N/A</v>
      </c>
      <c r="S120" s="151" t="str">
        <v>品牌运营中心</v>
      </c>
      <c r="T120" s="151" t="str">
        <v>运营策略部</v>
      </c>
      <c r="U120" s="151" t="str">
        <v>销售策略部</v>
      </c>
      <c r="V120" s="151"/>
      <c r="W120" s="150"/>
      <c r="X120" s="150"/>
      <c r="Y120" s="150"/>
      <c r="Z120" s="150"/>
      <c r="AA120" s="150"/>
      <c r="AB120" s="150"/>
      <c r="AC120" s="150"/>
      <c r="AD120" s="150"/>
      <c r="AE120" s="150"/>
      <c r="AF120" s="150"/>
      <c r="AG120" s="150"/>
      <c r="AH120" s="150"/>
    </row>
    <row r="121">
      <c r="A121" s="18" t="str">
        <v>天猫站外推广</v>
      </c>
      <c r="B121" s="1" t="str">
        <v>AD信息流</v>
      </c>
      <c r="C121" s="5">
        <f>VLOOKUP(B121,'收集数据表'!$A$2:$A$201,1,FALSE)</f>
      </c>
      <c r="D121" s="1" t="str">
        <v>平台电商推广</v>
      </c>
      <c r="E121" s="1" t="str">
        <v>竞价信息流-天猫</v>
      </c>
      <c r="F121" s="5" t="str">
        <v>竞价信息流-天猫</v>
      </c>
      <c r="G121" s="5" t="str">
        <v>是</v>
      </c>
      <c r="H121" s="5" t="str">
        <v>天猫花西子旗舰店</v>
      </c>
      <c r="I121" s="5" t="str">
        <v>天猫渠道</v>
      </c>
      <c r="J121" s="5" t="str">
        <v>天猫货架</v>
      </c>
      <c r="K121" s="3"/>
      <c r="L121" s="5" t="str">
        <v>是</v>
      </c>
      <c r="M121" s="5" t="str">
        <v>否</v>
      </c>
      <c r="N121" s="5" t="str">
        <v>否</v>
      </c>
      <c r="O121" s="5" t="str">
        <v>否</v>
      </c>
      <c r="P121" s="5" t="str">
        <v>营销费用</v>
      </c>
      <c r="Q121" s="5" t="str">
        <v>渠道推广费</v>
      </c>
      <c r="R121" s="5" t="str">
        <v>站外推广费</v>
      </c>
      <c r="S121" s="3" t="str">
        <v>品牌运营中心</v>
      </c>
      <c r="T121" s="3" t="str">
        <v>运营策略部</v>
      </c>
      <c r="U121" s="3" t="str">
        <v>天猫运营部</v>
      </c>
      <c r="V121" s="3" t="str">
        <v>天猫推广组</v>
      </c>
    </row>
    <row r="122">
      <c r="A122" s="4" t="str">
        <v>天猫站外推广</v>
      </c>
      <c r="B122" s="1" t="str">
        <v>UD信息流</v>
      </c>
      <c r="C122" s="5">
        <f>VLOOKUP(B122,'收集数据表'!$A$2:$A$201,1,FALSE)</f>
      </c>
      <c r="D122" s="1" t="str">
        <v>平台电商推广</v>
      </c>
      <c r="E122" s="1" t="str">
        <v>竞价信息流-天猫</v>
      </c>
      <c r="F122" s="5" t="str">
        <v>竞价信息流-天猫</v>
      </c>
      <c r="G122" s="5" t="str">
        <v>是</v>
      </c>
      <c r="H122" s="5" t="str">
        <v>天猫花西子旗舰店</v>
      </c>
      <c r="I122" s="5" t="str">
        <v>天猫渠道</v>
      </c>
      <c r="J122" s="5" t="str">
        <v>天猫货架</v>
      </c>
      <c r="K122" s="3"/>
      <c r="L122" s="5" t="str">
        <v>是</v>
      </c>
      <c r="M122" s="5" t="str">
        <v>否</v>
      </c>
      <c r="N122" s="5" t="str">
        <v>否</v>
      </c>
      <c r="O122" s="5" t="str">
        <v>否</v>
      </c>
      <c r="P122" s="5" t="str">
        <v>营销费用</v>
      </c>
      <c r="Q122" s="5" t="str">
        <v>渠道推广费</v>
      </c>
      <c r="R122" s="5" t="str">
        <v>站外推广费</v>
      </c>
      <c r="S122" s="3" t="str">
        <v>品牌运营中心</v>
      </c>
      <c r="T122" s="3" t="str">
        <v>运营策略部</v>
      </c>
      <c r="U122" s="3" t="str">
        <v>天猫运营部</v>
      </c>
      <c r="V122" s="3" t="str">
        <v>天猫推广组</v>
      </c>
    </row>
    <row r="123">
      <c r="A123" s="92" t="str">
        <v>天猫站外推广</v>
      </c>
      <c r="B123" s="4" t="str">
        <v>百度SEO竞价广告</v>
      </c>
      <c r="C123" s="5">
        <f>VLOOKUP(B123,'收集数据表'!$A$2:$A$201,1,FALSE)</f>
      </c>
      <c r="D123" s="1" t="str">
        <v>平台电商推广</v>
      </c>
      <c r="E123" s="1" t="str">
        <v>竞价信息流-天猫</v>
      </c>
      <c r="F123" s="5" t="str">
        <v>竞价信息流-天猫</v>
      </c>
      <c r="G123" s="5" t="str">
        <v>是</v>
      </c>
      <c r="H123" s="5" t="str">
        <v>天猫花西子旗舰店</v>
      </c>
      <c r="I123" s="5" t="str">
        <v>天猫渠道</v>
      </c>
      <c r="J123" s="5" t="str">
        <v>天猫货架</v>
      </c>
      <c r="K123" s="3"/>
      <c r="L123" s="5" t="str">
        <v>否</v>
      </c>
      <c r="M123" s="5" t="str">
        <v>否</v>
      </c>
      <c r="N123" s="5" t="str">
        <v>否</v>
      </c>
      <c r="O123" s="5" t="str">
        <v>否</v>
      </c>
      <c r="P123" s="5" t="str">
        <v>营销费用</v>
      </c>
      <c r="Q123" s="5" t="str">
        <v>渠道推广费</v>
      </c>
      <c r="R123" s="5" t="str">
        <v>站外推广费</v>
      </c>
      <c r="S123" s="3" t="str">
        <v>品牌运营中心</v>
      </c>
      <c r="T123" s="3" t="str">
        <v>运营策略部</v>
      </c>
      <c r="U123" s="3" t="str">
        <v>天猫运营部</v>
      </c>
      <c r="V123" s="3" t="str">
        <v>天猫推广组</v>
      </c>
    </row>
    <row r="124">
      <c r="A124" s="92" t="str">
        <v>天猫站外推广</v>
      </c>
      <c r="B124" s="4" t="str">
        <v>百度SEO搜索广告</v>
      </c>
      <c r="C124" s="5">
        <f>VLOOKUP(B124,'收集数据表'!$A$2:$A$201,1,FALSE)</f>
      </c>
      <c r="D124" s="1" t="str">
        <v>平台电商推广</v>
      </c>
      <c r="E124" s="1" t="str">
        <v>竞价信息流-天猫</v>
      </c>
      <c r="F124" s="5" t="str">
        <v>竞价信息流-天猫</v>
      </c>
      <c r="G124" s="5" t="str">
        <v>是</v>
      </c>
      <c r="H124" s="5" t="str">
        <v>天猫花西子旗舰店</v>
      </c>
      <c r="I124" s="5" t="str">
        <v>天猫渠道</v>
      </c>
      <c r="J124" s="5" t="str">
        <v>天猫货架</v>
      </c>
      <c r="K124" s="3"/>
      <c r="L124" s="5" t="str">
        <v>否</v>
      </c>
      <c r="M124" s="5" t="str">
        <v>否</v>
      </c>
      <c r="N124" s="5" t="str">
        <v>否</v>
      </c>
      <c r="O124" s="5" t="str">
        <v>否</v>
      </c>
      <c r="P124" s="5" t="str">
        <v>营销费用</v>
      </c>
      <c r="Q124" s="5" t="str">
        <v>渠道推广费</v>
      </c>
      <c r="R124" s="5" t="str">
        <v>站外推广费</v>
      </c>
      <c r="S124" s="3" t="str">
        <v>品牌运营中心</v>
      </c>
      <c r="T124" s="3" t="str">
        <v>运营策略部</v>
      </c>
      <c r="U124" s="3" t="str">
        <v>天猫运营部</v>
      </c>
      <c r="V124" s="3" t="str">
        <v>天猫推广组</v>
      </c>
    </row>
    <row r="125">
      <c r="A125" s="18" t="str">
        <v>天猫站外推广</v>
      </c>
      <c r="B125" s="1" t="str">
        <v>磁力引擎</v>
      </c>
      <c r="C125" s="5">
        <f>VLOOKUP(B125,'收集数据表'!$A$2:$A$201,1,FALSE)</f>
      </c>
      <c r="D125" s="1" t="str">
        <v>平台电商推广</v>
      </c>
      <c r="E125" s="1" t="str">
        <v>竞价信息流-天猫</v>
      </c>
      <c r="F125" s="5" t="str">
        <v>竞价信息流-天猫</v>
      </c>
      <c r="G125" s="5" t="str">
        <v>是</v>
      </c>
      <c r="H125" s="5" t="str">
        <v>天猫花西子旗舰店</v>
      </c>
      <c r="I125" s="5" t="str">
        <v>天猫渠道</v>
      </c>
      <c r="J125" s="5" t="str">
        <v>天猫货架</v>
      </c>
      <c r="K125" s="3"/>
      <c r="L125" s="5" t="str">
        <v>是</v>
      </c>
      <c r="M125" s="5" t="str">
        <v>否</v>
      </c>
      <c r="N125" s="5" t="str">
        <v>否</v>
      </c>
      <c r="O125" s="5" t="str">
        <v>否</v>
      </c>
      <c r="P125" s="5" t="str">
        <v>营销费用</v>
      </c>
      <c r="Q125" s="5" t="str">
        <v>渠道推广费</v>
      </c>
      <c r="R125" s="5" t="str">
        <v>站外推广费</v>
      </c>
      <c r="S125" s="3" t="str">
        <v>品牌运营中心</v>
      </c>
      <c r="T125" s="3" t="str">
        <v>运营策略部</v>
      </c>
      <c r="U125" s="3" t="str">
        <v>天猫运营部</v>
      </c>
      <c r="V125" s="3" t="str">
        <v>天猫推广组</v>
      </c>
    </row>
    <row r="126">
      <c r="A126" s="178" t="str">
        <v>得物渠道推广</v>
      </c>
      <c r="B126" s="56" t="str">
        <v>得物平台服务费</v>
      </c>
      <c r="C126" s="53">
        <f>VLOOKUP(B126,'收集数据表'!$A$2:$A$201,1,FALSE)</f>
      </c>
      <c r="D126" s="56" t="str">
        <v>平台电商推广</v>
      </c>
      <c r="E126" s="56" t="str">
        <v>自营其他渠道推广</v>
      </c>
      <c r="F126" s="53" t="str">
        <v>#N/A</v>
      </c>
      <c r="G126" s="53" t="str">
        <v>#N/A</v>
      </c>
      <c r="H126" s="53" t="str">
        <v>#N/A</v>
      </c>
      <c r="I126" s="53" t="str">
        <v>#N/A</v>
      </c>
      <c r="J126" s="53" t="str">
        <v>#N/A</v>
      </c>
      <c r="K126" s="57"/>
      <c r="L126" s="53" t="str">
        <v>#N/A</v>
      </c>
      <c r="M126" s="53" t="str">
        <v>#N/A</v>
      </c>
      <c r="N126" s="53" t="str">
        <v>#N/A</v>
      </c>
      <c r="O126" s="53" t="str">
        <v>#N/A</v>
      </c>
      <c r="P126" s="53" t="str">
        <v>#N/A</v>
      </c>
      <c r="Q126" s="53" t="str">
        <v>#N/A</v>
      </c>
      <c r="R126" s="53" t="str">
        <v>#N/A</v>
      </c>
      <c r="S126" s="57" t="str">
        <v>品牌运营中心</v>
      </c>
      <c r="T126" s="57" t="str">
        <v>渠道运营部</v>
      </c>
      <c r="U126" s="57" t="str">
        <v>综合渠道运营部</v>
      </c>
      <c r="V126" s="57" t="str">
        <v>综合渠道运营部</v>
      </c>
      <c r="W126" s="150"/>
      <c r="X126" s="150"/>
      <c r="Y126" s="150"/>
      <c r="Z126" s="150"/>
      <c r="AA126" s="150"/>
      <c r="AB126" s="150"/>
      <c r="AC126" s="150"/>
      <c r="AD126" s="150"/>
      <c r="AE126" s="150"/>
      <c r="AF126" s="150"/>
      <c r="AG126" s="150"/>
      <c r="AH126" s="150"/>
    </row>
    <row customHeight="true" ht="20" r="127">
      <c r="A127" s="179"/>
      <c r="B127" s="55" t="str">
        <v>得物推广费</v>
      </c>
      <c r="C127" s="53"/>
      <c r="D127" s="56"/>
      <c r="E127" s="56"/>
      <c r="F127" s="53" t="str">
        <v>#N/A</v>
      </c>
      <c r="G127" s="53" t="str">
        <v>#N/A</v>
      </c>
      <c r="H127" s="53" t="str">
        <v>#N/A</v>
      </c>
      <c r="I127" s="53" t="str">
        <v>#N/A</v>
      </c>
      <c r="J127" s="53" t="str">
        <v>#N/A</v>
      </c>
      <c r="K127" s="57"/>
      <c r="L127" s="53" t="str">
        <v>#N/A</v>
      </c>
      <c r="M127" s="53" t="str">
        <v>#N/A</v>
      </c>
      <c r="N127" s="53" t="str">
        <v>#N/A</v>
      </c>
      <c r="O127" s="53" t="str">
        <v>#N/A</v>
      </c>
      <c r="P127" s="53" t="str">
        <v>#N/A</v>
      </c>
      <c r="Q127" s="53" t="str">
        <v>#N/A</v>
      </c>
      <c r="R127" s="53" t="str">
        <v>#N/A</v>
      </c>
      <c r="S127" s="57"/>
      <c r="T127" s="57"/>
      <c r="U127" s="57"/>
      <c r="V127" s="57"/>
      <c r="W127" s="150"/>
      <c r="X127" s="150"/>
      <c r="Y127" s="150"/>
      <c r="Z127" s="150"/>
      <c r="AA127" s="150"/>
      <c r="AB127" s="150"/>
      <c r="AC127" s="150"/>
      <c r="AD127" s="150"/>
      <c r="AE127" s="150"/>
      <c r="AF127" s="150"/>
      <c r="AG127" s="150"/>
      <c r="AH127" s="150"/>
    </row>
    <row r="128">
      <c r="A128" s="92" t="str">
        <v>京东渠道推广-POP</v>
      </c>
      <c r="B128" s="4" t="str">
        <v>京东POP-合约展位</v>
      </c>
      <c r="C128" s="5">
        <f>VLOOKUP(B128,'收集数据表'!$A$2:$A$201,1,FALSE)</f>
      </c>
      <c r="D128" s="1" t="str">
        <v>平台电商推广</v>
      </c>
      <c r="E128" s="1" t="str">
        <v>京东渠道推广（POP）</v>
      </c>
      <c r="F128" s="5" t="str">
        <v>京东渠道推广（POP）</v>
      </c>
      <c r="G128" s="5" t="str">
        <v>是</v>
      </c>
      <c r="H128" s="5" t="str">
        <v>京东花西子旗舰店</v>
      </c>
      <c r="I128" s="5" t="str">
        <v>京东渠道</v>
      </c>
      <c r="J128" s="147" t="str">
        <v>京东花西子旗舰店</v>
      </c>
      <c r="K128" s="3"/>
      <c r="L128" s="5" t="str">
        <v>否</v>
      </c>
      <c r="M128" s="5" t="str">
        <v>否</v>
      </c>
      <c r="N128" s="5" t="str">
        <v>否</v>
      </c>
      <c r="O128" s="5" t="str">
        <v>否</v>
      </c>
      <c r="P128" s="5" t="str">
        <v>营销费用</v>
      </c>
      <c r="Q128" s="5" t="str">
        <v>渠道推广费</v>
      </c>
      <c r="R128" s="5" t="str">
        <v>站内推广费</v>
      </c>
      <c r="S128" s="3" t="str">
        <v>品牌运营中心</v>
      </c>
      <c r="T128" s="3" t="str">
        <v>渠道运营部</v>
      </c>
      <c r="U128" s="3" t="str">
        <v>特色电商部</v>
      </c>
      <c r="V128" s="3" t="str">
        <v>京东唯品推广组</v>
      </c>
    </row>
    <row r="129">
      <c r="A129" s="92" t="str">
        <v>京东渠道推广-POP</v>
      </c>
      <c r="B129" s="4" t="str">
        <v>京东POP-京桥</v>
      </c>
      <c r="C129" s="5">
        <f>VLOOKUP(B129,'收集数据表'!$A$2:$A$201,1,FALSE)</f>
      </c>
      <c r="D129" s="1" t="str">
        <v>平台电商推广</v>
      </c>
      <c r="E129" s="1" t="str">
        <v>京东渠道推广（POP）</v>
      </c>
      <c r="F129" s="5" t="str">
        <v>京东渠道推广（POP）</v>
      </c>
      <c r="G129" s="5" t="str">
        <v>是</v>
      </c>
      <c r="H129" s="5" t="str">
        <v>京东花西子旗舰店</v>
      </c>
      <c r="I129" s="5" t="str">
        <v>京东渠道</v>
      </c>
      <c r="J129" s="147" t="str">
        <v>京东花西子旗舰店</v>
      </c>
      <c r="K129" s="3"/>
      <c r="L129" s="5" t="str">
        <v>否</v>
      </c>
      <c r="M129" s="5" t="str">
        <v>否</v>
      </c>
      <c r="N129" s="5" t="str">
        <v>否</v>
      </c>
      <c r="O129" s="5" t="str">
        <v>否</v>
      </c>
      <c r="P129" s="5" t="str">
        <v>营销费用</v>
      </c>
      <c r="Q129" s="5" t="str">
        <v>渠道推广费</v>
      </c>
      <c r="R129" s="5" t="str">
        <v>站内推广费</v>
      </c>
      <c r="S129" s="3" t="str">
        <v>品牌运营中心</v>
      </c>
      <c r="T129" s="3" t="str">
        <v>渠道运营部</v>
      </c>
      <c r="U129" s="3" t="str">
        <v>特色电商部</v>
      </c>
      <c r="V129" s="3" t="str">
        <v>京东唯品推广组</v>
      </c>
    </row>
    <row r="130">
      <c r="A130" s="92" t="str">
        <v>京东渠道推广-POP</v>
      </c>
      <c r="B130" s="4" t="str">
        <v>京东POP-京任务</v>
      </c>
      <c r="C130" s="5">
        <f>VLOOKUP(B130,'收集数据表'!$A$2:$A$201,1,FALSE)</f>
      </c>
      <c r="D130" s="1" t="str">
        <v>平台电商推广</v>
      </c>
      <c r="E130" s="1" t="str">
        <v>京东渠道推广（POP）</v>
      </c>
      <c r="F130" s="5" t="str">
        <v>京东渠道推广（POP）</v>
      </c>
      <c r="G130" s="5" t="str">
        <v>是</v>
      </c>
      <c r="H130" s="5" t="str">
        <v>京东花西子旗舰店</v>
      </c>
      <c r="I130" s="5" t="str">
        <v>京东渠道</v>
      </c>
      <c r="J130" s="147" t="str">
        <v>京东花西子旗舰店</v>
      </c>
      <c r="K130" s="3"/>
      <c r="L130" s="5" t="str">
        <v>否</v>
      </c>
      <c r="M130" s="5" t="str">
        <v>否</v>
      </c>
      <c r="N130" s="5" t="str">
        <v>否</v>
      </c>
      <c r="O130" s="5" t="str">
        <v>否</v>
      </c>
      <c r="P130" s="5" t="str">
        <v>营销费用</v>
      </c>
      <c r="Q130" s="5" t="str">
        <v>渠道推广费</v>
      </c>
      <c r="R130" s="5" t="str">
        <v>站内推广费</v>
      </c>
      <c r="S130" s="3" t="str">
        <v>品牌运营中心</v>
      </c>
      <c r="T130" s="3" t="str">
        <v>渠道运营部</v>
      </c>
      <c r="U130" s="3" t="str">
        <v>特色电商部</v>
      </c>
      <c r="V130" s="3" t="str">
        <v>京东唯品推广组</v>
      </c>
    </row>
    <row r="131">
      <c r="A131" s="92" t="str">
        <v>京东渠道推广-POP</v>
      </c>
      <c r="B131" s="4" t="str">
        <v>京东POP-京挑客</v>
      </c>
      <c r="C131" s="5">
        <f>VLOOKUP(B131,'收集数据表'!$A$2:$A$201,1,FALSE)</f>
      </c>
      <c r="D131" s="1" t="str">
        <v>平台电商推广</v>
      </c>
      <c r="E131" s="1" t="str">
        <v>京东渠道推广（POP）</v>
      </c>
      <c r="F131" s="5" t="str">
        <v>京东渠道推广（POP）</v>
      </c>
      <c r="G131" s="5" t="str">
        <v>是</v>
      </c>
      <c r="H131" s="5" t="str">
        <v>京东花西子旗舰店</v>
      </c>
      <c r="I131" s="5" t="str">
        <v>京东渠道</v>
      </c>
      <c r="J131" s="147" t="str">
        <v>京东花西子旗舰店</v>
      </c>
      <c r="K131" s="3"/>
      <c r="L131" s="5" t="str">
        <v>是</v>
      </c>
      <c r="M131" s="5" t="str">
        <v>是</v>
      </c>
      <c r="N131" s="5" t="str">
        <v>否</v>
      </c>
      <c r="O131" s="5" t="str">
        <v>否</v>
      </c>
      <c r="P131" s="5" t="str">
        <v>营销费用</v>
      </c>
      <c r="Q131" s="5" t="str">
        <v>渠道推广费</v>
      </c>
      <c r="R131" s="5" t="str">
        <v>站内推广费</v>
      </c>
      <c r="S131" s="3" t="str">
        <v>品牌运营中心</v>
      </c>
      <c r="T131" s="3" t="str">
        <v>渠道运营部</v>
      </c>
      <c r="U131" s="3" t="str">
        <v>特色电商部</v>
      </c>
      <c r="V131" s="3" t="str">
        <v>京东唯品推广组</v>
      </c>
    </row>
    <row r="132">
      <c r="A132" s="92" t="str">
        <v>京东渠道推广-POP</v>
      </c>
      <c r="B132" s="4" t="str">
        <v>京东POP-京准通常规投放</v>
      </c>
      <c r="C132" s="5">
        <f>VLOOKUP(B132,'收集数据表'!$A$2:$A$201,1,FALSE)</f>
      </c>
      <c r="D132" s="1" t="str">
        <v>平台电商推广</v>
      </c>
      <c r="E132" s="1" t="str">
        <v>京东渠道推广（POP）</v>
      </c>
      <c r="F132" s="5" t="str">
        <v>京东渠道推广（POP）</v>
      </c>
      <c r="G132" s="5" t="str">
        <v>是</v>
      </c>
      <c r="H132" s="5" t="str">
        <v>京东花西子旗舰店</v>
      </c>
      <c r="I132" s="5" t="str">
        <v>京东渠道</v>
      </c>
      <c r="J132" s="147" t="str">
        <v>京东花西子旗舰店</v>
      </c>
      <c r="K132" s="3"/>
      <c r="L132" s="5" t="str">
        <v>是</v>
      </c>
      <c r="M132" s="5" t="str">
        <v>是</v>
      </c>
      <c r="N132" s="5" t="str">
        <v>否</v>
      </c>
      <c r="O132" s="5" t="str">
        <v>否</v>
      </c>
      <c r="P132" s="5" t="str">
        <v>营销费用</v>
      </c>
      <c r="Q132" s="5" t="str">
        <v>渠道推广费</v>
      </c>
      <c r="R132" s="5" t="str">
        <v>站内推广费</v>
      </c>
      <c r="S132" s="3" t="str">
        <v>品牌运营中心</v>
      </c>
      <c r="T132" s="3" t="str">
        <v>渠道运营部</v>
      </c>
      <c r="U132" s="3" t="str">
        <v>特色电商部</v>
      </c>
      <c r="V132" s="3" t="str">
        <v>京东唯品推广组</v>
      </c>
    </row>
    <row r="133">
      <c r="A133" s="92" t="str">
        <v>京东渠道推广-POP</v>
      </c>
      <c r="B133" s="4" t="str">
        <v>京东POP-联合活动</v>
      </c>
      <c r="C133" s="5">
        <f>VLOOKUP(B133,'收集数据表'!$A$2:$A$201,1,FALSE)</f>
      </c>
      <c r="D133" s="1" t="str">
        <v>平台电商推广</v>
      </c>
      <c r="E133" s="1" t="str">
        <v>京东渠道推广（POP）</v>
      </c>
      <c r="F133" s="5" t="str">
        <v>京东渠道推广（POP）</v>
      </c>
      <c r="G133" s="5" t="str">
        <v>是</v>
      </c>
      <c r="H133" s="5" t="str">
        <v>京东花西子旗舰店</v>
      </c>
      <c r="I133" s="5" t="str">
        <v>京东渠道</v>
      </c>
      <c r="J133" s="147" t="str">
        <v>京东花西子旗舰店</v>
      </c>
      <c r="K133" s="3"/>
      <c r="L133" s="5" t="str">
        <v>否</v>
      </c>
      <c r="M133" s="5" t="str">
        <v>否</v>
      </c>
      <c r="N133" s="5" t="str">
        <v>否</v>
      </c>
      <c r="O133" s="5" t="str">
        <v>否</v>
      </c>
      <c r="P133" s="5" t="str">
        <v>营销费用</v>
      </c>
      <c r="Q133" s="5" t="str">
        <v>渠道推广费</v>
      </c>
      <c r="R133" s="5" t="str">
        <v>站内推广费</v>
      </c>
      <c r="S133" s="3" t="str">
        <v>品牌运营中心</v>
      </c>
      <c r="T133" s="3" t="str">
        <v>渠道运营部</v>
      </c>
      <c r="U133" s="3" t="str">
        <v>特色电商部</v>
      </c>
      <c r="V133" s="3" t="str">
        <v>京东唯品推广组</v>
      </c>
    </row>
    <row r="134">
      <c r="A134" s="187" t="str">
        <v>京东渠道推广-自营</v>
      </c>
      <c r="B134" s="39" t="str">
        <v>京东达播服务费</v>
      </c>
      <c r="C134" s="38">
        <f>VLOOKUP(B134,'收集数据表'!$A$2:$A$201,1,FALSE)</f>
      </c>
      <c r="D134" s="37" t="str">
        <v>平台电商推广</v>
      </c>
      <c r="E134" s="37" t="str">
        <v>达播-京东</v>
      </c>
      <c r="F134" s="38" t="str">
        <v>达播-京东</v>
      </c>
      <c r="G134" s="38" t="str">
        <v>是</v>
      </c>
      <c r="H134" s="38" t="str">
        <v>花西子京东自营旗舰店</v>
      </c>
      <c r="I134" s="38" t="str">
        <v>京东渠道</v>
      </c>
      <c r="J134" s="186" t="str">
        <v>京东花西子自营店</v>
      </c>
      <c r="K134" s="40"/>
      <c r="L134" s="38" t="str">
        <v>否</v>
      </c>
      <c r="M134" s="38" t="str">
        <v>否</v>
      </c>
      <c r="N134" s="38" t="str">
        <v>否</v>
      </c>
      <c r="O134" s="38" t="str">
        <v>否</v>
      </c>
      <c r="P134" s="38" t="str">
        <v>营销费用</v>
      </c>
      <c r="Q134" s="38" t="str">
        <v>渠道推广费</v>
      </c>
      <c r="R134" s="38" t="str">
        <v>直播坑位费</v>
      </c>
      <c r="S134" s="40" t="str">
        <v>品牌运营中心</v>
      </c>
      <c r="T134" s="40" t="str">
        <v>渠道运营部</v>
      </c>
      <c r="U134" s="40" t="str">
        <v>特色电商部</v>
      </c>
      <c r="V134" s="40" t="str">
        <v>京东部</v>
      </c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  <c r="AH134" s="185"/>
    </row>
    <row r="135">
      <c r="A135" s="187" t="str">
        <v>京东渠道推广-自营</v>
      </c>
      <c r="B135" s="39" t="str">
        <v>京东达播佣金</v>
      </c>
      <c r="C135" s="38">
        <f>VLOOKUP(B135,'收集数据表'!$A$2:$A$201,1,FALSE)</f>
      </c>
      <c r="D135" s="37" t="str">
        <v>平台电商推广</v>
      </c>
      <c r="E135" s="37" t="str">
        <v>达播-京东</v>
      </c>
      <c r="F135" s="38" t="str">
        <v>达播-京东</v>
      </c>
      <c r="G135" s="38" t="str">
        <v>是</v>
      </c>
      <c r="H135" s="38" t="str">
        <v>花西子京东自营旗舰店</v>
      </c>
      <c r="I135" s="38" t="str">
        <v>京东渠道</v>
      </c>
      <c r="J135" s="186" t="str">
        <v>京东花西子自营店</v>
      </c>
      <c r="K135" s="40"/>
      <c r="L135" s="38" t="str">
        <v>否</v>
      </c>
      <c r="M135" s="38" t="str">
        <v>否</v>
      </c>
      <c r="N135" s="38" t="str">
        <v>否</v>
      </c>
      <c r="O135" s="38" t="str">
        <v>否</v>
      </c>
      <c r="P135" s="38" t="str">
        <v>营销费用</v>
      </c>
      <c r="Q135" s="38" t="str">
        <v>渠道推广费</v>
      </c>
      <c r="R135" s="38" t="str">
        <v>直播服务费</v>
      </c>
      <c r="S135" s="40" t="str">
        <v>品牌运营中心</v>
      </c>
      <c r="T135" s="40" t="str">
        <v>渠道运营部</v>
      </c>
      <c r="U135" s="40" t="str">
        <v>特色电商部</v>
      </c>
      <c r="V135" s="40" t="str">
        <v>京东部</v>
      </c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  <c r="AH135" s="185"/>
    </row>
    <row r="136">
      <c r="A136" s="92" t="str">
        <v>京东渠道推广-自营</v>
      </c>
      <c r="B136" s="4" t="str">
        <v>京东自播服务</v>
      </c>
      <c r="C136" s="5">
        <f>VLOOKUP(B136,'收集数据表'!$A$2:$A$201,1,FALSE)</f>
      </c>
      <c r="D136" s="1" t="str">
        <v>平台电商推广</v>
      </c>
      <c r="E136" s="1" t="str">
        <v>京东自播服务费</v>
      </c>
      <c r="F136" s="5" t="str">
        <v>京东自播服务费</v>
      </c>
      <c r="G136" s="5" t="str">
        <v>是</v>
      </c>
      <c r="H136" s="5" t="str">
        <v>花西子京东自营旗舰店</v>
      </c>
      <c r="I136" s="5" t="str">
        <v>京东渠道</v>
      </c>
      <c r="J136" s="147" t="str">
        <v>京东花西子自营店</v>
      </c>
      <c r="K136" s="3"/>
      <c r="L136" s="5" t="str">
        <v>否</v>
      </c>
      <c r="M136" s="5" t="str">
        <v>否</v>
      </c>
      <c r="N136" s="5" t="str">
        <v>否</v>
      </c>
      <c r="O136" s="5" t="str">
        <v>否</v>
      </c>
      <c r="P136" s="5" t="str">
        <v>营销费用</v>
      </c>
      <c r="Q136" s="5" t="str">
        <v>渠道推广费</v>
      </c>
      <c r="R136" s="5" t="str">
        <v>直播服务费</v>
      </c>
      <c r="S136" s="3" t="str">
        <v>品牌运营中心</v>
      </c>
      <c r="T136" s="3" t="str">
        <v>渠道运营部</v>
      </c>
      <c r="U136" s="3" t="str">
        <v>特色电商部</v>
      </c>
      <c r="V136" s="3" t="str">
        <v>京东部</v>
      </c>
    </row>
    <row r="137">
      <c r="A137" s="92" t="str">
        <v>京东渠道推广-自营</v>
      </c>
      <c r="B137" s="4" t="str">
        <v>京东自营-合约展位</v>
      </c>
      <c r="C137" s="5">
        <f>VLOOKUP(B137,'收集数据表'!$A$2:$A$201,1,FALSE)</f>
      </c>
      <c r="D137" s="1" t="str">
        <v>平台电商推广</v>
      </c>
      <c r="E137" s="1" t="str">
        <v>京东渠道推广（自营）</v>
      </c>
      <c r="F137" s="5" t="str">
        <v>京东渠道推广（自营）</v>
      </c>
      <c r="G137" s="5" t="str">
        <v>是</v>
      </c>
      <c r="H137" s="5" t="str">
        <v>花西子京东自营旗舰店</v>
      </c>
      <c r="I137" s="5" t="str">
        <v>京东渠道</v>
      </c>
      <c r="J137" s="147" t="str">
        <v>京东花西子自营店</v>
      </c>
      <c r="K137" s="3"/>
      <c r="L137" s="5" t="str">
        <v>否</v>
      </c>
      <c r="M137" s="5" t="str">
        <v>否</v>
      </c>
      <c r="N137" s="5" t="str">
        <v>否</v>
      </c>
      <c r="O137" s="5" t="str">
        <v>否</v>
      </c>
      <c r="P137" s="5" t="str">
        <v>营销费用</v>
      </c>
      <c r="Q137" s="5" t="str">
        <v>渠道推广费</v>
      </c>
      <c r="R137" s="5" t="str">
        <v>站内推广费</v>
      </c>
      <c r="S137" s="3" t="str">
        <v>品牌运营中心</v>
      </c>
      <c r="T137" s="3" t="str">
        <v>渠道运营部</v>
      </c>
      <c r="U137" s="3" t="str">
        <v>特色电商部</v>
      </c>
      <c r="V137" s="3" t="str">
        <v>京东唯品推广组</v>
      </c>
    </row>
    <row r="138">
      <c r="A138" s="92" t="str">
        <v>京东渠道推广-自营</v>
      </c>
      <c r="B138" s="4" t="str">
        <v>京东自营-京桥</v>
      </c>
      <c r="C138" s="5">
        <f>VLOOKUP(B138,'收集数据表'!$A$2:$A$201,1,FALSE)</f>
      </c>
      <c r="D138" s="1" t="str">
        <v>平台电商推广</v>
      </c>
      <c r="E138" s="1" t="str">
        <v>京东渠道推广（自营）</v>
      </c>
      <c r="F138" s="5" t="str">
        <v>京东渠道推广（自营）</v>
      </c>
      <c r="G138" s="5" t="str">
        <v>是</v>
      </c>
      <c r="H138" s="5" t="str">
        <v>花西子京东自营旗舰店</v>
      </c>
      <c r="I138" s="5" t="str">
        <v>京东渠道</v>
      </c>
      <c r="J138" s="147" t="str">
        <v>京东花西子自营店</v>
      </c>
      <c r="K138" s="3"/>
      <c r="L138" s="5" t="str">
        <v>否</v>
      </c>
      <c r="M138" s="5" t="str">
        <v>否</v>
      </c>
      <c r="N138" s="5" t="str">
        <v>否</v>
      </c>
      <c r="O138" s="5" t="str">
        <v>否</v>
      </c>
      <c r="P138" s="5" t="str">
        <v>营销费用</v>
      </c>
      <c r="Q138" s="5" t="str">
        <v>渠道推广费</v>
      </c>
      <c r="R138" s="5" t="str">
        <v>站内推广费</v>
      </c>
      <c r="S138" s="3" t="str">
        <v>品牌运营中心</v>
      </c>
      <c r="T138" s="3" t="str">
        <v>渠道运营部</v>
      </c>
      <c r="U138" s="3" t="str">
        <v>特色电商部</v>
      </c>
      <c r="V138" s="3" t="str">
        <v>京东唯品推广组</v>
      </c>
    </row>
    <row r="139">
      <c r="A139" s="92" t="str">
        <v>京东渠道推广-自营</v>
      </c>
      <c r="B139" s="4" t="str">
        <v>京东自营-京任务</v>
      </c>
      <c r="C139" s="5">
        <f>VLOOKUP(B139,'收集数据表'!$A$2:$A$201,1,FALSE)</f>
      </c>
      <c r="D139" s="1" t="str">
        <v>平台电商推广</v>
      </c>
      <c r="E139" s="1" t="str">
        <v>京东渠道推广（自营）</v>
      </c>
      <c r="F139" s="5" t="str">
        <v>京东渠道推广（自营）</v>
      </c>
      <c r="G139" s="5" t="str">
        <v>是</v>
      </c>
      <c r="H139" s="5" t="str">
        <v>花西子京东自营旗舰店</v>
      </c>
      <c r="I139" s="5" t="str">
        <v>京东渠道</v>
      </c>
      <c r="J139" s="147" t="str">
        <v>京东花西子自营店</v>
      </c>
      <c r="K139" s="3"/>
      <c r="L139" s="5" t="str">
        <v>否</v>
      </c>
      <c r="M139" s="5" t="str">
        <v>否</v>
      </c>
      <c r="N139" s="5" t="str">
        <v>否</v>
      </c>
      <c r="O139" s="5" t="str">
        <v>否</v>
      </c>
      <c r="P139" s="5" t="str">
        <v>营销费用</v>
      </c>
      <c r="Q139" s="5" t="str">
        <v>渠道推广费</v>
      </c>
      <c r="R139" s="5" t="str">
        <v>站内推广费</v>
      </c>
      <c r="S139" s="3" t="str">
        <v>品牌运营中心</v>
      </c>
      <c r="T139" s="3" t="str">
        <v>渠道运营部</v>
      </c>
      <c r="U139" s="3" t="str">
        <v>特色电商部</v>
      </c>
      <c r="V139" s="3" t="str">
        <v>京东唯品推广组</v>
      </c>
    </row>
    <row r="140">
      <c r="A140" s="92" t="str">
        <v>京东渠道推广-自营</v>
      </c>
      <c r="B140" s="4" t="str">
        <v>京东自营-京挑客</v>
      </c>
      <c r="C140" s="5">
        <f>VLOOKUP(B140,'收集数据表'!$A$2:$A$201,1,FALSE)</f>
      </c>
      <c r="D140" s="1" t="str">
        <v>平台电商推广</v>
      </c>
      <c r="E140" s="1" t="str">
        <v>京东渠道推广（自营）</v>
      </c>
      <c r="F140" s="5" t="str">
        <v>京东渠道推广（自营）</v>
      </c>
      <c r="G140" s="5" t="str">
        <v>是</v>
      </c>
      <c r="H140" s="5" t="str">
        <v>花西子京东自营旗舰店</v>
      </c>
      <c r="I140" s="5" t="str">
        <v>京东渠道</v>
      </c>
      <c r="J140" s="147" t="str">
        <v>京东花西子自营店</v>
      </c>
      <c r="K140" s="3"/>
      <c r="L140" s="5" t="str">
        <v>是</v>
      </c>
      <c r="M140" s="5" t="str">
        <v>是</v>
      </c>
      <c r="N140" s="5" t="str">
        <v>否</v>
      </c>
      <c r="O140" s="5" t="str">
        <v>否</v>
      </c>
      <c r="P140" s="5" t="str">
        <v>营销费用</v>
      </c>
      <c r="Q140" s="5" t="str">
        <v>渠道推广费</v>
      </c>
      <c r="R140" s="5" t="str">
        <v>站内推广费</v>
      </c>
      <c r="S140" s="3" t="str">
        <v>品牌运营中心</v>
      </c>
      <c r="T140" s="3" t="str">
        <v>渠道运营部</v>
      </c>
      <c r="U140" s="3" t="str">
        <v>特色电商部</v>
      </c>
      <c r="V140" s="3" t="str">
        <v>京东唯品推广组</v>
      </c>
    </row>
    <row r="141">
      <c r="A141" s="92" t="str">
        <v>京东渠道推广-自营</v>
      </c>
      <c r="B141" s="4" t="str">
        <v>京东自营-京准通常规投放</v>
      </c>
      <c r="C141" s="5">
        <f>VLOOKUP(B141,'收集数据表'!$A$2:$A$201,1,FALSE)</f>
      </c>
      <c r="D141" s="1" t="str">
        <v>平台电商推广</v>
      </c>
      <c r="E141" s="1" t="str">
        <v>京东渠道推广（自营）</v>
      </c>
      <c r="F141" s="5" t="str">
        <v>京东渠道推广（自营）</v>
      </c>
      <c r="G141" s="5" t="str">
        <v>是</v>
      </c>
      <c r="H141" s="5" t="str">
        <v>花西子京东自营旗舰店</v>
      </c>
      <c r="I141" s="5" t="str">
        <v>京东渠道</v>
      </c>
      <c r="J141" s="147" t="str">
        <v>京东花西子自营店</v>
      </c>
      <c r="K141" s="3"/>
      <c r="L141" s="31" t="str">
        <v>是</v>
      </c>
      <c r="M141" s="31" t="str">
        <v>是</v>
      </c>
      <c r="N141" s="5" t="str">
        <v>否</v>
      </c>
      <c r="O141" s="5" t="str">
        <v>否</v>
      </c>
      <c r="P141" s="5" t="str">
        <v>营销费用</v>
      </c>
      <c r="Q141" s="5" t="str">
        <v>渠道推广费</v>
      </c>
      <c r="R141" s="5" t="str">
        <v>站内推广费</v>
      </c>
      <c r="S141" s="3" t="str">
        <v>品牌运营中心</v>
      </c>
      <c r="T141" s="3" t="str">
        <v>渠道运营部</v>
      </c>
      <c r="U141" s="3" t="str">
        <v>特色电商部</v>
      </c>
      <c r="V141" s="3" t="str">
        <v>京东唯品推广组</v>
      </c>
    </row>
    <row r="142">
      <c r="A142" s="92" t="str">
        <v>京东渠道推广-自营</v>
      </c>
      <c r="B142" s="4" t="str">
        <v>京东自营-联合活动</v>
      </c>
      <c r="C142" s="5">
        <f>VLOOKUP(B142,'收集数据表'!$A$2:$A$201,1,FALSE)</f>
      </c>
      <c r="D142" s="1" t="str">
        <v>平台电商推广</v>
      </c>
      <c r="E142" s="1" t="str">
        <v>京东渠道推广（自营）</v>
      </c>
      <c r="F142" s="5" t="str">
        <v>京东渠道推广（自营）</v>
      </c>
      <c r="G142" s="5" t="str">
        <v>是</v>
      </c>
      <c r="H142" s="5" t="str">
        <v>花西子京东自营旗舰店</v>
      </c>
      <c r="I142" s="5" t="str">
        <v>京东渠道</v>
      </c>
      <c r="J142" s="147" t="str">
        <v>京东花西子自营店</v>
      </c>
      <c r="K142" s="3"/>
      <c r="L142" s="5" t="str">
        <v>否</v>
      </c>
      <c r="M142" s="5" t="str">
        <v>否</v>
      </c>
      <c r="N142" s="5" t="str">
        <v>否</v>
      </c>
      <c r="O142" s="5" t="str">
        <v>否</v>
      </c>
      <c r="P142" s="5" t="str">
        <v>营销费用</v>
      </c>
      <c r="Q142" s="5" t="str">
        <v>渠道推广费</v>
      </c>
      <c r="R142" s="5" t="str">
        <v>站内推广费</v>
      </c>
      <c r="S142" s="3" t="str">
        <v>品牌运营中心</v>
      </c>
      <c r="T142" s="3" t="str">
        <v>渠道运营部</v>
      </c>
      <c r="U142" s="3" t="str">
        <v>特色电商部</v>
      </c>
      <c r="V142" s="3" t="str">
        <v>京东唯品推广组</v>
      </c>
    </row>
    <row r="143">
      <c r="A143" s="92" t="str">
        <v>拼多多渠道推广</v>
      </c>
      <c r="B143" s="149" t="str">
        <v>拼多多-联合投放</v>
      </c>
      <c r="C143" s="5">
        <f>VLOOKUP(B143,'收集数据表'!$A$2:$A$201,1,FALSE)</f>
      </c>
      <c r="D143" s="1" t="str">
        <v>平台电商推广</v>
      </c>
      <c r="E143" s="1" t="str">
        <v>拼多多渠道推广</v>
      </c>
      <c r="F143" s="5" t="str">
        <v>拼多多渠道推广</v>
      </c>
      <c r="G143" s="5" t="str">
        <v>是</v>
      </c>
      <c r="H143" s="5" t="str">
        <v>拼多多花西子专卖店
拼多多花西子匠泽店
拼多多花西子美妆专卖店
拼多多花西子美妆旗舰店</v>
      </c>
      <c r="I143" s="5" t="str">
        <v>拼多多花西子专卖店
拼多多花西子匠泽店
拼多多花西子美妆专卖店
拼多多花西子美妆旗舰店</v>
      </c>
      <c r="J143" s="5" t="str">
        <v>拼多多花西子专卖店
拼多多花西子匠泽店
拼多多花西子美妆专卖店
拼多多花西子美妆旗舰店</v>
      </c>
      <c r="K143" s="3"/>
      <c r="L143" s="31" t="str">
        <v>是</v>
      </c>
      <c r="M143" s="31" t="str">
        <v>是</v>
      </c>
      <c r="N143" s="5" t="str">
        <v>否</v>
      </c>
      <c r="O143" s="5" t="str">
        <v>否</v>
      </c>
      <c r="P143" s="5" t="str">
        <v>营销费用</v>
      </c>
      <c r="Q143" s="5" t="str">
        <v>渠道推广费</v>
      </c>
      <c r="R143" s="5" t="str">
        <v>站内推广费</v>
      </c>
      <c r="S143" s="3" t="str">
        <v>品牌运营中心</v>
      </c>
      <c r="T143" s="3" t="str">
        <v>渠道运营部</v>
      </c>
      <c r="U143" s="3" t="str">
        <v>综合渠道运营部</v>
      </c>
      <c r="V143" s="3" t="str">
        <v>综合渠道推广部</v>
      </c>
    </row>
    <row r="144">
      <c r="A144" s="92" t="str">
        <v>拼多多渠道推广</v>
      </c>
      <c r="B144" s="149" t="str">
        <v>拼多多-常规投放</v>
      </c>
      <c r="C144" s="5">
        <f>VLOOKUP(B144,'收集数据表'!$A$2:$A$201,1,FALSE)</f>
      </c>
      <c r="D144" s="1" t="str">
        <v>平台电商推广</v>
      </c>
      <c r="E144" s="1" t="str">
        <v>拼多多渠道推广</v>
      </c>
      <c r="F144" s="5" t="str">
        <v>拼多多渠道推广</v>
      </c>
      <c r="G144" s="5" t="str">
        <v>是</v>
      </c>
      <c r="H144" s="5" t="str">
        <v>拼多多花西子专卖店
拼多多花西子匠泽店
拼多多花西子美妆专卖店
拼多多花西子美妆旗舰店</v>
      </c>
      <c r="I144" s="5" t="str">
        <v>拼多多花西子专卖店
拼多多花西子匠泽店
拼多多花西子美妆专卖店
拼多多花西子美妆旗舰店</v>
      </c>
      <c r="J144" s="5" t="str">
        <v>拼多多花西子专卖店
拼多多花西子匠泽店
拼多多花西子美妆专卖店
拼多多花西子美妆旗舰店</v>
      </c>
      <c r="K144" s="3"/>
      <c r="L144" s="31" t="str">
        <v>是</v>
      </c>
      <c r="M144" s="31" t="str" xml:space="preserve">
        <v> 是</v>
      </c>
      <c r="N144" s="5" t="str">
        <v>否</v>
      </c>
      <c r="O144" s="5" t="str">
        <v>否</v>
      </c>
      <c r="P144" s="5" t="str">
        <v>营销费用</v>
      </c>
      <c r="Q144" s="5" t="str">
        <v>渠道推广费</v>
      </c>
      <c r="R144" s="5" t="str">
        <v>站内推广费</v>
      </c>
      <c r="S144" s="3" t="str">
        <v>品牌运营中心</v>
      </c>
      <c r="T144" s="3" t="str">
        <v>渠道运营部</v>
      </c>
      <c r="U144" s="3" t="str">
        <v>综合渠道运营部</v>
      </c>
      <c r="V144" s="3" t="str">
        <v>综合渠道推广部</v>
      </c>
    </row>
    <row r="145">
      <c r="A145" s="161" t="str">
        <v>淘宝客</v>
      </c>
      <c r="B145" s="159" t="str">
        <v>淘宝客</v>
      </c>
      <c r="C145" s="5">
        <f>VLOOKUP(B145,'收集数据表'!$A$2:$A$201,1,FALSE)</f>
      </c>
      <c r="D145" s="159" t="str">
        <v>平台电商推广</v>
      </c>
      <c r="E145" s="159" t="str">
        <v>淘内-淘宝客</v>
      </c>
      <c r="F145" s="5" t="str">
        <v>淘内-淘宝客</v>
      </c>
      <c r="G145" s="5" t="str">
        <v>是</v>
      </c>
      <c r="H145" s="5" t="str">
        <v>天猫花西子旗舰店</v>
      </c>
      <c r="I145" s="5" t="str">
        <v>天猫渠道</v>
      </c>
      <c r="J145" s="5" t="str">
        <v>天猫货架</v>
      </c>
      <c r="K145" s="160"/>
      <c r="L145" s="5" t="str">
        <v>是</v>
      </c>
      <c r="M145" s="5" t="str">
        <v>是</v>
      </c>
      <c r="N145" s="5" t="str">
        <v>否</v>
      </c>
      <c r="O145" s="5" t="str">
        <v>否</v>
      </c>
      <c r="P145" s="5" t="str">
        <v>营销费用</v>
      </c>
      <c r="Q145" s="5" t="str">
        <v>渠道推广费</v>
      </c>
      <c r="R145" s="5" t="str">
        <v>站内推广费</v>
      </c>
      <c r="S145" s="160" t="str">
        <v>品牌运营中心</v>
      </c>
      <c r="T145" s="160" t="str">
        <v>运营策略部</v>
      </c>
      <c r="U145" s="160" t="str">
        <v>天猫运营部</v>
      </c>
      <c r="V145" s="160" t="str">
        <v>天猫推广组</v>
      </c>
    </row>
    <row r="146">
      <c r="A146" s="92" t="str">
        <v>天猫站内推广</v>
      </c>
      <c r="B146" s="4" t="str">
        <v>天猫-超级互动城</v>
      </c>
      <c r="C146" s="5">
        <f>VLOOKUP(B146,'收集数据表'!$A$2:$A$201,1,FALSE)</f>
      </c>
      <c r="D146" s="1" t="str">
        <v>平台电商推广</v>
      </c>
      <c r="E146" s="1" t="str">
        <v>淘内-推广</v>
      </c>
      <c r="F146" s="5" t="str">
        <v>淘内-推广</v>
      </c>
      <c r="G146" s="5" t="str">
        <v>是</v>
      </c>
      <c r="H146" s="5" t="str">
        <v>天猫花西子旗舰店</v>
      </c>
      <c r="I146" s="5" t="str">
        <v>天猫渠道</v>
      </c>
      <c r="J146" s="5" t="str">
        <v>天猫货架</v>
      </c>
      <c r="K146" s="3"/>
      <c r="L146" s="5" t="str">
        <v>否</v>
      </c>
      <c r="M146" s="5" t="str">
        <v>否</v>
      </c>
      <c r="N146" s="5" t="str">
        <v>否</v>
      </c>
      <c r="O146" s="5" t="str">
        <v>否</v>
      </c>
      <c r="P146" s="5" t="str">
        <v>营销费用</v>
      </c>
      <c r="Q146" s="5" t="str">
        <v>渠道推广费</v>
      </c>
      <c r="R146" s="5" t="str">
        <v>站内推广费</v>
      </c>
      <c r="S146" s="3" t="str">
        <v>品牌运营中心</v>
      </c>
      <c r="T146" s="3" t="str">
        <v>运营策略部</v>
      </c>
      <c r="U146" s="3" t="str">
        <v>天猫运营部</v>
      </c>
      <c r="V146" s="3" t="str">
        <v>天猫推广组</v>
      </c>
    </row>
    <row r="147">
      <c r="A147" s="92" t="str">
        <v>天猫站内推广</v>
      </c>
      <c r="B147" s="4" t="str">
        <v>天猫-互动城</v>
      </c>
      <c r="C147" s="5">
        <f>VLOOKUP(B147,'收集数据表'!$A$2:$A$201,1,FALSE)</f>
      </c>
      <c r="D147" s="1" t="str">
        <v>平台电商推广</v>
      </c>
      <c r="E147" s="1" t="str">
        <v>淘内-推广</v>
      </c>
      <c r="F147" s="5" t="str">
        <v>淘内-推广</v>
      </c>
      <c r="G147" s="5" t="str">
        <v>是</v>
      </c>
      <c r="H147" s="5" t="str">
        <v>天猫花西子旗舰店</v>
      </c>
      <c r="I147" s="5" t="str">
        <v>天猫渠道</v>
      </c>
      <c r="J147" s="5" t="str">
        <v>天猫货架</v>
      </c>
      <c r="K147" s="3"/>
      <c r="L147" s="5" t="str">
        <v>否</v>
      </c>
      <c r="M147" s="5" t="str">
        <v>否</v>
      </c>
      <c r="N147" s="5" t="str">
        <v>否</v>
      </c>
      <c r="O147" s="5" t="str">
        <v>否</v>
      </c>
      <c r="P147" s="5" t="str">
        <v>营销费用</v>
      </c>
      <c r="Q147" s="5" t="str">
        <v>渠道推广费</v>
      </c>
      <c r="R147" s="5" t="str">
        <v>站内推广费</v>
      </c>
      <c r="S147" s="3" t="str">
        <v>品牌运营中心</v>
      </c>
      <c r="T147" s="3" t="str">
        <v>运营策略部</v>
      </c>
      <c r="U147" s="3" t="str">
        <v>天猫运营部</v>
      </c>
      <c r="V147" s="3" t="str">
        <v>天猫推广组</v>
      </c>
    </row>
    <row r="148">
      <c r="A148" s="92" t="str">
        <v>天猫站内推广</v>
      </c>
      <c r="B148" s="4" t="str">
        <v>天猫-极速推</v>
      </c>
      <c r="C148" s="5">
        <f>VLOOKUP(B148,'收集数据表'!$A$2:$A$201,1,FALSE)</f>
      </c>
      <c r="D148" s="1" t="str">
        <v>平台电商推广</v>
      </c>
      <c r="E148" s="1" t="str">
        <v>淘内-推广</v>
      </c>
      <c r="F148" s="5" t="str">
        <v>淘内-推广</v>
      </c>
      <c r="G148" s="5" t="str">
        <v>是</v>
      </c>
      <c r="H148" s="5" t="str">
        <v>天猫花西子旗舰店</v>
      </c>
      <c r="I148" s="5" t="str">
        <v>天猫渠道</v>
      </c>
      <c r="J148" s="5" t="str">
        <v>天猫货架</v>
      </c>
      <c r="K148" s="3"/>
      <c r="L148" s="5" t="str">
        <v>否</v>
      </c>
      <c r="M148" s="5" t="str">
        <v>否</v>
      </c>
      <c r="N148" s="5" t="str">
        <v>否</v>
      </c>
      <c r="O148" s="5" t="str">
        <v>否</v>
      </c>
      <c r="P148" s="5" t="str">
        <v>营销费用</v>
      </c>
      <c r="Q148" s="5" t="str">
        <v>渠道推广费</v>
      </c>
      <c r="R148" s="5" t="str">
        <v>站内推广费</v>
      </c>
      <c r="S148" s="3" t="str">
        <v>品牌运营中心</v>
      </c>
      <c r="T148" s="3" t="str">
        <v>运营策略部</v>
      </c>
      <c r="U148" s="3" t="str">
        <v>天猫运营部</v>
      </c>
      <c r="V148" s="3" t="str">
        <v>天猫推广组</v>
      </c>
    </row>
    <row r="149">
      <c r="A149" s="92" t="str">
        <v>天猫站内推广</v>
      </c>
      <c r="B149" s="4" t="str">
        <v>天猫-妈妈Club</v>
      </c>
      <c r="C149" s="5">
        <f>VLOOKUP(B149,'收集数据表'!$A$2:$A$201,1,FALSE)</f>
      </c>
      <c r="D149" s="1" t="str">
        <v>平台电商推广</v>
      </c>
      <c r="E149" s="1" t="str">
        <v>淘内-推广</v>
      </c>
      <c r="F149" s="5" t="str">
        <v>淘内-推广</v>
      </c>
      <c r="G149" s="5" t="str">
        <v>是</v>
      </c>
      <c r="H149" s="5" t="str">
        <v>天猫花西子旗舰店</v>
      </c>
      <c r="I149" s="5" t="str">
        <v>天猫渠道</v>
      </c>
      <c r="J149" s="5" t="str">
        <v>天猫货架</v>
      </c>
      <c r="K149" s="3"/>
      <c r="L149" s="5" t="str">
        <v>否</v>
      </c>
      <c r="M149" s="5" t="str">
        <v>否</v>
      </c>
      <c r="N149" s="5" t="str">
        <v>否</v>
      </c>
      <c r="O149" s="5" t="str">
        <v>否</v>
      </c>
      <c r="P149" s="5" t="str">
        <v>营销费用</v>
      </c>
      <c r="Q149" s="5" t="str">
        <v>渠道推广费</v>
      </c>
      <c r="R149" s="5" t="str">
        <v>站内推广费</v>
      </c>
      <c r="S149" s="3" t="str">
        <v>品牌运营中心</v>
      </c>
      <c r="T149" s="3" t="str">
        <v>运营策略部</v>
      </c>
      <c r="U149" s="3" t="str">
        <v>天猫运营部</v>
      </c>
      <c r="V149" s="3" t="str">
        <v>天猫推广组</v>
      </c>
    </row>
    <row r="150">
      <c r="A150" s="92" t="str">
        <v>天猫站内推广</v>
      </c>
      <c r="B150" s="4" t="str">
        <v>天猫-明星店铺</v>
      </c>
      <c r="C150" s="5">
        <f>VLOOKUP(B150,'收集数据表'!$A$2:$A$201,1,FALSE)</f>
      </c>
      <c r="D150" s="1" t="str">
        <v>平台电商推广</v>
      </c>
      <c r="E150" s="1" t="str">
        <v>淘内-推广</v>
      </c>
      <c r="F150" s="5" t="str">
        <v>淘内-推广</v>
      </c>
      <c r="G150" s="5" t="str">
        <v>是</v>
      </c>
      <c r="H150" s="5" t="str">
        <v>天猫花西子旗舰店</v>
      </c>
      <c r="I150" s="5" t="str">
        <v>天猫渠道</v>
      </c>
      <c r="J150" s="5" t="str">
        <v>天猫货架</v>
      </c>
      <c r="K150" s="3"/>
      <c r="L150" s="5" t="str">
        <v>否</v>
      </c>
      <c r="M150" s="5" t="str">
        <v>否</v>
      </c>
      <c r="N150" s="5" t="str">
        <v>否</v>
      </c>
      <c r="O150" s="5" t="str">
        <v>否</v>
      </c>
      <c r="P150" s="5" t="str">
        <v>营销费用</v>
      </c>
      <c r="Q150" s="5" t="str">
        <v>渠道推广费</v>
      </c>
      <c r="R150" s="5" t="str">
        <v>站内推广费</v>
      </c>
      <c r="S150" s="3" t="str">
        <v>品牌运营中心</v>
      </c>
      <c r="T150" s="3" t="str">
        <v>运营策略部</v>
      </c>
      <c r="U150" s="3" t="str">
        <v>天猫运营部</v>
      </c>
      <c r="V150" s="3" t="str">
        <v>天猫推广组</v>
      </c>
    </row>
    <row r="151">
      <c r="A151" s="92" t="str">
        <v>天猫站内推广</v>
      </c>
      <c r="B151" s="4" t="str">
        <v>天猫-品牌专区</v>
      </c>
      <c r="C151" s="5">
        <f>VLOOKUP(B151,'收集数据表'!$A$2:$A$201,1,FALSE)</f>
      </c>
      <c r="D151" s="1" t="str">
        <v>平台电商推广</v>
      </c>
      <c r="E151" s="1" t="str">
        <v>淘内-品专</v>
      </c>
      <c r="F151" s="5" t="str">
        <v>淘内-品专</v>
      </c>
      <c r="G151" s="5" t="str">
        <v>是</v>
      </c>
      <c r="H151" s="5" t="str">
        <v>天猫花西子旗舰店</v>
      </c>
      <c r="I151" s="5" t="str">
        <v>天猫渠道</v>
      </c>
      <c r="J151" s="5" t="str">
        <v>天猫货架</v>
      </c>
      <c r="K151" s="3"/>
      <c r="L151" s="5" t="str">
        <v>否</v>
      </c>
      <c r="M151" s="5" t="str">
        <v>否</v>
      </c>
      <c r="N151" s="5" t="str">
        <v>否</v>
      </c>
      <c r="O151" s="5" t="str">
        <v>否</v>
      </c>
      <c r="P151" s="5" t="str">
        <v>营销费用</v>
      </c>
      <c r="Q151" s="5" t="str">
        <v>渠道推广费</v>
      </c>
      <c r="R151" s="5" t="str">
        <v>站内推广费</v>
      </c>
      <c r="S151" s="3" t="str">
        <v>品牌运营中心</v>
      </c>
      <c r="T151" s="3" t="str">
        <v>运营策略部</v>
      </c>
      <c r="U151" s="3" t="str">
        <v>天猫运营部</v>
      </c>
      <c r="V151" s="3" t="str">
        <v>天猫推广组</v>
      </c>
    </row>
    <row r="152">
      <c r="A152" s="92" t="str">
        <v>天猫站内推广</v>
      </c>
      <c r="B152" s="4" t="str">
        <v>天猫-万相台-超级短视频</v>
      </c>
      <c r="C152" s="5">
        <f>VLOOKUP(B152,'收集数据表'!$A$2:$A$201,1,FALSE)</f>
      </c>
      <c r="D152" s="1" t="str">
        <v>平台电商推广</v>
      </c>
      <c r="E152" s="1" t="str">
        <v>淘内-推广</v>
      </c>
      <c r="F152" s="5" t="str">
        <v>淘内-推广</v>
      </c>
      <c r="G152" s="5" t="str">
        <v>是</v>
      </c>
      <c r="H152" s="5" t="str">
        <v>天猫花西子旗舰店</v>
      </c>
      <c r="I152" s="5" t="str">
        <v>天猫渠道</v>
      </c>
      <c r="J152" s="5" t="str">
        <v>天猫货架</v>
      </c>
      <c r="K152" s="3"/>
      <c r="L152" s="5" t="str">
        <v>否</v>
      </c>
      <c r="M152" s="5" t="str">
        <v>否</v>
      </c>
      <c r="N152" s="5" t="str">
        <v>否</v>
      </c>
      <c r="O152" s="5" t="str">
        <v>否</v>
      </c>
      <c r="P152" s="5" t="str">
        <v>营销费用</v>
      </c>
      <c r="Q152" s="5" t="str">
        <v>渠道推广费</v>
      </c>
      <c r="R152" s="5" t="str">
        <v>站内推广费</v>
      </c>
      <c r="S152" s="3" t="str">
        <v>品牌运营中心</v>
      </c>
      <c r="T152" s="3" t="str">
        <v>运营策略部</v>
      </c>
      <c r="U152" s="3" t="str">
        <v>天猫运营部</v>
      </c>
      <c r="V152" s="3" t="str">
        <v>天猫推广组</v>
      </c>
    </row>
    <row r="153">
      <c r="A153" s="92" t="str">
        <v>天猫站内推广</v>
      </c>
      <c r="B153" s="4" t="str">
        <v>天猫-万相台-超级直播</v>
      </c>
      <c r="C153" s="5">
        <f>VLOOKUP(B153,'收集数据表'!$A$2:$A$201,1,FALSE)</f>
      </c>
      <c r="D153" s="1" t="str">
        <v>平台电商推广</v>
      </c>
      <c r="E153" s="1" t="str">
        <v>淘内-推广</v>
      </c>
      <c r="F153" s="5" t="str">
        <v>淘内-推广</v>
      </c>
      <c r="G153" s="5" t="str">
        <v>是</v>
      </c>
      <c r="H153" s="5" t="str">
        <v>天猫花西子旗舰店</v>
      </c>
      <c r="I153" s="5" t="str">
        <v>天猫渠道</v>
      </c>
      <c r="J153" s="5" t="str">
        <v>天猫自播</v>
      </c>
      <c r="K153" s="3"/>
      <c r="L153" s="5" t="str">
        <v>否</v>
      </c>
      <c r="M153" s="5" t="str">
        <v>否</v>
      </c>
      <c r="N153" s="5" t="str">
        <v>否</v>
      </c>
      <c r="O153" s="5" t="str">
        <v>否</v>
      </c>
      <c r="P153" s="5" t="str">
        <v>营销费用</v>
      </c>
      <c r="Q153" s="5" t="str">
        <v>渠道推广费</v>
      </c>
      <c r="R153" s="5" t="str">
        <v>站内推广费</v>
      </c>
      <c r="S153" s="3" t="str">
        <v>品牌运营中心</v>
      </c>
      <c r="T153" s="3" t="str">
        <v>运营策略部</v>
      </c>
      <c r="U153" s="3" t="str">
        <v>天猫运营部</v>
      </c>
      <c r="V153" s="3" t="str">
        <v>天猫推广组</v>
      </c>
    </row>
    <row r="154">
      <c r="A154" s="92" t="str">
        <v>天猫站内推广</v>
      </c>
      <c r="B154" s="149" t="str">
        <v>天猫-万相台-常规投放</v>
      </c>
      <c r="C154" s="5">
        <f>VLOOKUP(B154,'收集数据表'!$A$2:$A$201,1,FALSE)</f>
      </c>
      <c r="D154" s="1" t="str">
        <v>平台电商推广</v>
      </c>
      <c r="E154" s="1" t="str">
        <v>淘内-推广</v>
      </c>
      <c r="F154" s="5" t="str">
        <v>淘内-推广</v>
      </c>
      <c r="G154" s="5" t="str">
        <v>是</v>
      </c>
      <c r="H154" s="5" t="str">
        <v>天猫花西子旗舰店</v>
      </c>
      <c r="I154" s="5" t="str">
        <v>天猫渠道</v>
      </c>
      <c r="J154" s="5" t="str">
        <v>天猫自播</v>
      </c>
      <c r="K154" s="3"/>
      <c r="L154" s="5" t="str">
        <v>否</v>
      </c>
      <c r="M154" s="5" t="str">
        <v>否</v>
      </c>
      <c r="N154" s="5" t="str">
        <v>否</v>
      </c>
      <c r="O154" s="5" t="str">
        <v>否</v>
      </c>
      <c r="P154" s="5" t="str">
        <v>营销费用</v>
      </c>
      <c r="Q154" s="5" t="str">
        <v>渠道推广费</v>
      </c>
      <c r="R154" s="5" t="str">
        <v>站内推广费</v>
      </c>
      <c r="S154" s="3" t="str">
        <v>品牌运营中心</v>
      </c>
      <c r="T154" s="3" t="str">
        <v>运营策略部</v>
      </c>
      <c r="U154" s="3" t="str">
        <v>天猫运营部</v>
      </c>
      <c r="V154" s="3" t="str">
        <v>天猫推广组</v>
      </c>
    </row>
    <row r="155">
      <c r="A155" s="92" t="str">
        <v>天猫站内推广</v>
      </c>
      <c r="B155" s="4" t="str">
        <v>天猫-引力魔方</v>
      </c>
      <c r="C155" s="5">
        <f>VLOOKUP(B155,'收集数据表'!$A$2:$A$201,1,FALSE)</f>
      </c>
      <c r="D155" s="1" t="str">
        <v>平台电商推广</v>
      </c>
      <c r="E155" s="1" t="str">
        <v>淘内-推广</v>
      </c>
      <c r="F155" s="5" t="str">
        <v>淘内-推广</v>
      </c>
      <c r="G155" s="5" t="str">
        <v>是</v>
      </c>
      <c r="H155" s="5" t="str">
        <v>天猫花西子旗舰店</v>
      </c>
      <c r="I155" s="5" t="str">
        <v>天猫渠道</v>
      </c>
      <c r="J155" s="5" t="str">
        <v>天猫货架</v>
      </c>
      <c r="K155" s="3"/>
      <c r="L155" s="5" t="str">
        <v>是</v>
      </c>
      <c r="M155" s="5" t="str">
        <v>是</v>
      </c>
      <c r="N155" s="5" t="str">
        <v>否</v>
      </c>
      <c r="O155" s="5" t="str">
        <v>否</v>
      </c>
      <c r="P155" s="5" t="str">
        <v>营销费用</v>
      </c>
      <c r="Q155" s="5" t="str">
        <v>渠道推广费</v>
      </c>
      <c r="R155" s="5" t="str">
        <v>站内推广费</v>
      </c>
      <c r="S155" s="3" t="str">
        <v>品牌运营中心</v>
      </c>
      <c r="T155" s="3" t="str">
        <v>运营策略部</v>
      </c>
      <c r="U155" s="3" t="str">
        <v>天猫运营部</v>
      </c>
      <c r="V155" s="3" t="str">
        <v>天猫推广组</v>
      </c>
    </row>
    <row r="156">
      <c r="A156" s="92" t="str">
        <v>天猫站内推广</v>
      </c>
      <c r="B156" s="4" t="str">
        <v>天猫-直通车</v>
      </c>
      <c r="C156" s="5">
        <f>VLOOKUP(B156,'收集数据表'!$A$2:$A$201,1,FALSE)</f>
      </c>
      <c r="D156" s="1" t="str">
        <v>平台电商推广</v>
      </c>
      <c r="E156" s="1" t="str">
        <v>淘内-推广</v>
      </c>
      <c r="F156" s="5" t="str">
        <v>淘内-推广</v>
      </c>
      <c r="G156" s="5" t="str">
        <v>是</v>
      </c>
      <c r="H156" s="5" t="str">
        <v>天猫花西子旗舰店</v>
      </c>
      <c r="I156" s="5" t="str">
        <v>天猫渠道</v>
      </c>
      <c r="J156" s="5" t="str">
        <v>天猫货架</v>
      </c>
      <c r="K156" s="3"/>
      <c r="L156" s="5" t="str">
        <v>是</v>
      </c>
      <c r="M156" s="5" t="str">
        <v>是</v>
      </c>
      <c r="N156" s="5" t="str">
        <v>否</v>
      </c>
      <c r="O156" s="5" t="str">
        <v>否</v>
      </c>
      <c r="P156" s="5" t="str">
        <v>营销费用</v>
      </c>
      <c r="Q156" s="5" t="str">
        <v>渠道推广费</v>
      </c>
      <c r="R156" s="5" t="str">
        <v>站内推广费</v>
      </c>
      <c r="S156" s="3" t="str">
        <v>品牌运营中心</v>
      </c>
      <c r="T156" s="3" t="str">
        <v>运营策略部</v>
      </c>
      <c r="U156" s="3" t="str">
        <v>天猫运营部</v>
      </c>
      <c r="V156" s="3" t="str">
        <v>天猫推广组</v>
      </c>
    </row>
    <row r="157">
      <c r="A157" s="92" t="str">
        <v>唯品会渠道推广</v>
      </c>
      <c r="B157" s="4" t="str">
        <v>唯品会-达人卖货</v>
      </c>
      <c r="C157" s="5">
        <f>VLOOKUP(B157,'收集数据表'!$A$2:$A$201,1,FALSE)</f>
      </c>
      <c r="D157" s="1" t="str">
        <v>平台电商推广</v>
      </c>
      <c r="E157" s="1" t="str">
        <v>唯品渠道推广</v>
      </c>
      <c r="F157" s="5" t="str">
        <v>唯品渠道推广</v>
      </c>
      <c r="G157" s="5" t="str">
        <v>是</v>
      </c>
      <c r="H157" s="5" t="str">
        <v>唯品会自营花西子旗舰店</v>
      </c>
      <c r="I157" s="5" t="str">
        <v>唯品会</v>
      </c>
      <c r="J157" s="5" t="str">
        <v>唯品货架</v>
      </c>
      <c r="K157" s="3"/>
      <c r="L157" s="31" t="str">
        <v>是</v>
      </c>
      <c r="M157" s="31" t="str">
        <v>是</v>
      </c>
      <c r="N157" s="5" t="str">
        <v>否</v>
      </c>
      <c r="O157" s="5" t="str">
        <v>否</v>
      </c>
      <c r="P157" s="5" t="str">
        <v>营销费用</v>
      </c>
      <c r="Q157" s="5" t="str">
        <v>渠道推广费</v>
      </c>
      <c r="R157" s="5" t="str">
        <v>站内推广费</v>
      </c>
      <c r="S157" s="3" t="str">
        <v>品牌运营中心</v>
      </c>
      <c r="T157" s="3" t="str">
        <v>渠道运营部</v>
      </c>
      <c r="U157" s="3" t="str">
        <v>特色电商部</v>
      </c>
      <c r="V157" s="3" t="str">
        <v>京东唯品推广组</v>
      </c>
    </row>
    <row r="158">
      <c r="A158" s="92" t="str">
        <v>唯品会渠道推广</v>
      </c>
      <c r="B158" s="4" t="str">
        <v>唯品会-唯品常规投放</v>
      </c>
      <c r="C158" s="5">
        <f>VLOOKUP(B158,'收集数据表'!$A$2:$A$201,1,FALSE)</f>
      </c>
      <c r="D158" s="1" t="str">
        <v>平台电商推广</v>
      </c>
      <c r="E158" s="1" t="str">
        <v>唯品渠道推广</v>
      </c>
      <c r="F158" s="5" t="str">
        <v>唯品渠道推广</v>
      </c>
      <c r="G158" s="5" t="str">
        <v>是</v>
      </c>
      <c r="H158" s="5" t="str">
        <v>唯品会自营花西子旗舰店</v>
      </c>
      <c r="I158" s="5" t="str">
        <v>唯品会</v>
      </c>
      <c r="J158" s="5" t="str">
        <v>唯品货架</v>
      </c>
      <c r="K158" s="3"/>
      <c r="L158" s="31" t="str">
        <v>是</v>
      </c>
      <c r="M158" s="31" t="str">
        <v>否</v>
      </c>
      <c r="N158" s="5" t="str">
        <v>否</v>
      </c>
      <c r="O158" s="5" t="str">
        <v>否</v>
      </c>
      <c r="P158" s="5" t="str">
        <v>营销费用</v>
      </c>
      <c r="Q158" s="5" t="str">
        <v>渠道推广费</v>
      </c>
      <c r="R158" s="5" t="str">
        <v>站内推广费</v>
      </c>
      <c r="S158" s="3" t="str">
        <v>品牌运营中心</v>
      </c>
      <c r="T158" s="3" t="str">
        <v>渠道运营部</v>
      </c>
      <c r="U158" s="3" t="str">
        <v>特色电商部</v>
      </c>
      <c r="V158" s="3" t="str">
        <v>京东唯品推广组</v>
      </c>
    </row>
    <row r="159">
      <c r="A159" s="92" t="str">
        <v>唯品会渠道推广</v>
      </c>
      <c r="B159" s="4" t="str">
        <v>唯享客</v>
      </c>
      <c r="C159" s="5">
        <f>VLOOKUP(B159,'收集数据表'!$A$2:$A$201,1,FALSE)</f>
      </c>
      <c r="D159" s="1" t="str">
        <v>平台电商推广</v>
      </c>
      <c r="E159" s="1" t="str">
        <v>唯享客</v>
      </c>
      <c r="F159" s="5" t="str">
        <v>唯享客</v>
      </c>
      <c r="G159" s="5" t="str">
        <v>是</v>
      </c>
      <c r="H159" s="5" t="str">
        <v>唯品会自营花西子旗舰店</v>
      </c>
      <c r="I159" s="5" t="str">
        <v>唯品渠道</v>
      </c>
      <c r="J159" s="5" t="str">
        <v>唯品货架</v>
      </c>
      <c r="K159" s="3"/>
      <c r="L159" s="31" t="str">
        <v>否</v>
      </c>
      <c r="M159" s="31" t="str">
        <v>否</v>
      </c>
      <c r="N159" s="5" t="str">
        <v>否</v>
      </c>
      <c r="O159" s="5" t="str">
        <v>否</v>
      </c>
      <c r="P159" s="5" t="str">
        <v>营销费用</v>
      </c>
      <c r="Q159" s="5" t="str">
        <v>渠道推广费</v>
      </c>
      <c r="R159" s="5" t="str">
        <v>站内推广费</v>
      </c>
      <c r="S159" s="3" t="str">
        <v>品牌运营中心</v>
      </c>
      <c r="T159" s="3" t="str">
        <v>渠道运营部</v>
      </c>
      <c r="U159" s="3" t="str">
        <v>特色电商部</v>
      </c>
      <c r="V159" s="3" t="str">
        <v>唯品综合部</v>
      </c>
    </row>
    <row r="160">
      <c r="A160" s="92" t="str">
        <v>考拉渠道推广</v>
      </c>
      <c r="B160" s="4" t="str">
        <v>考拉-常规投放</v>
      </c>
      <c r="C160" s="5">
        <f>VLOOKUP(B160,'收集数据表'!$A$2:$A$201,1,FALSE)</f>
      </c>
      <c r="D160" s="1" t="str">
        <v>平台电商推广</v>
      </c>
      <c r="E160" s="1" t="str">
        <v>自营其他渠道推广</v>
      </c>
      <c r="F160" s="5" t="str">
        <v>#N/A</v>
      </c>
      <c r="G160" s="5" t="str">
        <v>是</v>
      </c>
      <c r="H160" s="147" t="str">
        <v>考拉花西子旗舰店</v>
      </c>
      <c r="I160" s="147" t="str">
        <v>综合渠道</v>
      </c>
      <c r="J160" s="147" t="str">
        <v>考拉花西子旗舰店</v>
      </c>
      <c r="K160" s="3"/>
      <c r="L160" s="5" t="str">
        <v>否</v>
      </c>
      <c r="M160" s="5" t="str">
        <v>否</v>
      </c>
      <c r="N160" s="5" t="str">
        <v>否</v>
      </c>
      <c r="O160" s="5" t="str">
        <v>否</v>
      </c>
      <c r="P160" s="5" t="str">
        <v>营销费用</v>
      </c>
      <c r="Q160" s="5" t="str">
        <v>渠道推广费</v>
      </c>
      <c r="R160" s="5" t="str">
        <v>站内推广费</v>
      </c>
      <c r="S160" s="3" t="str">
        <v>品牌运营中心</v>
      </c>
      <c r="T160" s="3" t="str">
        <v>渠道运营部</v>
      </c>
      <c r="U160" s="3" t="str">
        <v>综合渠道运营部</v>
      </c>
      <c r="V160" s="3" t="str">
        <v>综合渠道推广部</v>
      </c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</row>
    <row r="161">
      <c r="A161" s="92" t="str">
        <v>匠泽店渠道推广</v>
      </c>
      <c r="B161" s="4" t="str">
        <v>淘宝匠泽-引力魔方</v>
      </c>
      <c r="C161" s="5">
        <f>VLOOKUP(B161,'收集数据表'!$A$2:$A$201,1,FALSE)</f>
      </c>
      <c r="D161" s="1" t="str">
        <v>平台电商推广</v>
      </c>
      <c r="E161" s="1" t="str">
        <v>自营其他渠道推广</v>
      </c>
      <c r="F161" s="5" t="str">
        <v>#N/A</v>
      </c>
      <c r="G161" s="5" t="str">
        <v>是</v>
      </c>
      <c r="H161" s="147" t="str">
        <v>天猫花西子匠泽店</v>
      </c>
      <c r="I161" s="5" t="str">
        <v>天猫渠道</v>
      </c>
      <c r="J161" s="147" t="str">
        <v>天猫花西子匠泽店</v>
      </c>
      <c r="K161" s="3"/>
      <c r="L161" s="5" t="str">
        <v>是</v>
      </c>
      <c r="M161" s="5" t="str">
        <v>是</v>
      </c>
      <c r="N161" s="5" t="str">
        <v>否</v>
      </c>
      <c r="O161" s="5" t="str">
        <v>否</v>
      </c>
      <c r="P161" s="5" t="str">
        <v>营销费用</v>
      </c>
      <c r="Q161" s="5" t="str">
        <v>渠道推广费</v>
      </c>
      <c r="R161" s="5" t="str">
        <v>站内推广费</v>
      </c>
      <c r="S161" s="3" t="str">
        <v>品牌运营中心</v>
      </c>
      <c r="T161" s="3" t="str">
        <v>渠道运营部</v>
      </c>
      <c r="U161" s="3" t="str">
        <v>综合渠道运营部</v>
      </c>
      <c r="V161" s="3" t="str">
        <v>综合渠道推广部</v>
      </c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</row>
    <row r="162">
      <c r="A162" s="92" t="str">
        <v>匠泽店渠道推广</v>
      </c>
      <c r="B162" s="4" t="str">
        <v>淘宝匠泽-直通车</v>
      </c>
      <c r="C162" s="5">
        <f>VLOOKUP(B162,'收集数据表'!$A$2:$A$201,1,FALSE)</f>
      </c>
      <c r="D162" s="1" t="str">
        <v>平台电商推广</v>
      </c>
      <c r="E162" s="1" t="str">
        <v>自营其他渠道推广</v>
      </c>
      <c r="F162" s="5" t="str">
        <v>#N/A</v>
      </c>
      <c r="G162" s="5" t="str">
        <v>是</v>
      </c>
      <c r="H162" s="147" t="str">
        <v>天猫花西子匠泽店</v>
      </c>
      <c r="I162" s="5" t="str">
        <v>天猫渠道</v>
      </c>
      <c r="J162" s="147" t="str">
        <v>天猫花西子匠泽店</v>
      </c>
      <c r="K162" s="3"/>
      <c r="L162" s="5" t="str">
        <v>是</v>
      </c>
      <c r="M162" s="5" t="str">
        <v>是</v>
      </c>
      <c r="N162" s="5" t="str">
        <v>否</v>
      </c>
      <c r="O162" s="5" t="str">
        <v>否</v>
      </c>
      <c r="P162" s="5" t="str">
        <v>营销费用</v>
      </c>
      <c r="Q162" s="5" t="str">
        <v>渠道推广费</v>
      </c>
      <c r="R162" s="5" t="str">
        <v>站内推广费</v>
      </c>
      <c r="S162" s="3" t="str">
        <v>品牌运营中心</v>
      </c>
      <c r="T162" s="3" t="str">
        <v>渠道运营部</v>
      </c>
      <c r="U162" s="3" t="str">
        <v>综合渠道运营部</v>
      </c>
      <c r="V162" s="3" t="str">
        <v>综合渠道推广部</v>
      </c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</row>
    <row r="163">
      <c r="A163" s="92" t="str">
        <v>京东到家渠道推广</v>
      </c>
      <c r="B163" s="4" t="str">
        <v>京东到家-常规投放</v>
      </c>
      <c r="C163" s="5">
        <f>VLOOKUP(B163,'收集数据表'!$A$2:$A$201,1,FALSE)</f>
      </c>
      <c r="D163" s="1" t="str">
        <v>平台电商推广</v>
      </c>
      <c r="E163" s="1" t="str">
        <v>自营其他渠道推广</v>
      </c>
      <c r="F163" s="5" t="str">
        <v>#N/A</v>
      </c>
      <c r="G163" s="5" t="str">
        <v>是</v>
      </c>
      <c r="H163" s="147" t="str">
        <v>京东到家</v>
      </c>
      <c r="I163" s="147" t="str">
        <v>京东到家</v>
      </c>
      <c r="J163" s="147" t="str">
        <v>京东到家</v>
      </c>
      <c r="K163" s="3"/>
      <c r="L163" s="5" t="str">
        <v>否</v>
      </c>
      <c r="M163" s="5" t="str">
        <v>否</v>
      </c>
      <c r="N163" s="5" t="str">
        <v>否</v>
      </c>
      <c r="O163" s="5" t="str">
        <v>否</v>
      </c>
      <c r="P163" s="5" t="str">
        <v>营销费用</v>
      </c>
      <c r="Q163" s="5" t="str">
        <v>渠道推广费</v>
      </c>
      <c r="R163" s="5" t="str">
        <v>站内推广费</v>
      </c>
      <c r="S163" s="3" t="str">
        <v>品牌运营中心</v>
      </c>
      <c r="T163" s="3" t="str">
        <v>渠道运营部</v>
      </c>
      <c r="U163" s="3" t="str">
        <v>综合渠道运营部</v>
      </c>
      <c r="V163" s="3" t="str">
        <v>综合渠道推广部</v>
      </c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</row>
    <row r="164">
      <c r="A164" s="166" t="str">
        <v>平台扣点</v>
      </c>
      <c r="B164" s="164" t="str">
        <v>店铺保险费</v>
      </c>
      <c r="C164" s="162">
        <f>VLOOKUP(B164,'收集数据表'!$A$2:$A$201,1,FALSE)</f>
      </c>
      <c r="D164" s="164" t="str">
        <v>平台扣点</v>
      </c>
      <c r="E164" s="164" t="str">
        <v>平台服务费</v>
      </c>
      <c r="F164" s="162" t="str">
        <v>平台服务费</v>
      </c>
      <c r="G164" s="162" t="str">
        <v>是</v>
      </c>
      <c r="H164" s="162"/>
      <c r="I164" s="162"/>
      <c r="J164" s="162"/>
      <c r="K164" s="165"/>
      <c r="L164" s="162" t="str">
        <v>否</v>
      </c>
      <c r="M164" s="162" t="str">
        <v>否</v>
      </c>
      <c r="N164" s="162" t="str">
        <v>否</v>
      </c>
      <c r="O164" s="162" t="str">
        <v>否</v>
      </c>
      <c r="P164" s="162" t="str">
        <v>营销费用</v>
      </c>
      <c r="Q164" s="162" t="str">
        <v>店铺运营费</v>
      </c>
      <c r="R164" s="162" t="str">
        <v>代收保险费</v>
      </c>
      <c r="S164" s="165" t="str">
        <v>品牌运营中心</v>
      </c>
      <c r="T164" s="165" t="str">
        <v>渠道运营部</v>
      </c>
      <c r="U164" s="165"/>
      <c r="V164" s="165"/>
      <c r="W164" s="163"/>
      <c r="X164" s="163"/>
      <c r="Y164" s="163"/>
      <c r="Z164" s="163"/>
      <c r="AA164" s="163"/>
      <c r="AB164" s="163"/>
      <c r="AC164" s="163"/>
      <c r="AD164" s="163"/>
      <c r="AE164" s="163"/>
      <c r="AF164" s="163"/>
      <c r="AG164" s="163"/>
      <c r="AH164" s="163"/>
    </row>
    <row r="165">
      <c r="A165" s="175" t="str">
        <v>平台扣点</v>
      </c>
      <c r="B165" s="164" t="str">
        <v>店铺服务费</v>
      </c>
      <c r="C165" s="162">
        <f>VLOOKUP(B165,'收集数据表'!$A$2:$A$201,1,FALSE)</f>
      </c>
      <c r="D165" s="164" t="str">
        <v>平台扣点</v>
      </c>
      <c r="E165" s="164" t="str">
        <v>平台服务费</v>
      </c>
      <c r="F165" s="162" t="str">
        <v>平台服务费</v>
      </c>
      <c r="G165" s="162" t="str">
        <v>是</v>
      </c>
      <c r="H165" s="162"/>
      <c r="I165" s="162"/>
      <c r="J165" s="162"/>
      <c r="K165" s="165"/>
      <c r="L165" s="162" t="str">
        <v>否</v>
      </c>
      <c r="M165" s="162" t="str">
        <v>否</v>
      </c>
      <c r="N165" s="162" t="str">
        <v>否</v>
      </c>
      <c r="O165" s="162" t="str">
        <v>否</v>
      </c>
      <c r="P165" s="162" t="str">
        <v>营销费用</v>
      </c>
      <c r="Q165" s="162" t="str">
        <v>店铺运营费</v>
      </c>
      <c r="R165" s="162" t="str">
        <v>店铺服务费</v>
      </c>
      <c r="S165" s="165" t="str">
        <v>品牌运营中心</v>
      </c>
      <c r="T165" s="165" t="str">
        <v>渠道运营部</v>
      </c>
      <c r="U165" s="165"/>
      <c r="V165" s="165"/>
      <c r="W165" s="163"/>
      <c r="X165" s="163"/>
      <c r="Y165" s="163"/>
      <c r="Z165" s="163"/>
      <c r="AA165" s="163"/>
      <c r="AB165" s="163"/>
      <c r="AC165" s="163"/>
      <c r="AD165" s="163"/>
      <c r="AE165" s="163"/>
      <c r="AF165" s="163"/>
      <c r="AG165" s="163"/>
      <c r="AH165" s="163"/>
    </row>
    <row r="166">
      <c r="A166" s="175" t="str">
        <v>平台扣点</v>
      </c>
      <c r="B166" s="164" t="str">
        <v>快递拦截费</v>
      </c>
      <c r="C166" s="162">
        <f>VLOOKUP(B166,'收集数据表'!$A$2:$A$201,1,FALSE)</f>
      </c>
      <c r="D166" s="164" t="str">
        <v>平台扣点</v>
      </c>
      <c r="E166" s="164" t="str">
        <v>平台服务费</v>
      </c>
      <c r="F166" s="162" t="str">
        <v>平台服务费</v>
      </c>
      <c r="G166" s="162" t="str">
        <v>是</v>
      </c>
      <c r="H166" s="162"/>
      <c r="I166" s="162"/>
      <c r="J166" s="162"/>
      <c r="K166" s="165"/>
      <c r="L166" s="162" t="str">
        <v>否</v>
      </c>
      <c r="M166" s="162" t="str">
        <v>否</v>
      </c>
      <c r="N166" s="162" t="str">
        <v>否</v>
      </c>
      <c r="O166" s="162" t="str">
        <v>否</v>
      </c>
      <c r="P166" s="162" t="str">
        <v>营销费用</v>
      </c>
      <c r="Q166" s="162" t="str">
        <v>店铺运营费</v>
      </c>
      <c r="R166" s="162" t="str">
        <v>快递拦截费</v>
      </c>
      <c r="S166" s="165" t="str">
        <v>品牌运营中心</v>
      </c>
      <c r="T166" s="165" t="str">
        <v>渠道运营部</v>
      </c>
      <c r="U166" s="165"/>
      <c r="V166" s="165"/>
      <c r="W166" s="163"/>
      <c r="X166" s="163"/>
      <c r="Y166" s="163"/>
      <c r="Z166" s="163"/>
      <c r="AA166" s="163"/>
      <c r="AB166" s="163"/>
      <c r="AC166" s="163"/>
      <c r="AD166" s="163"/>
      <c r="AE166" s="163"/>
      <c r="AF166" s="163"/>
      <c r="AG166" s="163"/>
      <c r="AH166" s="163"/>
    </row>
    <row r="167">
      <c r="A167" s="175" t="str">
        <v>平台扣点</v>
      </c>
      <c r="B167" s="164" t="str">
        <v>平台技术服务费</v>
      </c>
      <c r="C167" s="162">
        <f>VLOOKUP(B167,'收集数据表'!$A$2:$A$201,1,FALSE)</f>
      </c>
      <c r="D167" s="164" t="str">
        <v>平台扣点</v>
      </c>
      <c r="E167" s="164" t="str">
        <v>平台服务费</v>
      </c>
      <c r="F167" s="162" t="str">
        <v>平台服务费</v>
      </c>
      <c r="G167" s="162" t="str">
        <v>是</v>
      </c>
      <c r="H167" s="162"/>
      <c r="I167" s="162"/>
      <c r="J167" s="162"/>
      <c r="K167" s="165"/>
      <c r="L167" s="162" t="str">
        <v>否</v>
      </c>
      <c r="M167" s="162" t="str">
        <v>否</v>
      </c>
      <c r="N167" s="162" t="str">
        <v>否</v>
      </c>
      <c r="O167" s="162" t="str">
        <v>否</v>
      </c>
      <c r="P167" s="162" t="str">
        <v>营销费用</v>
      </c>
      <c r="Q167" s="162" t="str">
        <v>店铺运营费</v>
      </c>
      <c r="R167" s="162" t="str">
        <v>平台技术服务费</v>
      </c>
      <c r="S167" s="165" t="str">
        <v>品牌运营中心</v>
      </c>
      <c r="T167" s="165" t="str">
        <v>渠道运营部</v>
      </c>
      <c r="U167" s="165"/>
      <c r="V167" s="165"/>
      <c r="W167" s="163"/>
      <c r="X167" s="163"/>
      <c r="Y167" s="163"/>
      <c r="Z167" s="163"/>
      <c r="AA167" s="163"/>
      <c r="AB167" s="163"/>
      <c r="AC167" s="163"/>
      <c r="AD167" s="163"/>
      <c r="AE167" s="163"/>
      <c r="AF167" s="163"/>
      <c r="AG167" s="163"/>
      <c r="AH167" s="163"/>
    </row>
    <row r="168">
      <c r="A168" s="175" t="str">
        <v>平台扣点</v>
      </c>
      <c r="B168" s="164" t="str">
        <v>软件费用</v>
      </c>
      <c r="C168" s="162">
        <f>VLOOKUP(B168,'收集数据表'!$A$2:$A$201,1,FALSE)</f>
      </c>
      <c r="D168" s="164" t="str">
        <v>平台扣点</v>
      </c>
      <c r="E168" s="164" t="str">
        <v>软件服务费</v>
      </c>
      <c r="F168" s="162" t="str">
        <v>软件服务费</v>
      </c>
      <c r="G168" s="162" t="str">
        <v>是</v>
      </c>
      <c r="H168" s="162"/>
      <c r="I168" s="162"/>
      <c r="J168" s="162"/>
      <c r="K168" s="165"/>
      <c r="L168" s="162" t="str">
        <v>否</v>
      </c>
      <c r="M168" s="162" t="str">
        <v>否</v>
      </c>
      <c r="N168" s="162" t="str">
        <v>否</v>
      </c>
      <c r="O168" s="162" t="str">
        <v>否</v>
      </c>
      <c r="P168" s="162" t="str">
        <v>营销费用</v>
      </c>
      <c r="Q168" s="162" t="str">
        <v>店铺运营费</v>
      </c>
      <c r="R168" s="162" t="str">
        <v>平台软件费</v>
      </c>
      <c r="S168" s="165" t="str">
        <v>品牌运营中心</v>
      </c>
      <c r="T168" s="165" t="str">
        <v>渠道运营部</v>
      </c>
      <c r="U168" s="165"/>
      <c r="V168" s="165"/>
      <c r="W168" s="163"/>
      <c r="X168" s="163"/>
      <c r="Y168" s="163"/>
      <c r="Z168" s="163"/>
      <c r="AA168" s="163"/>
      <c r="AB168" s="163"/>
      <c r="AC168" s="163"/>
      <c r="AD168" s="163"/>
      <c r="AE168" s="163"/>
      <c r="AF168" s="163"/>
      <c r="AG168" s="163"/>
      <c r="AH168" s="163"/>
    </row>
    <row r="169">
      <c r="A169" s="175" t="str">
        <v>平台扣点</v>
      </c>
      <c r="B169" s="164" t="str">
        <v>支付服务费</v>
      </c>
      <c r="C169" s="162">
        <f>VLOOKUP(B169,'收集数据表'!$A$2:$A$201,1,FALSE)</f>
      </c>
      <c r="D169" s="164" t="str">
        <v>平台扣点</v>
      </c>
      <c r="E169" s="164" t="str">
        <v>平台服务费</v>
      </c>
      <c r="F169" s="162" t="str">
        <v>平台服务费</v>
      </c>
      <c r="G169" s="162" t="str">
        <v>是</v>
      </c>
      <c r="H169" s="162"/>
      <c r="I169" s="162"/>
      <c r="J169" s="162"/>
      <c r="K169" s="165"/>
      <c r="L169" s="162" t="str">
        <v>否</v>
      </c>
      <c r="M169" s="162" t="str">
        <v>否</v>
      </c>
      <c r="N169" s="162" t="str">
        <v>否</v>
      </c>
      <c r="O169" s="162" t="str">
        <v>否</v>
      </c>
      <c r="P169" s="162" t="str">
        <v>营销费用</v>
      </c>
      <c r="Q169" s="162" t="str">
        <v>店铺运营费</v>
      </c>
      <c r="R169" s="162" t="str">
        <v>支付服务费</v>
      </c>
      <c r="S169" s="165" t="str">
        <v>品牌运营中心</v>
      </c>
      <c r="T169" s="165" t="str">
        <v>渠道运营部</v>
      </c>
      <c r="U169" s="165"/>
      <c r="V169" s="165"/>
      <c r="W169" s="163"/>
      <c r="X169" s="163"/>
      <c r="Y169" s="163"/>
      <c r="Z169" s="163"/>
      <c r="AA169" s="163"/>
      <c r="AB169" s="163"/>
      <c r="AC169" s="163"/>
      <c r="AD169" s="163"/>
      <c r="AE169" s="163"/>
      <c r="AF169" s="163"/>
      <c r="AG169" s="163"/>
      <c r="AH169" s="163"/>
    </row>
    <row r="170">
      <c r="A170" s="175" t="str">
        <v>平台扣点</v>
      </c>
      <c r="B170" s="164" t="str">
        <v>支付手续费</v>
      </c>
      <c r="C170" s="162">
        <f>VLOOKUP(B170,'收集数据表'!$A$2:$A$201,1,FALSE)</f>
      </c>
      <c r="D170" s="164" t="str">
        <v>平台扣点</v>
      </c>
      <c r="E170" s="164" t="str">
        <v>平台服务费</v>
      </c>
      <c r="F170" s="162" t="str">
        <v>平台服务费</v>
      </c>
      <c r="G170" s="162" t="str">
        <v>是</v>
      </c>
      <c r="H170" s="162"/>
      <c r="I170" s="162"/>
      <c r="J170" s="162"/>
      <c r="K170" s="165"/>
      <c r="L170" s="162" t="str">
        <v>否</v>
      </c>
      <c r="M170" s="162" t="str">
        <v>否</v>
      </c>
      <c r="N170" s="162" t="str">
        <v>否</v>
      </c>
      <c r="O170" s="162" t="str">
        <v>否</v>
      </c>
      <c r="P170" s="162" t="str">
        <v>营销费用</v>
      </c>
      <c r="Q170" s="162" t="str">
        <v>店铺运营费</v>
      </c>
      <c r="R170" s="162" t="str">
        <v>支付手续费</v>
      </c>
      <c r="S170" s="165" t="str">
        <v>品牌运营中心</v>
      </c>
      <c r="T170" s="165" t="str">
        <v>渠道运营部</v>
      </c>
      <c r="U170" s="165"/>
      <c r="V170" s="165"/>
      <c r="W170" s="163"/>
      <c r="X170" s="163"/>
      <c r="Y170" s="163"/>
      <c r="Z170" s="163"/>
      <c r="AA170" s="163"/>
      <c r="AB170" s="163"/>
      <c r="AC170" s="163"/>
      <c r="AD170" s="163"/>
      <c r="AE170" s="163"/>
      <c r="AF170" s="163"/>
      <c r="AG170" s="163"/>
      <c r="AH170" s="163"/>
    </row>
    <row r="171">
      <c r="A171" s="198" t="str">
        <v>平台与媒介公关费</v>
      </c>
      <c r="B171" s="197"/>
      <c r="C171" s="177">
        <f>VLOOKUP(B171,'收集数据表'!$A$2:$A$201,1,FALSE)</f>
      </c>
      <c r="D171" s="196"/>
      <c r="E171" s="196"/>
      <c r="F171" s="177" t="str">
        <v>市场公关运营</v>
      </c>
      <c r="G171" s="177" t="str">
        <v>否</v>
      </c>
      <c r="H171" s="177"/>
      <c r="I171" s="177"/>
      <c r="J171" s="177"/>
      <c r="K171" s="148"/>
      <c r="L171" s="177" t="str">
        <v>否</v>
      </c>
      <c r="M171" s="177" t="str">
        <v>否</v>
      </c>
      <c r="N171" s="177" t="str">
        <v>是</v>
      </c>
      <c r="O171" s="177" t="str">
        <v>是</v>
      </c>
      <c r="P171" s="177" t="str">
        <v>营销费用</v>
      </c>
      <c r="Q171" s="177" t="str">
        <v>其他费用</v>
      </c>
      <c r="R171" s="177" t="str">
        <v>公关礼品费</v>
      </c>
      <c r="S171" s="148" t="str">
        <v>品牌运营中心</v>
      </c>
      <c r="T171" s="148" t="str">
        <v>渠道运营部</v>
      </c>
      <c r="U171" s="148"/>
      <c r="V171" s="148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</row>
    <row r="172">
      <c r="A172" s="198" t="str">
        <v>平台与媒介公关费</v>
      </c>
      <c r="B172" s="197"/>
      <c r="C172" s="177">
        <f>VLOOKUP(B172,'收集数据表'!$A$2:$A$201,1,FALSE)</f>
      </c>
      <c r="D172" s="196"/>
      <c r="E172" s="196"/>
      <c r="F172" s="177" t="str">
        <v>市场公关运营</v>
      </c>
      <c r="G172" s="177" t="str">
        <v>否</v>
      </c>
      <c r="H172" s="177"/>
      <c r="I172" s="177"/>
      <c r="J172" s="177"/>
      <c r="K172" s="148"/>
      <c r="L172" s="177" t="str">
        <v>否</v>
      </c>
      <c r="M172" s="177" t="str">
        <v>否</v>
      </c>
      <c r="N172" s="177" t="str">
        <v>是</v>
      </c>
      <c r="O172" s="177" t="str">
        <v>是</v>
      </c>
      <c r="P172" s="177" t="str">
        <v>营销费用</v>
      </c>
      <c r="Q172" s="177" t="str">
        <v>其他费用</v>
      </c>
      <c r="R172" s="177" t="str">
        <v>公关礼品费</v>
      </c>
      <c r="S172" s="148" t="str">
        <v>品牌运营中心</v>
      </c>
      <c r="T172" s="148" t="str">
        <v>市场广告推广部</v>
      </c>
      <c r="U172" s="148" t="str">
        <v>广告投放部</v>
      </c>
      <c r="V172" s="148" t="str">
        <v>媒介部</v>
      </c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</row>
    <row r="173">
      <c r="A173" s="198" t="str">
        <v>平台与媒介公关费</v>
      </c>
      <c r="B173" s="197"/>
      <c r="C173" s="177">
        <f>VLOOKUP(B173,'收集数据表'!$A$2:$A$201,1,FALSE)</f>
      </c>
      <c r="D173" s="196"/>
      <c r="E173" s="196"/>
      <c r="F173" s="177" t="str">
        <v>市场公关运营</v>
      </c>
      <c r="G173" s="177" t="str">
        <v>否</v>
      </c>
      <c r="H173" s="177"/>
      <c r="I173" s="177"/>
      <c r="J173" s="177"/>
      <c r="K173" s="148"/>
      <c r="L173" s="177" t="str">
        <v>否</v>
      </c>
      <c r="M173" s="177" t="str">
        <v>否</v>
      </c>
      <c r="N173" s="177" t="str">
        <v>是</v>
      </c>
      <c r="O173" s="177" t="str">
        <v>是</v>
      </c>
      <c r="P173" s="177" t="str">
        <v>营销费用</v>
      </c>
      <c r="Q173" s="177" t="str">
        <v>其他费用</v>
      </c>
      <c r="R173" s="177" t="str">
        <v>公关礼品费</v>
      </c>
      <c r="S173" s="148" t="str">
        <v>品牌运营中心</v>
      </c>
      <c r="T173" s="148" t="str">
        <v>运营策略部</v>
      </c>
      <c r="U173" s="148" t="str">
        <v>天猫运营部</v>
      </c>
      <c r="V173" s="148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</row>
    <row r="174">
      <c r="A174" s="183" t="str">
        <v>微信渠道推广</v>
      </c>
      <c r="B174" s="181" t="str">
        <v>微信-达播服务费</v>
      </c>
      <c r="C174" s="5">
        <f>VLOOKUP(B174,'收集数据表'!$A$2:$A$201,1,FALSE)</f>
      </c>
      <c r="D174" s="181" t="str">
        <v>社交电商推广</v>
      </c>
      <c r="E174" s="181" t="str">
        <v>微信-达播</v>
      </c>
      <c r="F174" s="5" t="str">
        <v>微信-达播</v>
      </c>
      <c r="G174" s="5" t="str">
        <v>是</v>
      </c>
      <c r="H174" s="5" t="str">
        <v>有赞花西子有赞旗舰店</v>
      </c>
      <c r="I174" s="5" t="str">
        <v>综合渠道</v>
      </c>
      <c r="J174" s="5" t="str">
        <v>有赞达播</v>
      </c>
      <c r="K174" s="190"/>
      <c r="L174" s="5" t="str">
        <v>否</v>
      </c>
      <c r="M174" s="5" t="str">
        <v>否</v>
      </c>
      <c r="N174" s="5" t="str">
        <v>否</v>
      </c>
      <c r="O174" s="5" t="str">
        <v>否</v>
      </c>
      <c r="P174" s="5" t="str">
        <v>营销费用</v>
      </c>
      <c r="Q174" s="5" t="str">
        <v>渠道推广费</v>
      </c>
      <c r="R174" s="5" t="str">
        <v>直播服务费</v>
      </c>
      <c r="S174" s="190" t="str">
        <v>品牌运营中心</v>
      </c>
      <c r="T174" s="190" t="str">
        <v>渠道运营部</v>
      </c>
      <c r="U174" s="190" t="str">
        <v>内容综合部</v>
      </c>
      <c r="V174" s="190" t="str">
        <v>综合渠道部</v>
      </c>
    </row>
    <row r="175">
      <c r="A175" s="189" t="str">
        <v>微信渠道推广</v>
      </c>
      <c r="B175" s="181" t="str">
        <v>微信-达播佣金</v>
      </c>
      <c r="C175" s="5">
        <f>VLOOKUP(B175,'收集数据表'!$A$2:$A$201,1,FALSE)</f>
      </c>
      <c r="D175" s="181" t="str">
        <v>社交电商推广</v>
      </c>
      <c r="E175" s="181" t="str">
        <v>微信-达播</v>
      </c>
      <c r="F175" s="5" t="str">
        <v>微信-达播</v>
      </c>
      <c r="G175" s="5" t="str">
        <v>是</v>
      </c>
      <c r="H175" s="5" t="str">
        <v>有赞花西子有赞旗舰店</v>
      </c>
      <c r="I175" s="5" t="str">
        <v>综合渠道</v>
      </c>
      <c r="J175" s="5" t="str">
        <v>有赞达播</v>
      </c>
      <c r="K175" s="190"/>
      <c r="L175" s="5" t="str">
        <v>是</v>
      </c>
      <c r="M175" s="5" t="str">
        <v>是</v>
      </c>
      <c r="N175" s="5" t="str">
        <v>否</v>
      </c>
      <c r="O175" s="5" t="str">
        <v>否</v>
      </c>
      <c r="P175" s="5" t="str">
        <v>营销费用</v>
      </c>
      <c r="Q175" s="5" t="str">
        <v>渠道推广费</v>
      </c>
      <c r="R175" s="5" t="str">
        <v>直播服务费</v>
      </c>
      <c r="S175" s="190" t="str">
        <v>品牌运营中心</v>
      </c>
      <c r="T175" s="190" t="str">
        <v>渠道运营部</v>
      </c>
      <c r="U175" s="190" t="str">
        <v>内容综合部</v>
      </c>
      <c r="V175" s="190" t="str">
        <v>综合渠道部</v>
      </c>
    </row>
    <row r="176">
      <c r="A176" s="92" t="str">
        <v>微信渠道推广</v>
      </c>
      <c r="B176" s="149" t="str">
        <v>微信-ADQ推广</v>
      </c>
      <c r="C176" s="5">
        <f>VLOOKUP(B176,'收集数据表'!$A$2:$A$201,1,FALSE)</f>
      </c>
      <c r="D176" s="1" t="str">
        <v>社交电商推广</v>
      </c>
      <c r="E176" s="1" t="str">
        <v>微信-店铺</v>
      </c>
      <c r="F176" s="5" t="str">
        <v>#N/A</v>
      </c>
      <c r="G176" s="5" t="str">
        <v>是</v>
      </c>
      <c r="H176" s="5" t="str">
        <v>有赞花西子有赞旗舰店</v>
      </c>
      <c r="I176" s="5" t="str">
        <v>综合渠道</v>
      </c>
      <c r="J176" s="5" t="str">
        <v>有赞花西子有赞旗舰店</v>
      </c>
      <c r="K176" s="3"/>
      <c r="L176" s="177" t="str">
        <v>#N/A</v>
      </c>
      <c r="M176" s="177" t="str">
        <v>#N/A</v>
      </c>
      <c r="N176" s="177" t="str">
        <v>#N/A</v>
      </c>
      <c r="O176" s="177" t="str">
        <v>#N/A</v>
      </c>
      <c r="P176" s="5" t="str">
        <v>营销费用</v>
      </c>
      <c r="Q176" s="5" t="str">
        <v>渠道推广费</v>
      </c>
      <c r="R176" s="5" t="str">
        <v>站内推广费</v>
      </c>
      <c r="S176" s="3" t="str">
        <v>品牌运营中心</v>
      </c>
      <c r="T176" s="3" t="str">
        <v>渠道运营部</v>
      </c>
      <c r="U176" s="3" t="str">
        <v>综合渠道运营部</v>
      </c>
      <c r="V176" s="3" t="str">
        <v>综合渠道推广部</v>
      </c>
    </row>
    <row r="177">
      <c r="A177" s="92" t="str">
        <v>微信渠道推广</v>
      </c>
      <c r="B177" s="149" t="str">
        <v>微信-微信豆充值</v>
      </c>
      <c r="C177" s="5">
        <f>VLOOKUP(B177,'收集数据表'!$A$2:$A$201,1,FALSE)</f>
      </c>
      <c r="D177" s="1" t="str">
        <v>社交电商推广</v>
      </c>
      <c r="E177" s="1" t="str">
        <v>微信-店铺</v>
      </c>
      <c r="F177" s="5" t="str">
        <v>#N/A</v>
      </c>
      <c r="G177" s="5" t="str">
        <v>是</v>
      </c>
      <c r="H177" s="5" t="str">
        <v>有赞花西子有赞旗舰店</v>
      </c>
      <c r="I177" s="5" t="str">
        <v>综合渠道</v>
      </c>
      <c r="J177" s="5" t="str">
        <v>有赞花西子有赞旗舰店</v>
      </c>
      <c r="K177" s="3"/>
      <c r="L177" s="177" t="str">
        <v>#N/A</v>
      </c>
      <c r="M177" s="177" t="str">
        <v>#N/A</v>
      </c>
      <c r="N177" s="177" t="str">
        <v>#N/A</v>
      </c>
      <c r="O177" s="177" t="str">
        <v>#N/A</v>
      </c>
      <c r="P177" s="5" t="str">
        <v>营销费用</v>
      </c>
      <c r="Q177" s="5" t="str">
        <v>渠道推广费</v>
      </c>
      <c r="R177" s="5" t="str">
        <v>站内推广费</v>
      </c>
      <c r="S177" s="3" t="str">
        <v>品牌运营中心</v>
      </c>
      <c r="T177" s="3" t="str">
        <v>渠道运营部</v>
      </c>
      <c r="U177" s="3" t="str">
        <v>综合渠道运营部</v>
      </c>
      <c r="V177" s="3" t="str">
        <v>综合渠道推广部</v>
      </c>
    </row>
    <row r="178">
      <c r="A178" s="92" t="str">
        <v>微信渠道推广</v>
      </c>
      <c r="B178" s="149" t="str">
        <v>微信号服务费</v>
      </c>
      <c r="C178" s="5">
        <f>VLOOKUP(B178,'收集数据表'!$A$2:$A$201,1,FALSE)</f>
      </c>
      <c r="D178" s="1" t="str">
        <v>社交电商推广</v>
      </c>
      <c r="E178" s="1" t="str">
        <v>微信-店铺</v>
      </c>
      <c r="F178" s="5" t="str">
        <v>#N/A</v>
      </c>
      <c r="G178" s="5" t="str">
        <v>是</v>
      </c>
      <c r="H178" s="5" t="str">
        <v>有赞花西子有赞旗舰店</v>
      </c>
      <c r="I178" s="5" t="str">
        <v>综合渠道</v>
      </c>
      <c r="J178" s="5" t="str">
        <v>有赞花西子有赞旗舰店</v>
      </c>
      <c r="K178" s="3"/>
      <c r="L178" s="177" t="str">
        <v>#N/A</v>
      </c>
      <c r="M178" s="177" t="str">
        <v>#N/A</v>
      </c>
      <c r="N178" s="177" t="str">
        <v>#N/A</v>
      </c>
      <c r="O178" s="177" t="str">
        <v>#N/A</v>
      </c>
      <c r="P178" s="5" t="str">
        <v>营销费用</v>
      </c>
      <c r="Q178" s="5" t="str">
        <v>渠道推广费</v>
      </c>
      <c r="R178" s="5" t="str">
        <v>代运营服务费</v>
      </c>
      <c r="S178" s="3" t="str">
        <v>品牌运营中心</v>
      </c>
      <c r="T178" s="3" t="str">
        <v>渠道运营部</v>
      </c>
      <c r="U178" s="3" t="str">
        <v>综合渠道运营部</v>
      </c>
      <c r="V178" s="3" t="str">
        <v>综合渠道推广部</v>
      </c>
    </row>
    <row r="179">
      <c r="A179" s="92" t="str">
        <v>微信渠道推广</v>
      </c>
      <c r="B179" s="149" t="str">
        <v>微信号佣金</v>
      </c>
      <c r="C179" s="5">
        <f>VLOOKUP(B179,'收集数据表'!$A$2:$A$201,1,FALSE)</f>
      </c>
      <c r="D179" s="1" t="str">
        <v>社交电商推广</v>
      </c>
      <c r="E179" s="1" t="str">
        <v>微信-店铺</v>
      </c>
      <c r="F179" s="5" t="str">
        <v>#N/A</v>
      </c>
      <c r="G179" s="5" t="str">
        <v>是</v>
      </c>
      <c r="H179" s="5" t="str">
        <v>有赞花西子有赞旗舰店</v>
      </c>
      <c r="I179" s="5" t="str">
        <v>综合渠道</v>
      </c>
      <c r="J179" s="5" t="str">
        <v>有赞花西子有赞旗舰店</v>
      </c>
      <c r="K179" s="3"/>
      <c r="L179" s="177" t="str">
        <v>#N/A</v>
      </c>
      <c r="M179" s="177" t="str">
        <v>#N/A</v>
      </c>
      <c r="N179" s="177" t="str">
        <v>#N/A</v>
      </c>
      <c r="O179" s="177" t="str">
        <v>#N/A</v>
      </c>
      <c r="P179" s="5" t="str">
        <v>营销费用</v>
      </c>
      <c r="Q179" s="5" t="str">
        <v>渠道推广费</v>
      </c>
      <c r="R179" s="5" t="str">
        <v>代运营佣金</v>
      </c>
      <c r="S179" s="3" t="str">
        <v>品牌运营中心</v>
      </c>
      <c r="T179" s="3" t="str">
        <v>渠道运营部</v>
      </c>
      <c r="U179" s="3" t="str">
        <v>综合渠道运营部</v>
      </c>
      <c r="V179" s="3" t="str">
        <v>综合渠道推广部</v>
      </c>
    </row>
    <row r="180">
      <c r="A180" s="92" t="str">
        <v>微信渠道推广</v>
      </c>
      <c r="B180" s="149" t="str">
        <v>微信号代投费</v>
      </c>
      <c r="C180" s="5">
        <f>VLOOKUP(B180,'收集数据表'!$A$2:$A$201,1,FALSE)</f>
      </c>
      <c r="D180" s="1" t="str">
        <v>社交电商推广</v>
      </c>
      <c r="E180" s="1" t="str">
        <v>微信-店铺</v>
      </c>
      <c r="F180" s="5" t="str">
        <v>#N/A</v>
      </c>
      <c r="G180" s="5" t="str">
        <v>是</v>
      </c>
      <c r="H180" s="5" t="str">
        <v>有赞花西子有赞旗舰店</v>
      </c>
      <c r="I180" s="5" t="str">
        <v>综合渠道</v>
      </c>
      <c r="J180" s="5" t="str">
        <v>有赞花西子有赞旗舰店</v>
      </c>
      <c r="K180" s="3"/>
      <c r="L180" s="177" t="str">
        <v>#N/A</v>
      </c>
      <c r="M180" s="177" t="str">
        <v>#N/A</v>
      </c>
      <c r="N180" s="177" t="str">
        <v>#N/A</v>
      </c>
      <c r="O180" s="177" t="str">
        <v>#N/A</v>
      </c>
      <c r="P180" s="5" t="str">
        <v>营销费用</v>
      </c>
      <c r="Q180" s="5" t="str">
        <v>渠道推广费</v>
      </c>
      <c r="R180" s="5" t="str">
        <v>站内推广费</v>
      </c>
      <c r="S180" s="3" t="str">
        <v>品牌运营中心</v>
      </c>
      <c r="T180" s="3" t="str">
        <v>渠道运营部</v>
      </c>
      <c r="U180" s="3" t="str">
        <v>综合渠道运营部</v>
      </c>
      <c r="V180" s="3" t="str">
        <v>综合渠道推广部</v>
      </c>
    </row>
    <row r="181">
      <c r="A181" s="183" t="str">
        <v>微信渠道推广</v>
      </c>
      <c r="B181" s="181" t="str">
        <v>微信-直播间</v>
      </c>
      <c r="C181" s="5">
        <f>VLOOKUP(B181,'收集数据表'!$A$2:$A$201,1,FALSE)</f>
      </c>
      <c r="D181" s="181" t="str">
        <v>社交电商推广</v>
      </c>
      <c r="E181" s="181" t="str">
        <v>微信-直播间</v>
      </c>
      <c r="F181" s="5" t="str">
        <v>微信-直播间</v>
      </c>
      <c r="G181" s="5" t="str">
        <v>是</v>
      </c>
      <c r="H181" s="5" t="str">
        <v>有赞花西子有赞旗舰店</v>
      </c>
      <c r="I181" s="5" t="str">
        <v>综合渠道</v>
      </c>
      <c r="J181" s="5" t="str">
        <v>有赞视频号</v>
      </c>
      <c r="K181" s="181"/>
      <c r="L181" s="5" t="str">
        <v>否</v>
      </c>
      <c r="M181" s="5" t="str">
        <v>否</v>
      </c>
      <c r="N181" s="5" t="str">
        <v>否</v>
      </c>
      <c r="O181" s="5" t="str">
        <v>否</v>
      </c>
      <c r="P181" s="5" t="str">
        <v>营销费用</v>
      </c>
      <c r="Q181" s="5" t="str">
        <v>渠道推广费</v>
      </c>
      <c r="R181" s="5" t="str">
        <v>直播服务费</v>
      </c>
      <c r="S181" s="181" t="str">
        <v>用户服务中心</v>
      </c>
      <c r="T181" s="181" t="str">
        <v>用户运营部</v>
      </c>
      <c r="U181" s="181" t="str">
        <v>用户营销部</v>
      </c>
      <c r="V181" s="182"/>
    </row>
    <row r="182">
      <c r="A182" s="92" t="str">
        <v>达人推广</v>
      </c>
      <c r="B182" s="4" t="str">
        <v>达人合作</v>
      </c>
      <c r="C182" s="5">
        <f>VLOOKUP(B182,'收集数据表'!$A$2:$A$201,1,FALSE)</f>
      </c>
      <c r="D182" s="1" t="str">
        <v>市场达人推广</v>
      </c>
      <c r="E182" s="1" t="str">
        <v>达人推广</v>
      </c>
      <c r="F182" s="5" t="str">
        <v>达人推广</v>
      </c>
      <c r="G182" s="5" t="str">
        <v>否</v>
      </c>
      <c r="H182" s="5"/>
      <c r="I182" s="5"/>
      <c r="J182" s="5"/>
      <c r="K182" s="3"/>
      <c r="L182" s="5" t="str">
        <v>否</v>
      </c>
      <c r="M182" s="5" t="str">
        <v>否</v>
      </c>
      <c r="N182" s="5" t="str">
        <v>否</v>
      </c>
      <c r="O182" s="5" t="str">
        <v>否</v>
      </c>
      <c r="P182" s="5" t="str">
        <v>营销费用</v>
      </c>
      <c r="Q182" s="5" t="str">
        <v>达人推广费</v>
      </c>
      <c r="R182" s="5" t="str">
        <v>达人合作费</v>
      </c>
      <c r="S182" s="3" t="str">
        <v>品牌运营中心</v>
      </c>
      <c r="T182" s="3" t="str">
        <v>市场广告推广部</v>
      </c>
      <c r="U182" s="3" t="str">
        <v>市场推广部</v>
      </c>
      <c r="V182" s="3"/>
    </row>
    <row r="183">
      <c r="A183" s="92" t="str">
        <v>达人推广</v>
      </c>
      <c r="B183" s="4" t="str">
        <v>达人佣金</v>
      </c>
      <c r="C183" s="5">
        <f>VLOOKUP(B183,'收集数据表'!$A$2:$A$201,1,FALSE)</f>
      </c>
      <c r="D183" s="1" t="str">
        <v>市场达人推广</v>
      </c>
      <c r="E183" s="1" t="str">
        <v>达人推广</v>
      </c>
      <c r="F183" s="5" t="str">
        <v>达人推广</v>
      </c>
      <c r="G183" s="5" t="str">
        <v>否</v>
      </c>
      <c r="H183" s="5"/>
      <c r="I183" s="5"/>
      <c r="J183" s="5"/>
      <c r="K183" s="3"/>
      <c r="L183" s="5" t="str">
        <v>否</v>
      </c>
      <c r="M183" s="5" t="str">
        <v>否</v>
      </c>
      <c r="N183" s="5" t="str">
        <v>否</v>
      </c>
      <c r="O183" s="5" t="str">
        <v>否</v>
      </c>
      <c r="P183" s="5" t="str">
        <v>营销费用</v>
      </c>
      <c r="Q183" s="5" t="str">
        <v>达人推广费</v>
      </c>
      <c r="R183" s="5" t="str">
        <v>达人推广佣金</v>
      </c>
      <c r="S183" s="3" t="str">
        <v>品牌运营中心</v>
      </c>
      <c r="T183" s="3" t="str">
        <v>市场广告推广部</v>
      </c>
      <c r="U183" s="3" t="str">
        <v>市场推广部</v>
      </c>
      <c r="V183" s="3"/>
    </row>
    <row r="184">
      <c r="A184" s="155" t="str">
        <v>市场公关费</v>
      </c>
      <c r="B184" s="184" t="str">
        <v>公关礼策划服务</v>
      </c>
      <c r="C184" s="5">
        <f>VLOOKUP(B184,'收集数据表'!$A$2:$A$201,1,FALSE)</f>
      </c>
      <c r="D184" s="1" t="str">
        <v>市场公关</v>
      </c>
      <c r="E184" s="1" t="str">
        <v>市场公关运营</v>
      </c>
      <c r="F184" s="5" t="str">
        <v>市场公关运营</v>
      </c>
      <c r="G184" s="5" t="str">
        <v>否</v>
      </c>
      <c r="H184" s="5"/>
      <c r="I184" s="5"/>
      <c r="J184" s="5"/>
      <c r="K184" s="3"/>
      <c r="L184" s="5" t="str">
        <v>否</v>
      </c>
      <c r="M184" s="5" t="str">
        <v>否</v>
      </c>
      <c r="N184" s="5" t="str">
        <v>否</v>
      </c>
      <c r="O184" s="5" t="str">
        <v>否</v>
      </c>
      <c r="P184" s="5" t="str">
        <v>营销费用</v>
      </c>
      <c r="Q184" s="5" t="str">
        <v>品牌宣传费</v>
      </c>
      <c r="R184" s="5" t="str">
        <v>创意策划服务费</v>
      </c>
      <c r="S184" s="3" t="str">
        <v>品牌运营中心</v>
      </c>
      <c r="T184" s="3" t="str">
        <v>市场广告推广部</v>
      </c>
      <c r="U184" s="3" t="str">
        <v>市场推广部</v>
      </c>
      <c r="V184" s="3" t="str">
        <v>市场PR部</v>
      </c>
    </row>
    <row r="185">
      <c r="A185" s="155" t="str">
        <v>市场公关费</v>
      </c>
      <c r="B185" s="4" t="str">
        <v>公关舆情服务</v>
      </c>
      <c r="C185" s="5">
        <f>VLOOKUP(B185,'收集数据表'!$A$2:$A$201,1,FALSE)</f>
      </c>
      <c r="D185" s="1" t="str">
        <v>市场公关</v>
      </c>
      <c r="E185" s="1" t="str">
        <v>市场公关运营</v>
      </c>
      <c r="F185" s="5" t="str">
        <v>市场公关运营</v>
      </c>
      <c r="G185" s="5" t="str">
        <v>否</v>
      </c>
      <c r="H185" s="5"/>
      <c r="I185" s="5"/>
      <c r="J185" s="5"/>
      <c r="K185" s="3"/>
      <c r="L185" s="5" t="str">
        <v>否</v>
      </c>
      <c r="M185" s="5" t="str">
        <v>否</v>
      </c>
      <c r="N185" s="5" t="str">
        <v>否</v>
      </c>
      <c r="O185" s="5" t="str">
        <v>否</v>
      </c>
      <c r="P185" s="5" t="str">
        <v>营销费用</v>
      </c>
      <c r="Q185" s="5" t="str">
        <v>品牌宣传费</v>
      </c>
      <c r="R185" s="5" t="str">
        <v>公关服务费</v>
      </c>
      <c r="S185" s="3" t="str">
        <v>品牌运营中心</v>
      </c>
      <c r="T185" s="3" t="str">
        <v>市场广告推广部</v>
      </c>
      <c r="U185" s="3" t="str">
        <v>市场推广部</v>
      </c>
      <c r="V185" s="3"/>
    </row>
    <row r="186">
      <c r="A186" s="155" t="str">
        <v>市场公关费</v>
      </c>
      <c r="B186" s="156" t="str">
        <v>市场公关整合营销</v>
      </c>
      <c r="C186" s="5">
        <f>VLOOKUP(B186,'收集数据表'!$A$2:$A$201,1,FALSE)</f>
      </c>
      <c r="D186" s="1" t="str">
        <v>市场公关</v>
      </c>
      <c r="E186" s="1" t="str">
        <v>市场公关运营</v>
      </c>
      <c r="F186" s="5" t="str">
        <v>#N/A</v>
      </c>
      <c r="G186" s="5" t="str">
        <v>否</v>
      </c>
      <c r="H186" s="5"/>
      <c r="I186" s="5"/>
      <c r="J186" s="5"/>
      <c r="K186" s="3"/>
      <c r="L186" s="5" t="str">
        <v>否</v>
      </c>
      <c r="M186" s="5" t="str">
        <v>否</v>
      </c>
      <c r="N186" s="5" t="str">
        <v>否</v>
      </c>
      <c r="O186" s="5" t="str">
        <v>否</v>
      </c>
      <c r="P186" s="199"/>
      <c r="Q186" s="199"/>
      <c r="R186" s="199"/>
      <c r="S186" s="3" t="str">
        <v>品牌运营中心</v>
      </c>
      <c r="T186" s="3" t="str">
        <v>市场广告推广部</v>
      </c>
      <c r="U186" s="3" t="str">
        <v>市场推广部</v>
      </c>
      <c r="V186" s="3" t="str">
        <v>市场PR部</v>
      </c>
    </row>
    <row r="187">
      <c r="A187" s="155" t="str">
        <v>市场公关费</v>
      </c>
      <c r="B187" s="4" t="str">
        <v>市场公关礼-外采</v>
      </c>
      <c r="C187" s="5">
        <f>VLOOKUP(B187,'收集数据表'!$A$2:$A$201,1,FALSE)</f>
      </c>
      <c r="D187" s="1" t="str">
        <v>市场公关</v>
      </c>
      <c r="E187" s="1" t="str">
        <v>市场公关运营</v>
      </c>
      <c r="F187" s="5" t="str">
        <v>市场公关运营</v>
      </c>
      <c r="G187" s="5" t="str">
        <v>否</v>
      </c>
      <c r="H187" s="5"/>
      <c r="I187" s="5"/>
      <c r="J187" s="5"/>
      <c r="K187" s="3"/>
      <c r="L187" s="5" t="str">
        <v>否</v>
      </c>
      <c r="M187" s="5" t="str">
        <v>否</v>
      </c>
      <c r="N187" s="5" t="str">
        <v>是</v>
      </c>
      <c r="O187" s="5" t="str">
        <v>是</v>
      </c>
      <c r="P187" s="5" t="str">
        <v>营销费用</v>
      </c>
      <c r="Q187" s="5" t="str">
        <v>其他费用</v>
      </c>
      <c r="R187" s="5" t="str">
        <v>公关礼品费</v>
      </c>
      <c r="S187" s="3" t="str">
        <v>品牌运营中心</v>
      </c>
      <c r="T187" s="3" t="str">
        <v>市场广告推广部</v>
      </c>
      <c r="U187" s="3" t="str">
        <v>市场推广部</v>
      </c>
      <c r="V187" s="3"/>
    </row>
    <row r="188">
      <c r="A188" s="155" t="str">
        <v>市场公关费</v>
      </c>
      <c r="B188" s="4" t="str">
        <v>市场公关礼-自有</v>
      </c>
      <c r="C188" s="5">
        <f>VLOOKUP(B188,'收集数据表'!$A$2:$A$201,1,FALSE)</f>
      </c>
      <c r="D188" s="1" t="str">
        <v>市场公关</v>
      </c>
      <c r="E188" s="1" t="str">
        <v>市场公关运营</v>
      </c>
      <c r="F188" s="5" t="str">
        <v>市场公关运营</v>
      </c>
      <c r="G188" s="5" t="str">
        <v>否</v>
      </c>
      <c r="H188" s="5"/>
      <c r="I188" s="5"/>
      <c r="J188" s="5"/>
      <c r="K188" s="3"/>
      <c r="L188" s="5" t="str">
        <v>否</v>
      </c>
      <c r="M188" s="5" t="str">
        <v>否</v>
      </c>
      <c r="N188" s="5" t="str">
        <v>是</v>
      </c>
      <c r="O188" s="5" t="str">
        <v>是</v>
      </c>
      <c r="P188" s="5" t="str">
        <v>营销费用</v>
      </c>
      <c r="Q188" s="5" t="str">
        <v>其他费用</v>
      </c>
      <c r="R188" s="5" t="str">
        <v>公关礼品费</v>
      </c>
      <c r="S188" s="3" t="str">
        <v>品牌运营中心</v>
      </c>
      <c r="T188" s="3" t="str">
        <v>市场广告推广部</v>
      </c>
      <c r="U188" s="3" t="str">
        <v>市场推广部</v>
      </c>
      <c r="V188" s="3"/>
    </row>
    <row r="189">
      <c r="A189" s="155" t="str">
        <v>市场公关费</v>
      </c>
      <c r="B189" s="4" t="str">
        <v>市场公关线下活动</v>
      </c>
      <c r="C189" s="5">
        <f>VLOOKUP(B189,'收集数据表'!$A$2:$A$201,1,FALSE)</f>
      </c>
      <c r="D189" s="1" t="str">
        <v>市场公关</v>
      </c>
      <c r="E189" s="1" t="str">
        <v>市场公关运营</v>
      </c>
      <c r="F189" s="5" t="str">
        <v>市场公关运营</v>
      </c>
      <c r="G189" s="5" t="str">
        <v>否</v>
      </c>
      <c r="H189" s="5"/>
      <c r="I189" s="5"/>
      <c r="J189" s="5"/>
      <c r="K189" s="3"/>
      <c r="L189" s="5" t="str">
        <v>否</v>
      </c>
      <c r="M189" s="5" t="str">
        <v>否</v>
      </c>
      <c r="N189" s="5" t="str">
        <v>是</v>
      </c>
      <c r="O189" s="5" t="str">
        <v>是</v>
      </c>
      <c r="P189" s="5" t="str">
        <v>营销费用</v>
      </c>
      <c r="Q189" s="5" t="str">
        <v>品牌宣传费</v>
      </c>
      <c r="R189" s="5" t="str">
        <v>创意策划服务费</v>
      </c>
      <c r="S189" s="3" t="str">
        <v>品牌运营中心</v>
      </c>
      <c r="T189" s="3" t="str">
        <v>市场广告推广部</v>
      </c>
      <c r="U189" s="3" t="str">
        <v>市场推广部</v>
      </c>
      <c r="V189" s="3" t="str">
        <v>市场PR部</v>
      </c>
    </row>
    <row r="190">
      <c r="A190" s="92" t="str">
        <v>特殊渠道推广</v>
      </c>
      <c r="B190" s="4" t="str">
        <v>特渠运营</v>
      </c>
      <c r="C190" s="5">
        <f>VLOOKUP(B190,'收集数据表'!$A$2:$A$201,1,FALSE)</f>
      </c>
      <c r="D190" s="1" t="str">
        <v>特殊渠道推广</v>
      </c>
      <c r="E190" s="1" t="str">
        <v>特殊渠道推广</v>
      </c>
      <c r="F190" s="5" t="str">
        <v>特殊渠道推广</v>
      </c>
      <c r="G190" s="5" t="str">
        <v>否</v>
      </c>
      <c r="H190" s="5"/>
      <c r="I190" s="5"/>
      <c r="J190" s="5"/>
      <c r="K190" s="3"/>
      <c r="L190" s="5" t="str">
        <v>否</v>
      </c>
      <c r="M190" s="5" t="str">
        <v>否</v>
      </c>
      <c r="N190" s="5" t="str">
        <v>否</v>
      </c>
      <c r="O190" s="5" t="str">
        <v>否</v>
      </c>
      <c r="P190" s="5" t="str">
        <v>营销费用</v>
      </c>
      <c r="Q190" s="5" t="str">
        <v>渠道推广费</v>
      </c>
      <c r="R190" s="5" t="str">
        <v>线下推广费</v>
      </c>
      <c r="S190" s="3" t="str">
        <v>品牌运营中心</v>
      </c>
      <c r="T190" s="3" t="str">
        <v>渠道运营部</v>
      </c>
      <c r="U190" s="3"/>
      <c r="V190" s="3"/>
    </row>
    <row r="191">
      <c r="A191" s="18" t="str">
        <v>快手渠道推广</v>
      </c>
      <c r="B191" s="1" t="str">
        <v>磁力金牛</v>
      </c>
      <c r="C191" s="5">
        <f>VLOOKUP(B191,'收集数据表'!$A$2:$A$201,1,FALSE)</f>
      </c>
      <c r="D191" s="1" t="str">
        <v>直播电商推广</v>
      </c>
      <c r="E191" s="1" t="str">
        <v>快手电商渠道推广</v>
      </c>
      <c r="F191" s="5" t="str">
        <v>快手电商渠道推广</v>
      </c>
      <c r="G191" s="5" t="str">
        <v>是</v>
      </c>
      <c r="H191" s="5" t="str">
        <v>快手花西子旗舰店</v>
      </c>
      <c r="I191" s="5" t="str">
        <v>快手渠道</v>
      </c>
      <c r="J191" s="5" t="str">
        <v>快手自播</v>
      </c>
      <c r="K191" s="3"/>
      <c r="L191" s="5" t="str">
        <v>是</v>
      </c>
      <c r="M191" s="5" t="str">
        <v>否</v>
      </c>
      <c r="N191" s="5" t="str">
        <v>否</v>
      </c>
      <c r="O191" s="5" t="str">
        <v>否</v>
      </c>
      <c r="P191" s="5" t="str">
        <v>营销费用</v>
      </c>
      <c r="Q191" s="5" t="str">
        <v>渠道推广费</v>
      </c>
      <c r="R191" s="5" t="str">
        <v>站内推广费</v>
      </c>
      <c r="S191" s="3" t="str">
        <v>品牌运营中心</v>
      </c>
      <c r="T191" s="167" t="str">
        <v>运营策略部</v>
      </c>
      <c r="U191" s="3" t="str">
        <v>天猫运营部</v>
      </c>
      <c r="V191" s="3" t="str">
        <v>天猫推广组</v>
      </c>
    </row>
    <row r="192">
      <c r="A192" s="92" t="str">
        <v>内容加热</v>
      </c>
      <c r="B192" s="4" t="str">
        <v>抖音官号DOU+</v>
      </c>
      <c r="C192" s="5">
        <f>VLOOKUP(B192,'收集数据表'!$A$2:$A$201,1,FALSE)</f>
      </c>
      <c r="D192" s="1" t="str">
        <v>直播电商推广</v>
      </c>
      <c r="E192" s="1" t="str">
        <v>抖音电商渠道推广</v>
      </c>
      <c r="F192" s="5" t="str">
        <v>抖音电商渠道推广</v>
      </c>
      <c r="G192" s="5" t="str">
        <v>是</v>
      </c>
      <c r="H192" s="5" t="str">
        <v>抖音花西子官方旗舰店</v>
      </c>
      <c r="I192" s="5" t="str">
        <v>抖音渠道</v>
      </c>
      <c r="J192" s="5" t="str">
        <v>抖音矩阵号</v>
      </c>
      <c r="K192" s="3"/>
      <c r="L192" s="5" t="str">
        <v>否</v>
      </c>
      <c r="M192" s="5" t="str">
        <v>否</v>
      </c>
      <c r="N192" s="5" t="str">
        <v>否</v>
      </c>
      <c r="O192" s="5" t="str">
        <v>否</v>
      </c>
      <c r="P192" s="5" t="str">
        <v>营销费用</v>
      </c>
      <c r="Q192" s="5" t="str">
        <v>达人推广费</v>
      </c>
      <c r="R192" s="5" t="str">
        <v>内容推广费</v>
      </c>
      <c r="S192" s="3" t="str">
        <v>品牌运营中心</v>
      </c>
      <c r="T192" s="3" t="str">
        <v>渠道运营部</v>
      </c>
      <c r="U192" s="3" t="str">
        <v>抖音部</v>
      </c>
      <c r="V192" s="3" t="str">
        <v>抖音推广部</v>
      </c>
    </row>
    <row r="193">
      <c r="A193" s="92" t="str">
        <v>矩阵代运营</v>
      </c>
      <c r="B193" s="4" t="str">
        <v>矩阵号服务费</v>
      </c>
      <c r="C193" s="5">
        <f>VLOOKUP(B193,'收集数据表'!$A$2:$A$201,1,FALSE)</f>
      </c>
      <c r="D193" s="1" t="str">
        <v>直播电商推广</v>
      </c>
      <c r="E193" s="1" t="str">
        <v>抖音矩阵号直播佣金服务费</v>
      </c>
      <c r="F193" s="5" t="str">
        <v>抖音矩阵号直播佣金服务费</v>
      </c>
      <c r="G193" s="5" t="str">
        <v>是</v>
      </c>
      <c r="H193" s="5" t="str">
        <v>抖音花西子官方旗舰店</v>
      </c>
      <c r="I193" s="5" t="str">
        <v>抖音渠道</v>
      </c>
      <c r="J193" s="5" t="str">
        <v>抖音矩阵号</v>
      </c>
      <c r="K193" s="3"/>
      <c r="L193" s="5" t="str">
        <v>否</v>
      </c>
      <c r="M193" s="5" t="str">
        <v>否</v>
      </c>
      <c r="N193" s="5" t="str">
        <v>否</v>
      </c>
      <c r="O193" s="5" t="str">
        <v>否</v>
      </c>
      <c r="P193" s="5" t="str">
        <v>营销费用</v>
      </c>
      <c r="Q193" s="5" t="str">
        <v>渠道推广费</v>
      </c>
      <c r="R193" s="5" t="str">
        <v>代运营服务费</v>
      </c>
      <c r="S193" s="3" t="str">
        <v>品牌运营中心</v>
      </c>
      <c r="T193" s="3" t="str">
        <v>渠道运营部</v>
      </c>
      <c r="U193" s="3" t="str">
        <v>抖音部</v>
      </c>
      <c r="V193" s="3" t="str">
        <v>矩阵部</v>
      </c>
    </row>
    <row r="194">
      <c r="A194" s="18" t="str">
        <v>矩阵号千川信息流</v>
      </c>
      <c r="B194" s="1" t="str">
        <v>矩阵号千川信息流</v>
      </c>
      <c r="C194" s="5">
        <f>VLOOKUP(B194,'收集数据表'!$A$2:$A$201,1,FALSE)</f>
      </c>
      <c r="D194" s="1" t="str">
        <v>直播电商推广</v>
      </c>
      <c r="E194" s="1" t="str">
        <v>抖音矩阵号渠道推广</v>
      </c>
      <c r="F194" s="5" t="str">
        <v>抖音矩阵号渠道推广</v>
      </c>
      <c r="G194" s="5" t="str">
        <v>是</v>
      </c>
      <c r="H194" s="5" t="str">
        <v>抖音花西子官方旗舰店</v>
      </c>
      <c r="I194" s="5" t="str">
        <v>抖音渠道</v>
      </c>
      <c r="J194" s="5" t="str">
        <v>抖音矩阵号</v>
      </c>
      <c r="K194" s="3"/>
      <c r="L194" s="5" t="str">
        <v>否</v>
      </c>
      <c r="M194" s="5" t="str">
        <v>否</v>
      </c>
      <c r="N194" s="5" t="str">
        <v>否</v>
      </c>
      <c r="O194" s="5" t="str">
        <v>否</v>
      </c>
      <c r="P194" s="5" t="str">
        <v>营销费用</v>
      </c>
      <c r="Q194" s="5" t="str">
        <v>渠道推广费</v>
      </c>
      <c r="R194" s="5" t="str">
        <v>站内推广费</v>
      </c>
      <c r="S194" s="3" t="str">
        <v>品牌运营中心</v>
      </c>
      <c r="T194" s="3" t="str">
        <v>渠道运营部</v>
      </c>
      <c r="U194" s="3" t="str">
        <v>抖音部</v>
      </c>
      <c r="V194" s="3" t="str">
        <v>矩阵部</v>
      </c>
    </row>
    <row customHeight="true" ht="22" r="195">
      <c r="A195" s="92" t="str">
        <v>矩阵代运营</v>
      </c>
      <c r="B195" s="4" t="str">
        <v>矩阵号佣金</v>
      </c>
      <c r="C195" s="5">
        <f>VLOOKUP(B195,'收集数据表'!$A$2:$A$201,1,FALSE)</f>
      </c>
      <c r="D195" s="1" t="str">
        <v>直播电商推广</v>
      </c>
      <c r="E195" s="1" t="str">
        <v>抖音矩阵号直播佣金服务费</v>
      </c>
      <c r="F195" s="5" t="str">
        <v>抖音矩阵号直播佣金服务费</v>
      </c>
      <c r="G195" s="5" t="str">
        <v>是</v>
      </c>
      <c r="H195" s="5" t="str">
        <v>抖音花西子官方旗舰店</v>
      </c>
      <c r="I195" s="5" t="str">
        <v>抖音渠道</v>
      </c>
      <c r="J195" s="5" t="str">
        <v>抖音矩阵号</v>
      </c>
      <c r="K195" s="3"/>
      <c r="L195" s="5" t="str">
        <v>是</v>
      </c>
      <c r="M195" s="5" t="str">
        <v>是</v>
      </c>
      <c r="N195" s="5" t="str">
        <v>否</v>
      </c>
      <c r="O195" s="5" t="str">
        <v>否</v>
      </c>
      <c r="P195" s="5" t="str">
        <v>营销费用</v>
      </c>
      <c r="Q195" s="5" t="str">
        <v>渠道推广费</v>
      </c>
      <c r="R195" s="5" t="str">
        <v>代运营佣金</v>
      </c>
      <c r="S195" s="3" t="str">
        <v>品牌运营中心</v>
      </c>
      <c r="T195" s="3" t="str">
        <v>渠道运营部</v>
      </c>
      <c r="U195" s="3" t="str">
        <v>抖音部</v>
      </c>
      <c r="V195" s="3" t="str">
        <v>矩阵部</v>
      </c>
    </row>
    <row r="196">
      <c r="A196" s="92" t="str">
        <v>快手人设号</v>
      </c>
      <c r="B196" s="4" t="str">
        <v>快手人设号-服务费</v>
      </c>
      <c r="C196" s="5">
        <f>VLOOKUP(B196,'收集数据表'!$A$2:$A$201,1,FALSE)</f>
      </c>
      <c r="D196" s="1" t="str">
        <v>直播电商推广</v>
      </c>
      <c r="E196" s="1" t="str">
        <v>快手人设号</v>
      </c>
      <c r="F196" s="5" t="str">
        <v>快手人设号</v>
      </c>
      <c r="G196" s="5" t="str">
        <v>是</v>
      </c>
      <c r="H196" s="5" t="str">
        <v>快手花西子旗舰店</v>
      </c>
      <c r="I196" s="5" t="str">
        <v>快手渠道</v>
      </c>
      <c r="J196" s="5" t="str">
        <v>快手人设号</v>
      </c>
      <c r="K196" s="3"/>
      <c r="L196" s="5" t="str">
        <v>否</v>
      </c>
      <c r="M196" s="5" t="str">
        <v>否</v>
      </c>
      <c r="N196" s="5" t="str">
        <v>否</v>
      </c>
      <c r="O196" s="5" t="str">
        <v>否</v>
      </c>
      <c r="P196" s="5" t="str">
        <v>营销费用</v>
      </c>
      <c r="Q196" s="5" t="str">
        <v>渠道推广费</v>
      </c>
      <c r="R196" s="5" t="str">
        <v>直播服务费</v>
      </c>
      <c r="S196" s="3" t="str">
        <v>品牌运营中心</v>
      </c>
      <c r="T196" s="3" t="str">
        <v>渠道运营部</v>
      </c>
      <c r="U196" s="148" t="str">
        <v>创新部</v>
      </c>
      <c r="V196" s="3"/>
    </row>
    <row r="197">
      <c r="A197" s="92" t="str">
        <v>快手人设号</v>
      </c>
      <c r="B197" s="4" t="str">
        <v>快手人设号-内容制作</v>
      </c>
      <c r="C197" s="5">
        <f>VLOOKUP(B197,'收集数据表'!$A$2:$A$201,1,FALSE)</f>
      </c>
      <c r="D197" s="1" t="str">
        <v>直播电商推广</v>
      </c>
      <c r="E197" s="1" t="str">
        <v>快手人设号</v>
      </c>
      <c r="F197" s="5" t="str">
        <v>快手人设号</v>
      </c>
      <c r="G197" s="5" t="str">
        <v>是</v>
      </c>
      <c r="H197" s="5" t="str">
        <v>快手花西子旗舰店</v>
      </c>
      <c r="I197" s="5" t="str">
        <v>快手渠道</v>
      </c>
      <c r="J197" s="5" t="str">
        <v>快手人设号</v>
      </c>
      <c r="K197" s="3"/>
      <c r="L197" s="5" t="str">
        <v>否</v>
      </c>
      <c r="M197" s="5" t="str">
        <v>否</v>
      </c>
      <c r="N197" s="5" t="str">
        <v>否</v>
      </c>
      <c r="O197" s="5" t="str">
        <v>否</v>
      </c>
      <c r="P197" s="5" t="str">
        <v>营销费用</v>
      </c>
      <c r="Q197" s="5" t="str">
        <v>内容制作费</v>
      </c>
      <c r="R197" s="5" t="str">
        <v>内容制作费</v>
      </c>
      <c r="S197" s="3" t="str">
        <v>品牌运营中心</v>
      </c>
      <c r="T197" s="3" t="str">
        <v>渠道运营部</v>
      </c>
      <c r="U197" s="148" t="str">
        <v>创新部</v>
      </c>
      <c r="V197" s="3"/>
    </row>
    <row r="198">
      <c r="A198" s="92" t="str">
        <v>快手人设号</v>
      </c>
      <c r="B198" s="4" t="str">
        <v>快手人设号-视频制作</v>
      </c>
      <c r="C198" s="5">
        <f>VLOOKUP(B198,'收集数据表'!$A$2:$A$201,1,FALSE)</f>
      </c>
      <c r="D198" s="1" t="str">
        <v>直播电商推广</v>
      </c>
      <c r="E198" s="1" t="str">
        <v>快手人设号</v>
      </c>
      <c r="F198" s="5" t="str">
        <v>快手人设号</v>
      </c>
      <c r="G198" s="5" t="str">
        <v>是</v>
      </c>
      <c r="H198" s="5" t="str">
        <v>快手花西子旗舰店</v>
      </c>
      <c r="I198" s="5" t="str">
        <v>快手渠道</v>
      </c>
      <c r="J198" s="5" t="str">
        <v>快手人设号</v>
      </c>
      <c r="K198" s="3"/>
      <c r="L198" s="5" t="str">
        <v>否</v>
      </c>
      <c r="M198" s="5" t="str">
        <v>否</v>
      </c>
      <c r="N198" s="5" t="str">
        <v>否</v>
      </c>
      <c r="O198" s="5" t="str">
        <v>否</v>
      </c>
      <c r="P198" s="5" t="str">
        <v>营销费用</v>
      </c>
      <c r="Q198" s="5" t="str">
        <v>内容制作费</v>
      </c>
      <c r="R198" s="5" t="str">
        <v>视频制作费</v>
      </c>
      <c r="S198" s="3" t="str">
        <v>品牌运营中心</v>
      </c>
      <c r="T198" s="3" t="str">
        <v>渠道运营部</v>
      </c>
      <c r="U198" s="148" t="str">
        <v>创新部</v>
      </c>
      <c r="V198" s="3"/>
    </row>
    <row r="199">
      <c r="A199" s="92" t="str">
        <v>快手人设号</v>
      </c>
      <c r="B199" s="4" t="str">
        <v>快手人设号-图文平面制作</v>
      </c>
      <c r="C199" s="5">
        <f>VLOOKUP(B199,'收集数据表'!$A$2:$A$201,1,FALSE)</f>
      </c>
      <c r="D199" s="1" t="str">
        <v>直播电商推广</v>
      </c>
      <c r="E199" s="1" t="str">
        <v>快手人设号</v>
      </c>
      <c r="F199" s="5" t="str">
        <v>快手人设号</v>
      </c>
      <c r="G199" s="5" t="str">
        <v>是</v>
      </c>
      <c r="H199" s="5" t="str">
        <v>快手花西子旗舰店</v>
      </c>
      <c r="I199" s="5" t="str">
        <v>快手渠道</v>
      </c>
      <c r="J199" s="5" t="str">
        <v>快手人设号</v>
      </c>
      <c r="K199" s="3"/>
      <c r="L199" s="5" t="str">
        <v>否</v>
      </c>
      <c r="M199" s="5" t="str">
        <v>否</v>
      </c>
      <c r="N199" s="5" t="str">
        <v>否</v>
      </c>
      <c r="O199" s="5" t="str">
        <v>否</v>
      </c>
      <c r="P199" s="5" t="str">
        <v>营销费用</v>
      </c>
      <c r="Q199" s="5" t="str">
        <v>内容制作费</v>
      </c>
      <c r="R199" s="5" t="str">
        <v>图文平面制作费</v>
      </c>
      <c r="S199" s="3" t="str">
        <v>品牌运营中心</v>
      </c>
      <c r="T199" s="3" t="str">
        <v>渠道运营部</v>
      </c>
      <c r="U199" s="148" t="str">
        <v>创新部</v>
      </c>
      <c r="V199" s="3"/>
    </row>
    <row r="200">
      <c r="A200" s="18" t="str">
        <v>千川信息流</v>
      </c>
      <c r="B200" s="1" t="str">
        <v>千川信息流</v>
      </c>
      <c r="C200" s="5">
        <f>VLOOKUP(B200,'收集数据表'!$A$2:$A$201,1,FALSE)</f>
      </c>
      <c r="D200" s="1" t="str">
        <v>直播电商推广</v>
      </c>
      <c r="E200" s="1" t="str">
        <v>抖音电商渠道推广</v>
      </c>
      <c r="F200" s="5" t="str">
        <v>抖音电商渠道推广</v>
      </c>
      <c r="G200" s="5" t="str">
        <v>是</v>
      </c>
      <c r="H200" s="5" t="str">
        <v>抖音花西子官方旗舰店</v>
      </c>
      <c r="I200" s="5" t="str">
        <v>抖音渠道</v>
      </c>
      <c r="J200" s="5" t="str">
        <v>抖音自播</v>
      </c>
      <c r="K200" s="3"/>
      <c r="L200" s="5" t="str">
        <v>否</v>
      </c>
      <c r="M200" s="5" t="str">
        <v>否</v>
      </c>
      <c r="N200" s="5" t="str">
        <v>否</v>
      </c>
      <c r="O200" s="5" t="str">
        <v>否</v>
      </c>
      <c r="P200" s="5" t="str">
        <v>营销费用</v>
      </c>
      <c r="Q200" s="5" t="str">
        <v>渠道推广费</v>
      </c>
      <c r="R200" s="5" t="str">
        <v>站内推广费</v>
      </c>
      <c r="S200" s="3" t="str">
        <v>品牌运营中心</v>
      </c>
      <c r="T200" s="3" t="str">
        <v>渠道运营部</v>
      </c>
      <c r="U200" s="3" t="str">
        <v>抖音部</v>
      </c>
      <c r="V200" s="3" t="str">
        <v>抖音推广部</v>
      </c>
    </row>
    <row customHeight="true" ht="20" r="201">
      <c r="A201" s="92" t="str">
        <v>直播间物料制作</v>
      </c>
      <c r="B201" s="4" t="str">
        <v>抖音其他/快手直播间道具及搭建</v>
      </c>
      <c r="C201" s="5">
        <f>VLOOKUP(B201,'收集数据表'!$A$2:$A$201,1,FALSE)</f>
      </c>
      <c r="D201" s="1" t="str">
        <v>直播间运营费</v>
      </c>
      <c r="E201" s="1" t="str" xml:space="preserve">
        <v>
 达播道具及搭建 - 抖音其他/快手
 </v>
      </c>
      <c r="F201" s="5" t="str" xml:space="preserve">
        <v>  
达播道具及搭建 - 抖音其他/快手
</v>
      </c>
      <c r="G201" s="5" t="str">
        <v>是</v>
      </c>
      <c r="H201" s="5" t="str">
        <v>抖音花西子官方旗舰店</v>
      </c>
      <c r="I201" s="5" t="str">
        <v>抖音渠道</v>
      </c>
      <c r="J201" s="5" t="str">
        <v>抖音达播</v>
      </c>
      <c r="K201" s="3"/>
      <c r="L201" s="5" t="str">
        <v>否</v>
      </c>
      <c r="M201" s="5" t="str">
        <v>否</v>
      </c>
      <c r="N201" s="5" t="str">
        <v>是</v>
      </c>
      <c r="O201" s="5" t="str">
        <v>是</v>
      </c>
      <c r="P201" s="5" t="str">
        <v>营销费用</v>
      </c>
      <c r="Q201" s="5" t="str">
        <v>渠道推广费</v>
      </c>
      <c r="R201" s="5" t="str">
        <v>直播间物料费</v>
      </c>
      <c r="S201" s="3" t="str">
        <v>品牌运营中心</v>
      </c>
      <c r="T201" s="3" t="str">
        <v>市场广告推广部</v>
      </c>
      <c r="U201" s="3" t="str">
        <v>达播2部</v>
      </c>
      <c r="V201" s="3"/>
    </row>
    <row r="202">
      <c r="A202" s="92" t="str">
        <v>李佳琦</v>
      </c>
      <c r="B202" s="4" t="str">
        <v>佳琦直播间场景搭建</v>
      </c>
      <c r="C202" s="5">
        <f>VLOOKUP(B202,'收集数据表'!$A$2:$A$201,1,FALSE)</f>
      </c>
      <c r="D202" s="1" t="str">
        <v>直播间运营费</v>
      </c>
      <c r="E202" s="1" t="str">
        <v>佳琦道具及搭建</v>
      </c>
      <c r="F202" s="5" t="str">
        <v>佳琦道具及搭建</v>
      </c>
      <c r="G202" s="5" t="str">
        <v>是</v>
      </c>
      <c r="H202" s="5" t="str">
        <v>天猫花西子旗舰店</v>
      </c>
      <c r="I202" s="5" t="str">
        <v>天猫渠道</v>
      </c>
      <c r="J202" s="5" t="str">
        <v>天猫达播</v>
      </c>
      <c r="K202" s="3"/>
      <c r="L202" s="5" t="str">
        <v>否</v>
      </c>
      <c r="M202" s="5" t="str">
        <v>否</v>
      </c>
      <c r="N202" s="5" t="str">
        <v>是</v>
      </c>
      <c r="O202" s="5" t="str">
        <v>是</v>
      </c>
      <c r="P202" s="5" t="str">
        <v>营销费用</v>
      </c>
      <c r="Q202" s="5" t="str">
        <v>渠道推广费</v>
      </c>
      <c r="R202" s="5" t="str">
        <v>直播间物料费</v>
      </c>
      <c r="S202" s="3" t="str">
        <v>品牌运营中心</v>
      </c>
      <c r="T202" s="3" t="str">
        <v>直播运营部</v>
      </c>
      <c r="U202" s="148" t="str">
        <v>直播内容部</v>
      </c>
      <c r="V202" s="3"/>
    </row>
    <row r="203">
      <c r="A203" s="92" t="str">
        <v>田恬</v>
      </c>
      <c r="B203" s="4" t="str">
        <v>田恬直播间场景搭建</v>
      </c>
      <c r="C203" s="5">
        <f>VLOOKUP(B203,'收集数据表'!$A$2:$A$201,1,FALSE)</f>
      </c>
      <c r="D203" s="1" t="str">
        <v>直播间运营费</v>
      </c>
      <c r="E203" s="1" t="str">
        <v>达播道具及搭建-田恬</v>
      </c>
      <c r="F203" s="5" t="str">
        <v>达播道具及搭建-田恬</v>
      </c>
      <c r="G203" s="5" t="str">
        <v>是</v>
      </c>
      <c r="H203" s="5" t="str">
        <v>抖音花西子官方旗舰店</v>
      </c>
      <c r="I203" s="5" t="str">
        <v>抖音渠道</v>
      </c>
      <c r="J203" s="5" t="str">
        <v>抖音达播</v>
      </c>
      <c r="K203" s="3"/>
      <c r="L203" s="5" t="str">
        <v>否</v>
      </c>
      <c r="M203" s="5" t="str">
        <v>否</v>
      </c>
      <c r="N203" s="5" t="str">
        <v>是</v>
      </c>
      <c r="O203" s="5" t="str">
        <v>是</v>
      </c>
      <c r="P203" s="5" t="str">
        <v>营销费用</v>
      </c>
      <c r="Q203" s="5" t="str">
        <v>渠道推广费</v>
      </c>
      <c r="R203" s="5" t="str">
        <v>直播间物料费</v>
      </c>
      <c r="S203" s="3" t="str">
        <v>品牌运营中心</v>
      </c>
      <c r="T203" s="3" t="str">
        <v>直播运营部</v>
      </c>
      <c r="U203" s="148" t="str">
        <v>直播内容部</v>
      </c>
      <c r="V203" s="3"/>
    </row>
    <row r="204">
      <c r="A204" s="92" t="str">
        <v>直播间物料制作</v>
      </c>
      <c r="B204" s="4" t="str">
        <v>直播间场景道具</v>
      </c>
      <c r="C204" s="5">
        <f>VLOOKUP(B204,'收集数据表'!$A$2:$A$201,1,FALSE)</f>
      </c>
      <c r="D204" s="1" t="str">
        <v>直播间运营费</v>
      </c>
      <c r="E204" s="1" t="str">
        <v>直播间物料</v>
      </c>
      <c r="F204" s="5" t="str">
        <v>直播间物料</v>
      </c>
      <c r="G204" s="5" t="str">
        <v>否</v>
      </c>
      <c r="H204" s="5"/>
      <c r="I204" s="5"/>
      <c r="J204" s="5"/>
      <c r="K204" s="3"/>
      <c r="L204" s="5" t="str">
        <v>否</v>
      </c>
      <c r="M204" s="5" t="str">
        <v>否</v>
      </c>
      <c r="N204" s="5" t="str">
        <v>是</v>
      </c>
      <c r="O204" s="5" t="str">
        <v>是</v>
      </c>
      <c r="P204" s="5" t="str">
        <v>营销费用</v>
      </c>
      <c r="Q204" s="5" t="str">
        <v>渠道推广费</v>
      </c>
      <c r="R204" s="5" t="str">
        <v>直播间物料费</v>
      </c>
      <c r="S204" s="3" t="str">
        <v>品牌运营中心</v>
      </c>
      <c r="T204" s="3" t="str">
        <v>直播运营部</v>
      </c>
      <c r="U204" s="148" t="str">
        <v>直播内容部</v>
      </c>
      <c r="V204" s="3"/>
    </row>
    <row r="205">
      <c r="A205" s="170" t="str">
        <v>直播间运营</v>
      </c>
      <c r="B205" s="171" t="str">
        <v>直播间活动费--抖币</v>
      </c>
      <c r="C205" s="5">
        <f>VLOOKUP(B205,'收集数据表'!$A$2:$A$201,1,FALSE)</f>
      </c>
      <c r="D205" s="169" t="str">
        <v>直播间运营费</v>
      </c>
      <c r="E205" s="172" t="str">
        <v>抖音电商渠道推广</v>
      </c>
      <c r="F205" s="5" t="str">
        <v>直播间物料</v>
      </c>
      <c r="G205" s="5" t="str">
        <v>是</v>
      </c>
      <c r="H205" s="5" t="str">
        <v>抖音花西子官方旗舰店</v>
      </c>
      <c r="I205" s="5" t="str">
        <v>抖音渠道</v>
      </c>
      <c r="J205" s="5" t="str">
        <v>抖音自播</v>
      </c>
      <c r="K205" s="160"/>
      <c r="L205" s="5" t="str">
        <v>否</v>
      </c>
      <c r="M205" s="5" t="str">
        <v>否</v>
      </c>
      <c r="N205" s="5" t="str">
        <v>否</v>
      </c>
      <c r="O205" s="5" t="str">
        <v>否</v>
      </c>
      <c r="P205" s="5" t="str">
        <v>营销费用</v>
      </c>
      <c r="Q205" s="5" t="str">
        <v>渠道推广费</v>
      </c>
      <c r="R205" s="5" t="str">
        <v>直播间活动费</v>
      </c>
      <c r="S205" s="168" t="str">
        <v>品牌运营中心</v>
      </c>
      <c r="T205" s="168" t="str">
        <v>直播运营部</v>
      </c>
      <c r="U205" s="168" t="str">
        <v>直播运营部</v>
      </c>
      <c r="V205" s="167"/>
    </row>
    <row r="206">
      <c r="A206" s="92" t="str">
        <v>直播间奖品</v>
      </c>
      <c r="B206" s="4" t="str">
        <v>直播间奖品-抖音</v>
      </c>
      <c r="C206" s="5">
        <f>VLOOKUP(B206,'收集数据表'!$A$2:$A$201,1,FALSE)</f>
      </c>
      <c r="D206" s="1" t="str">
        <v>直播间运营费</v>
      </c>
      <c r="E206" s="1" t="str">
        <v>直播间奖品</v>
      </c>
      <c r="F206" s="5" t="str">
        <v>直播间奖品</v>
      </c>
      <c r="G206" s="5" t="str">
        <v>是</v>
      </c>
      <c r="H206" s="5" t="str">
        <v>抖音花西子官方旗舰店</v>
      </c>
      <c r="I206" s="5" t="str">
        <v>抖音渠道</v>
      </c>
      <c r="J206" s="5" t="str">
        <v>抖音自播</v>
      </c>
      <c r="K206" s="3"/>
      <c r="L206" s="5" t="str">
        <v>否</v>
      </c>
      <c r="M206" s="5" t="str">
        <v>否</v>
      </c>
      <c r="N206" s="5" t="str">
        <v>是</v>
      </c>
      <c r="O206" s="5" t="str">
        <v>是</v>
      </c>
      <c r="P206" s="5" t="str">
        <v>营销费用</v>
      </c>
      <c r="Q206" s="5" t="str">
        <v>渠道推广费</v>
      </c>
      <c r="R206" s="5" t="str">
        <v>直播间活动费</v>
      </c>
      <c r="S206" s="3" t="str">
        <v>品牌运营中心</v>
      </c>
      <c r="T206" s="3" t="str">
        <v>直播运营部</v>
      </c>
      <c r="U206" s="3" t="str">
        <v>直播运营部</v>
      </c>
      <c r="V206" s="3"/>
    </row>
    <row r="207">
      <c r="A207" s="92" t="str">
        <v>直播间奖品</v>
      </c>
      <c r="B207" s="4" t="str">
        <v>直播间奖品-京东</v>
      </c>
      <c r="C207" s="5">
        <f>VLOOKUP(B207,'收集数据表'!$A$2:$A$201,1,FALSE)</f>
      </c>
      <c r="D207" s="1" t="str">
        <v>直播间运营费</v>
      </c>
      <c r="E207" s="1" t="str">
        <v>直播间奖品</v>
      </c>
      <c r="F207" s="5" t="str">
        <v>直播间奖品</v>
      </c>
      <c r="G207" s="5" t="str">
        <v>是</v>
      </c>
      <c r="H207" s="5" t="str">
        <v>京东花西子旗舰店</v>
      </c>
      <c r="I207" s="5" t="str">
        <v>京东渠道</v>
      </c>
      <c r="J207" s="5" t="str">
        <v>京东货架</v>
      </c>
      <c r="K207" s="3"/>
      <c r="L207" s="5" t="str">
        <v>否</v>
      </c>
      <c r="M207" s="5" t="str">
        <v>否</v>
      </c>
      <c r="N207" s="5" t="str">
        <v>是</v>
      </c>
      <c r="O207" s="5" t="str">
        <v>是</v>
      </c>
      <c r="P207" s="5" t="str">
        <v>营销费用</v>
      </c>
      <c r="Q207" s="5" t="str">
        <v>渠道推广费</v>
      </c>
      <c r="R207" s="5" t="str">
        <v>直播间活动费</v>
      </c>
      <c r="S207" s="3" t="str">
        <v>品牌运营中心</v>
      </c>
      <c r="T207" s="3" t="str">
        <v>直播运营部</v>
      </c>
      <c r="U207" s="3" t="str">
        <v>直播运营部</v>
      </c>
      <c r="V207" s="3"/>
    </row>
    <row r="208">
      <c r="A208" s="92" t="str">
        <v>直播间奖品</v>
      </c>
      <c r="B208" s="4" t="str">
        <v>直播间奖品-快手</v>
      </c>
      <c r="C208" s="5">
        <f>VLOOKUP(B208,'收集数据表'!$A$2:$A$201,1,FALSE)</f>
      </c>
      <c r="D208" s="1" t="str">
        <v>直播间运营费</v>
      </c>
      <c r="E208" s="1" t="str">
        <v>直播间奖品</v>
      </c>
      <c r="F208" s="5" t="str">
        <v>直播间奖品</v>
      </c>
      <c r="G208" s="5" t="str">
        <v>是</v>
      </c>
      <c r="H208" s="5" t="str">
        <v>快手花西子旗舰店</v>
      </c>
      <c r="I208" s="5" t="str">
        <v>快手渠道</v>
      </c>
      <c r="J208" s="5" t="str">
        <v>快手自播</v>
      </c>
      <c r="K208" s="3"/>
      <c r="L208" s="5" t="str">
        <v>否</v>
      </c>
      <c r="M208" s="5" t="str">
        <v>否</v>
      </c>
      <c r="N208" s="5" t="str">
        <v>是</v>
      </c>
      <c r="O208" s="5" t="str">
        <v>是</v>
      </c>
      <c r="P208" s="5" t="str">
        <v>营销费用</v>
      </c>
      <c r="Q208" s="5" t="str">
        <v>渠道推广费</v>
      </c>
      <c r="R208" s="5" t="str">
        <v>直播间活动费</v>
      </c>
      <c r="S208" s="3" t="str">
        <v>品牌运营中心</v>
      </c>
      <c r="T208" s="3" t="str">
        <v>直播运营部</v>
      </c>
      <c r="U208" s="3" t="str">
        <v>直播运营部</v>
      </c>
      <c r="V208" s="3"/>
    </row>
    <row r="209">
      <c r="A209" s="92" t="str">
        <v>直播间奖品</v>
      </c>
      <c r="B209" s="4" t="str">
        <v>直播间奖品-天猫</v>
      </c>
      <c r="C209" s="5">
        <f>VLOOKUP(B209,'收集数据表'!$A$2:$A$201,1,FALSE)</f>
      </c>
      <c r="D209" s="1" t="str">
        <v>直播间运营费</v>
      </c>
      <c r="E209" s="1" t="str">
        <v>直播间奖品</v>
      </c>
      <c r="F209" s="5" t="str">
        <v>直播间奖品</v>
      </c>
      <c r="G209" s="5" t="str">
        <v>是</v>
      </c>
      <c r="H209" s="5" t="str">
        <v>天猫花西子旗舰店</v>
      </c>
      <c r="I209" s="5" t="str">
        <v>天猫渠道</v>
      </c>
      <c r="J209" s="5" t="str">
        <v>天猫自播</v>
      </c>
      <c r="K209" s="3"/>
      <c r="L209" s="5" t="str">
        <v>否</v>
      </c>
      <c r="M209" s="5" t="str">
        <v>否</v>
      </c>
      <c r="N209" s="5" t="str">
        <v>是</v>
      </c>
      <c r="O209" s="5" t="str">
        <v>是</v>
      </c>
      <c r="P209" s="5" t="str">
        <v>营销费用</v>
      </c>
      <c r="Q209" s="5" t="str">
        <v>渠道推广费</v>
      </c>
      <c r="R209" s="5" t="str">
        <v>直播间活动费</v>
      </c>
      <c r="S209" s="3" t="str">
        <v>品牌运营中心</v>
      </c>
      <c r="T209" s="3" t="str">
        <v>直播运营部</v>
      </c>
      <c r="U209" s="3" t="str">
        <v>直播运营部</v>
      </c>
      <c r="V209" s="3"/>
    </row>
    <row r="210">
      <c r="A210" s="92" t="str">
        <v>直播间奖品</v>
      </c>
      <c r="B210" s="4" t="str">
        <v>直播间奖品-唯品</v>
      </c>
      <c r="C210" s="5">
        <f>VLOOKUP(B210,'收集数据表'!$A$2:$A$201,1,FALSE)</f>
      </c>
      <c r="D210" s="1" t="str">
        <v>直播间运营费</v>
      </c>
      <c r="E210" s="1" t="str">
        <v>直播间奖品</v>
      </c>
      <c r="F210" s="5" t="str">
        <v>直播间奖品</v>
      </c>
      <c r="G210" s="5" t="str">
        <v>是</v>
      </c>
      <c r="H210" s="5" t="str">
        <v>唯品会自营花西子旗舰店</v>
      </c>
      <c r="I210" s="5" t="str">
        <v>唯品会</v>
      </c>
      <c r="J210" s="5" t="str">
        <v>唯品货架</v>
      </c>
      <c r="K210" s="3"/>
      <c r="L210" s="5" t="str">
        <v>否</v>
      </c>
      <c r="M210" s="5" t="str">
        <v>否</v>
      </c>
      <c r="N210" s="5" t="str">
        <v>是</v>
      </c>
      <c r="O210" s="5" t="str">
        <v>是</v>
      </c>
      <c r="P210" s="5" t="str">
        <v>营销费用</v>
      </c>
      <c r="Q210" s="5" t="str">
        <v>渠道推广费</v>
      </c>
      <c r="R210" s="5" t="str">
        <v>直播间活动费</v>
      </c>
      <c r="S210" s="3" t="str">
        <v>品牌运营中心</v>
      </c>
      <c r="T210" s="3" t="str">
        <v>直播运营部</v>
      </c>
      <c r="U210" s="3" t="str">
        <v>直播运营部</v>
      </c>
      <c r="V210" s="3"/>
    </row>
    <row r="211">
      <c r="A211" s="92" t="str">
        <v>直播间物料制作</v>
      </c>
      <c r="B211" s="4" t="str">
        <v>直播间其他用品</v>
      </c>
      <c r="C211" s="5">
        <f>VLOOKUP(B211,'收集数据表'!$A$2:$A$201,1,FALSE)</f>
      </c>
      <c r="D211" s="1" t="str">
        <v>直播间运营费</v>
      </c>
      <c r="E211" s="1" t="str">
        <v>直播间奖品</v>
      </c>
      <c r="F211" s="5" t="str">
        <v>直播间奖品</v>
      </c>
      <c r="G211" s="5" t="str">
        <v>是</v>
      </c>
      <c r="H211" s="5"/>
      <c r="I211" s="5"/>
      <c r="J211" s="5"/>
      <c r="K211" s="3"/>
      <c r="L211" s="5" t="str">
        <v>否</v>
      </c>
      <c r="M211" s="5" t="str">
        <v>否</v>
      </c>
      <c r="N211" s="5" t="str">
        <v>是</v>
      </c>
      <c r="O211" s="5" t="str">
        <v>是</v>
      </c>
      <c r="P211" s="5" t="str">
        <v>营销费用</v>
      </c>
      <c r="Q211" s="5" t="str">
        <v>渠道推广费</v>
      </c>
      <c r="R211" s="5" t="str">
        <v>直播间活动费</v>
      </c>
      <c r="S211" s="3" t="str">
        <v>品牌运营中心</v>
      </c>
      <c r="T211" s="3" t="str">
        <v>直播运营部</v>
      </c>
      <c r="U211" s="3" t="str">
        <v>直播运营部</v>
      </c>
      <c r="V211" s="3"/>
    </row>
    <row r="212">
      <c r="A212" s="92" t="str">
        <v>直播间物料制作</v>
      </c>
      <c r="B212" s="4" t="str">
        <v>主播部妆发造</v>
      </c>
      <c r="C212" s="5">
        <f>VLOOKUP(B212,'收集数据表'!$A$2:$A$201,1,FALSE)</f>
      </c>
      <c r="D212" s="1" t="str">
        <v>直播间运营费</v>
      </c>
      <c r="E212" s="1" t="str">
        <v>主播妆发造</v>
      </c>
      <c r="F212" s="5" t="str">
        <v>主播妆发造</v>
      </c>
      <c r="G212" s="5" t="str">
        <v>否</v>
      </c>
      <c r="H212" s="5"/>
      <c r="I212" s="5"/>
      <c r="J212" s="5"/>
      <c r="K212" s="3"/>
      <c r="L212" s="5" t="str">
        <v>否</v>
      </c>
      <c r="M212" s="5" t="str">
        <v>否</v>
      </c>
      <c r="N212" s="5" t="str">
        <v>是</v>
      </c>
      <c r="O212" s="5" t="str">
        <v>是</v>
      </c>
      <c r="P212" s="5" t="str">
        <v>营销费用</v>
      </c>
      <c r="Q212" s="5" t="str">
        <v>内容制作费</v>
      </c>
      <c r="R212" s="5" t="str">
        <v>服化道费用</v>
      </c>
      <c r="S212" s="3" t="str">
        <v>品牌运营中心</v>
      </c>
      <c r="T212" s="3" t="str">
        <v>直播运营部</v>
      </c>
      <c r="U212" s="3" t="str">
        <v>主播部</v>
      </c>
      <c r="V212" s="180"/>
    </row>
    <row r="213">
      <c r="A213" s="92" t="str">
        <v>直播间物料制作</v>
      </c>
      <c r="B213" s="184" t="str">
        <v>主播团队激励</v>
      </c>
      <c r="C213" s="5">
        <f>VLOOKUP(B213,'收集数据表'!$A$2:$A$201,1,FALSE)</f>
      </c>
      <c r="D213" s="1" t="str">
        <v>直播间运营费</v>
      </c>
      <c r="E213" s="1" t="str">
        <v>主播团队激励</v>
      </c>
      <c r="F213" s="5" t="str">
        <v>主播团队激励</v>
      </c>
      <c r="G213" s="5" t="str">
        <v>否</v>
      </c>
      <c r="H213" s="5"/>
      <c r="I213" s="5"/>
      <c r="J213" s="5"/>
      <c r="K213" s="3"/>
      <c r="L213" s="5" t="str">
        <v>否</v>
      </c>
      <c r="M213" s="5" t="str">
        <v>否</v>
      </c>
      <c r="N213" s="5" t="str">
        <v>是</v>
      </c>
      <c r="O213" s="5" t="str">
        <v>是</v>
      </c>
      <c r="P213" s="5" t="str">
        <v>营销费用</v>
      </c>
      <c r="Q213" s="5" t="str">
        <v>其他费用</v>
      </c>
      <c r="R213" s="5" t="str">
        <v>主播团队激励</v>
      </c>
      <c r="S213" s="3" t="str">
        <v>品牌运营中心</v>
      </c>
      <c r="T213" s="3" t="str">
        <v>直播运营部</v>
      </c>
      <c r="U213" s="3" t="str">
        <v>主播部</v>
      </c>
      <c r="V213" s="3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7"/>
    <col collapsed="false" customWidth="true" hidden="false" max="2" min="2" style="0" width="19"/>
    <col collapsed="false" customWidth="true" hidden="false" max="3" min="3" style="0" width="19"/>
    <col collapsed="false" customWidth="true" hidden="false" max="4" min="4" style="0" width="17"/>
    <col collapsed="false" customWidth="true" hidden="false" max="5" min="5" style="0" width="23"/>
    <col collapsed="false" customWidth="true" hidden="false" max="5" min="5" style="0" width="23"/>
    <col collapsed="false" customWidth="true" hidden="false" max="6" min="6" style="0" width="23"/>
    <col collapsed="false" customWidth="true" hidden="false" max="6" min="6" style="0" width="23"/>
    <col collapsed="false" customWidth="true" hidden="false" max="7" min="7" style="0" width="16"/>
    <col collapsed="false" customWidth="true" hidden="false" max="7" min="7" style="0" width="16"/>
    <col collapsed="false" customWidth="true" hidden="false" max="8" min="8" style="0" width="14"/>
    <col collapsed="false" customWidth="true" hidden="false" max="8" min="8" style="0" width="14"/>
    <col collapsed="false" customWidth="true" hidden="false" max="9" min="9" style="0" width="21"/>
    <col collapsed="false" customWidth="true" hidden="false" max="9" min="9" style="0" width="21"/>
    <col collapsed="false" customWidth="true" hidden="false" max="10" min="10" style="0" width="19"/>
    <col collapsed="false" customWidth="true" hidden="false" max="10" min="10" style="0" width="19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45"/>
    <col collapsed="false" customWidth="true" hidden="false" max="14" min="14" style="0" width="45"/>
    <col collapsed="false" customWidth="true" hidden="false" max="15" min="15" style="0" width="16"/>
    <col collapsed="false" customWidth="true" hidden="false" max="16" min="16" style="0" width="18"/>
    <col collapsed="false" customWidth="true" hidden="false" max="17" min="17" style="0" width="18"/>
    <col collapsed="false" customWidth="true" hidden="false" max="18" min="18" style="0" width="16"/>
    <col collapsed="false" customWidth="true" hidden="false" max="19" min="19" style="0" width="15"/>
    <col collapsed="false" customWidth="true" hidden="false" max="20" min="20" style="0" width="14"/>
    <col collapsed="false" customWidth="true" hidden="false" max="21" min="21" style="0" width="14"/>
  </cols>
  <sheetData>
    <row r="1">
      <c r="A1" s="6" t="str">
        <v>营销活动场景名称</v>
      </c>
      <c r="B1" s="224"/>
      <c r="C1" s="224" t="str">
        <v>营销活动场景编码</v>
      </c>
      <c r="D1" s="6" t="str">
        <v>能否到店铺</v>
      </c>
      <c r="E1" s="2" t="str">
        <v>店铺</v>
      </c>
      <c r="F1" s="2" t="str">
        <v>渠道</v>
      </c>
      <c r="G1" s="2" t="str">
        <v>业务来源</v>
      </c>
      <c r="H1" s="2" t="str">
        <v>业务单元</v>
      </c>
      <c r="I1" s="6" t="str">
        <v>能否到品类（单品简称）</v>
      </c>
      <c r="J1" s="6" t="str">
        <v>能否到SKU</v>
      </c>
      <c r="K1" s="6" t="str">
        <v>是否允许个人报销</v>
      </c>
      <c r="L1" s="6" t="str">
        <v>是否允许无票报销</v>
      </c>
      <c r="M1" s="6" t="str">
        <v>预算科目</v>
      </c>
      <c r="N1" s="91" t="str">
        <v>预算二级科目</v>
      </c>
      <c r="O1" s="91" t="str">
        <v>费用类型</v>
      </c>
      <c r="P1" s="2" t="str">
        <v>费用大类</v>
      </c>
      <c r="Q1" s="2" t="str">
        <v>费用小类</v>
      </c>
      <c r="V1" s="2"/>
      <c r="W1" s="2"/>
      <c r="X1" s="2"/>
      <c r="Y1" s="2"/>
      <c r="Z1" s="2"/>
    </row>
    <row r="2">
      <c r="A2" s="200" t="str">
        <v>抖音品牌信息流</v>
      </c>
      <c r="B2" s="201">
        <f>VLOOKUP(A2,'营销计划（活动-更新）'!$B$2:$D$213,1,FALSE)</f>
      </c>
      <c r="C2" s="201" t="str">
        <v>YXHD01</v>
      </c>
      <c r="D2" s="61" t="str">
        <v>否</v>
      </c>
      <c r="I2" s="61" t="str">
        <v>否</v>
      </c>
      <c r="K2" s="61" t="str">
        <v>否</v>
      </c>
      <c r="L2">
        <f>K2</f>
      </c>
      <c r="M2" t="str">
        <v>品牌媒介</v>
      </c>
      <c r="N2" t="str">
        <v>线上品宣媒介</v>
      </c>
      <c r="O2" s="34" t="str">
        <v>营销费用</v>
      </c>
      <c r="P2" s="34" t="str">
        <v>媒介宣传费</v>
      </c>
      <c r="Q2" s="34" t="str">
        <v>线上媒介费</v>
      </c>
    </row>
    <row r="3">
      <c r="A3" s="200" t="str">
        <v>快手品牌信息流</v>
      </c>
      <c r="B3" s="201">
        <f>VLOOKUP(A3,'营销计划（活动-更新）'!$B$2:$D$213,1,FALSE)</f>
      </c>
      <c r="C3" s="201" t="str">
        <v>YXHD02</v>
      </c>
      <c r="D3" s="61" t="str">
        <v>否</v>
      </c>
      <c r="I3" s="61" t="str">
        <v>否</v>
      </c>
      <c r="K3" s="61" t="str">
        <v>否</v>
      </c>
      <c r="L3">
        <f>K3</f>
      </c>
      <c r="M3" t="str">
        <v>品牌媒介</v>
      </c>
      <c r="N3" t="str">
        <v>线上品宣媒介</v>
      </c>
      <c r="O3" s="34" t="str">
        <v>营销费用</v>
      </c>
      <c r="P3" s="34" t="str">
        <v>媒介宣传费</v>
      </c>
      <c r="Q3" s="34" t="str">
        <v>线上媒介费</v>
      </c>
    </row>
    <row r="4">
      <c r="A4" s="200" t="str">
        <v>开屏类广告</v>
      </c>
      <c r="B4" s="201">
        <f>VLOOKUP(A4,'营销计划（活动-更新）'!$B$2:$D$213,1,FALSE)</f>
      </c>
      <c r="C4" s="201" t="str">
        <v>YXHD03</v>
      </c>
      <c r="D4" s="61" t="str">
        <v>否</v>
      </c>
      <c r="I4" s="61" t="str">
        <v>否</v>
      </c>
      <c r="K4" s="61" t="str">
        <v>否</v>
      </c>
      <c r="L4">
        <f>K4</f>
      </c>
      <c r="M4" t="str">
        <v>品牌媒介</v>
      </c>
      <c r="N4" t="str">
        <v>线上品宣媒介</v>
      </c>
      <c r="O4" s="34" t="str">
        <v>营销费用</v>
      </c>
      <c r="P4" s="34" t="str">
        <v>媒介宣传费</v>
      </c>
      <c r="Q4" s="34" t="str">
        <v>线上媒介费</v>
      </c>
    </row>
    <row r="5">
      <c r="A5" s="200" t="str">
        <v>程序化投放</v>
      </c>
      <c r="B5" s="201">
        <f>VLOOKUP(A5,'营销计划（活动-更新）'!$B$2:$D$213,1,FALSE)</f>
      </c>
      <c r="C5" s="201" t="str">
        <v>YXHD04</v>
      </c>
      <c r="D5" s="61" t="str">
        <v>否</v>
      </c>
      <c r="I5" s="61" t="str">
        <v>否</v>
      </c>
      <c r="K5" s="61" t="str">
        <v>否</v>
      </c>
      <c r="L5">
        <f>K5</f>
      </c>
      <c r="M5" t="str">
        <v>品牌媒介</v>
      </c>
      <c r="N5" t="str">
        <v>线上品宣媒介</v>
      </c>
      <c r="O5" s="34" t="str">
        <v>营销费用</v>
      </c>
      <c r="P5" s="34" t="str">
        <v>媒介宣传费</v>
      </c>
      <c r="Q5" s="34" t="str">
        <v>线上媒介费</v>
      </c>
    </row>
    <row r="6">
      <c r="A6" s="200" t="str">
        <v>OTT广告</v>
      </c>
      <c r="B6" s="201">
        <f>VLOOKUP(A6,'营销计划（活动-更新）'!$B$2:$D$213,1,FALSE)</f>
      </c>
      <c r="C6" s="201" t="str">
        <v>YXHD05</v>
      </c>
      <c r="D6" s="61" t="str">
        <v>否</v>
      </c>
      <c r="I6" s="61" t="str">
        <v>否</v>
      </c>
      <c r="K6" s="61" t="str">
        <v>否</v>
      </c>
      <c r="L6">
        <f>K6</f>
      </c>
      <c r="M6" t="str">
        <v>品牌媒介</v>
      </c>
      <c r="N6" t="str">
        <v>线上品宣媒介</v>
      </c>
      <c r="O6" s="34" t="str">
        <v>营销费用</v>
      </c>
      <c r="P6" s="34" t="str">
        <v>媒介宣传费</v>
      </c>
      <c r="Q6" s="34" t="str">
        <v>线上媒介费</v>
      </c>
    </row>
    <row r="7">
      <c r="A7" s="200" t="str">
        <v>OTV广告</v>
      </c>
      <c r="B7" s="201">
        <f>VLOOKUP(A7,'营销计划（活动-更新）'!$B$2:$D$213,1,FALSE)</f>
      </c>
      <c r="C7" s="201" t="str">
        <v>YXHD06</v>
      </c>
      <c r="D7" s="61" t="str">
        <v>否</v>
      </c>
      <c r="I7" s="61" t="str">
        <v>否</v>
      </c>
      <c r="K7" s="61" t="str">
        <v>否</v>
      </c>
      <c r="L7">
        <f>K7</f>
      </c>
      <c r="M7" t="str">
        <v>品牌媒介</v>
      </c>
      <c r="N7" t="str">
        <v>线上品宣媒介</v>
      </c>
      <c r="O7" s="34" t="str">
        <v>营销费用</v>
      </c>
      <c r="P7" s="34" t="str">
        <v>媒介宣传费</v>
      </c>
      <c r="Q7" s="34" t="str">
        <v>线上媒介费</v>
      </c>
    </row>
    <row r="8">
      <c r="A8" s="200" t="str">
        <v>商业化资源包合作</v>
      </c>
      <c r="B8" s="201">
        <f>VLOOKUP(A8,'营销计划（活动-更新）'!$B$2:$D$213,1,FALSE)</f>
      </c>
      <c r="C8" s="201" t="str">
        <v>YXHD07</v>
      </c>
      <c r="D8" s="61" t="str">
        <v>否</v>
      </c>
      <c r="I8" s="61" t="str">
        <v>否</v>
      </c>
      <c r="K8" s="61" t="str">
        <v>否</v>
      </c>
      <c r="L8">
        <f>K8</f>
      </c>
      <c r="M8" t="str">
        <v>品牌媒介</v>
      </c>
      <c r="N8" t="str">
        <v>线上品宣媒介</v>
      </c>
      <c r="O8" s="34" t="str">
        <v>营销费用</v>
      </c>
      <c r="P8" s="34" t="str">
        <v>媒介宣传费</v>
      </c>
      <c r="Q8" s="34" t="str">
        <v>线上媒介费</v>
      </c>
    </row>
    <row r="9">
      <c r="A9" s="200" t="str">
        <v>广告效果监测</v>
      </c>
      <c r="B9" s="201">
        <f>VLOOKUP(A9,'营销计划（活动-更新）'!$B$2:$D$213,1,FALSE)</f>
      </c>
      <c r="C9" s="201" t="str">
        <v>YXHD08</v>
      </c>
      <c r="D9" s="61" t="str">
        <v>否</v>
      </c>
      <c r="I9" s="61" t="str">
        <v>否</v>
      </c>
      <c r="K9" s="61" t="str">
        <v>否</v>
      </c>
      <c r="L9">
        <f>K9</f>
      </c>
      <c r="M9" t="str">
        <v>品牌媒介</v>
      </c>
      <c r="N9" t="str">
        <v>线上品宣媒介</v>
      </c>
      <c r="O9" s="34" t="str">
        <v>营销费用</v>
      </c>
      <c r="P9" s="34" t="str">
        <v>媒介宣传费</v>
      </c>
      <c r="Q9" s="34" t="str">
        <v>线上媒介费</v>
      </c>
    </row>
    <row r="10">
      <c r="A10" s="200" t="str">
        <v>电梯广告</v>
      </c>
      <c r="B10" s="201">
        <f>VLOOKUP(A10,'营销计划（活动-更新）'!$B$2:$D$213,1,FALSE)</f>
      </c>
      <c r="C10" s="201" t="str">
        <v>YXHD09</v>
      </c>
      <c r="D10" s="61" t="str">
        <v>否</v>
      </c>
      <c r="I10" s="61" t="str">
        <v>否</v>
      </c>
      <c r="K10" s="61" t="str">
        <v>否</v>
      </c>
      <c r="L10">
        <f>K10</f>
      </c>
      <c r="M10" t="str">
        <v>品牌媒介</v>
      </c>
      <c r="N10" t="str">
        <v>线下品宣媒介</v>
      </c>
      <c r="O10" s="34" t="str">
        <v>营销费用</v>
      </c>
      <c r="P10" s="34" t="str">
        <v>媒介宣传费</v>
      </c>
      <c r="Q10" s="34" t="str">
        <v>线下媒介费</v>
      </c>
    </row>
    <row r="11">
      <c r="A11" s="200" t="str">
        <v>电影院广告</v>
      </c>
      <c r="B11" s="201">
        <f>VLOOKUP(A11,'营销计划（活动-更新）'!$B$2:$D$213,1,FALSE)</f>
      </c>
      <c r="C11" s="201" t="str">
        <v>YXHD10</v>
      </c>
      <c r="D11" s="61" t="str">
        <v>否</v>
      </c>
      <c r="I11" s="61" t="str">
        <v>否</v>
      </c>
      <c r="K11" s="61" t="str">
        <v>否</v>
      </c>
      <c r="L11">
        <f>K11</f>
      </c>
      <c r="M11" t="str">
        <v>品牌媒介</v>
      </c>
      <c r="N11" t="str">
        <v>线下品宣媒介</v>
      </c>
      <c r="O11" s="34" t="str">
        <v>营销费用</v>
      </c>
      <c r="P11" s="34" t="str">
        <v>媒介宣传费</v>
      </c>
      <c r="Q11" s="34" t="str">
        <v>线下媒介费</v>
      </c>
    </row>
    <row r="12">
      <c r="A12" s="200" t="str">
        <v>地标广告</v>
      </c>
      <c r="B12" s="201">
        <f>VLOOKUP(A12,'营销计划（活动-更新）'!$B$2:$D$213,1,FALSE)</f>
      </c>
      <c r="C12" s="201" t="str">
        <v>YXHD11</v>
      </c>
      <c r="D12" s="61" t="str">
        <v>否</v>
      </c>
      <c r="I12" s="61" t="str">
        <v>否</v>
      </c>
      <c r="K12" s="61" t="str">
        <v>否</v>
      </c>
      <c r="L12">
        <f>K12</f>
      </c>
      <c r="M12" t="str">
        <v>品牌媒介</v>
      </c>
      <c r="N12" t="str">
        <v>线下品宣媒介</v>
      </c>
      <c r="O12" s="34" t="str">
        <v>营销费用</v>
      </c>
      <c r="P12" s="34" t="str">
        <v>媒介宣传费</v>
      </c>
      <c r="Q12" s="34" t="str">
        <v>线下媒介费</v>
      </c>
    </row>
    <row r="13">
      <c r="A13" s="200" t="str">
        <v>投放策略调研</v>
      </c>
      <c r="B13" s="201">
        <f>VLOOKUP(A13,'营销计划（活动-更新）'!$B$2:$D$213,1,FALSE)</f>
      </c>
      <c r="C13" s="201" t="str">
        <v>YXHD12</v>
      </c>
      <c r="D13" s="61" t="str">
        <v>否</v>
      </c>
      <c r="I13" s="61" t="str">
        <v>否</v>
      </c>
      <c r="K13" s="61" t="str">
        <v>否</v>
      </c>
      <c r="L13">
        <f>K13</f>
      </c>
      <c r="M13" t="str">
        <v>品牌媒介</v>
      </c>
      <c r="N13" t="str">
        <v>调研费（其他非标）</v>
      </c>
      <c r="O13" s="34" t="str">
        <v>营销费用</v>
      </c>
      <c r="P13" s="34" t="str">
        <v>品牌宣传费</v>
      </c>
      <c r="Q13" s="34" t="str">
        <v>市场调研费</v>
      </c>
    </row>
    <row r="14">
      <c r="A14" s="200" t="str">
        <v>AD竞价内容创意-视频制作</v>
      </c>
      <c r="B14" s="201">
        <f>VLOOKUP(A14,'营销计划（活动-更新）'!$B$2:$D$213,1,FALSE)</f>
      </c>
      <c r="C14" s="201" t="str">
        <v>YXHD13</v>
      </c>
      <c r="D14" s="61" t="str">
        <v>否</v>
      </c>
      <c r="I14" s="61" t="str">
        <v>否</v>
      </c>
      <c r="K14" s="61" t="str">
        <v>是</v>
      </c>
      <c r="L14">
        <f>K14</f>
      </c>
      <c r="M14" t="str">
        <v>品类内容推广</v>
      </c>
      <c r="N14" t="str">
        <v>AD竞价内容创意</v>
      </c>
      <c r="O14" s="34" t="str">
        <v>营销费用</v>
      </c>
      <c r="P14" s="34" t="str">
        <v>内容制作费</v>
      </c>
      <c r="Q14" s="34" t="str">
        <v>视频制作费</v>
      </c>
    </row>
    <row r="15">
      <c r="A15" s="200" t="str">
        <v>AD竞价内容创意-动画制作</v>
      </c>
      <c r="B15" s="201">
        <f>VLOOKUP(A15,'营销计划（活动-更新）'!$B$2:$D$213,1,FALSE)</f>
      </c>
      <c r="C15" s="201" t="str">
        <v>YXHD14</v>
      </c>
      <c r="D15" s="61" t="str">
        <v>否</v>
      </c>
      <c r="I15" s="61" t="str">
        <v>否</v>
      </c>
      <c r="K15" s="61" t="str">
        <v>是</v>
      </c>
      <c r="L15">
        <f>K15</f>
      </c>
      <c r="M15" t="str">
        <v>品类内容推广</v>
      </c>
      <c r="N15" t="str">
        <v>AD竞价内容创意</v>
      </c>
      <c r="O15" s="34" t="str">
        <v>营销费用</v>
      </c>
      <c r="P15" s="34" t="str">
        <v>内容制作费</v>
      </c>
      <c r="Q15" s="34" t="str">
        <v>动画制作费</v>
      </c>
    </row>
    <row r="16">
      <c r="A16" s="200" t="str">
        <v>AD竞价内容创意-图文平面制作</v>
      </c>
      <c r="B16" s="201">
        <f>VLOOKUP(A16,'营销计划（活动-更新）'!$B$2:$D$213,1,FALSE)</f>
      </c>
      <c r="C16" s="201" t="str">
        <v>YXHD15</v>
      </c>
      <c r="D16" s="61" t="str">
        <v>否</v>
      </c>
      <c r="I16" s="61" t="str">
        <v>否</v>
      </c>
      <c r="K16" s="61" t="str">
        <v>是</v>
      </c>
      <c r="L16">
        <f>K16</f>
      </c>
      <c r="M16" t="str">
        <v>品类内容推广</v>
      </c>
      <c r="N16" t="str">
        <v>AD竞价内容创意</v>
      </c>
      <c r="O16" s="34" t="str">
        <v>营销费用</v>
      </c>
      <c r="P16" s="34" t="str">
        <v>内容制作费</v>
      </c>
      <c r="Q16" s="34" t="str">
        <v>图文平面制作费</v>
      </c>
    </row>
    <row r="17">
      <c r="A17" s="200" t="str">
        <v>AD竞价内容创意-建模服务</v>
      </c>
      <c r="B17" s="201">
        <f>VLOOKUP(A17,'营销计划（活动-更新）'!$B$2:$D$213,1,FALSE)</f>
      </c>
      <c r="C17" s="201" t="str">
        <v>YXHD16</v>
      </c>
      <c r="D17" s="61" t="str">
        <v>否</v>
      </c>
      <c r="I17" s="61" t="str">
        <v>否</v>
      </c>
      <c r="K17" s="61" t="str">
        <v>是</v>
      </c>
      <c r="L17">
        <f>K17</f>
      </c>
      <c r="M17" t="str">
        <v>品类内容推广</v>
      </c>
      <c r="N17" t="str">
        <v>AD竞价内容创意</v>
      </c>
      <c r="O17" s="34" t="str">
        <v>营销费用</v>
      </c>
      <c r="P17" s="34" t="str">
        <v>内容制作费</v>
      </c>
      <c r="Q17" s="34" t="str">
        <v>建模服务费</v>
      </c>
    </row>
    <row r="18">
      <c r="A18" s="200" t="str">
        <v>AD竞价内容创意-渲染服务</v>
      </c>
      <c r="B18" s="201">
        <f>VLOOKUP(A18,'营销计划（活动-更新）'!$B$2:$D$213,1,FALSE)</f>
      </c>
      <c r="C18" s="201" t="str">
        <v>YXHD17</v>
      </c>
      <c r="D18" s="61" t="str">
        <v>否</v>
      </c>
      <c r="I18" s="61" t="str">
        <v>否</v>
      </c>
      <c r="K18" s="61" t="str">
        <v>是</v>
      </c>
      <c r="L18">
        <f>K18</f>
      </c>
      <c r="M18" t="str">
        <v>品类内容推广</v>
      </c>
      <c r="N18" t="str">
        <v>AD竞价内容创意</v>
      </c>
      <c r="O18" s="34" t="str">
        <v>营销费用</v>
      </c>
      <c r="P18" s="34" t="str">
        <v>内容制作费</v>
      </c>
      <c r="Q18" s="34" t="str">
        <v>渲染服务费</v>
      </c>
    </row>
    <row r="19">
      <c r="A19" s="200" t="str">
        <v>AD竞价内容创意-模特服务</v>
      </c>
      <c r="B19" s="201">
        <f>VLOOKUP(A19,'营销计划（活动-更新）'!$B$2:$D$213,1,FALSE)</f>
      </c>
      <c r="C19" s="201" t="str">
        <v>YXHD18</v>
      </c>
      <c r="D19" s="61" t="str">
        <v>否</v>
      </c>
      <c r="I19" s="61" t="str">
        <v>否</v>
      </c>
      <c r="K19" s="61" t="str">
        <v>是</v>
      </c>
      <c r="L19">
        <f>K19</f>
      </c>
      <c r="M19" t="str">
        <v>品类内容推广</v>
      </c>
      <c r="N19" t="str">
        <v>AD竞价内容创意</v>
      </c>
      <c r="O19" s="34" t="str">
        <v>营销费用</v>
      </c>
      <c r="P19" s="34" t="str">
        <v>内容制作费</v>
      </c>
      <c r="Q19" s="34" t="str">
        <v>模特服务费</v>
      </c>
    </row>
    <row r="20">
      <c r="A20" s="200" t="str">
        <v>AD竞价内容创意-专业人物合作</v>
      </c>
      <c r="B20" s="201">
        <f>VLOOKUP(A20,'营销计划（活动-更新）'!$B$2:$D$213,1,FALSE)</f>
      </c>
      <c r="C20" s="201" t="str">
        <v>YXHD19</v>
      </c>
      <c r="D20" s="61" t="str">
        <v>否</v>
      </c>
      <c r="I20" s="61" t="str">
        <v>否</v>
      </c>
      <c r="K20" s="61" t="str">
        <v>是</v>
      </c>
      <c r="L20">
        <f>K20</f>
      </c>
      <c r="M20" t="str">
        <v>品类内容推广</v>
      </c>
      <c r="N20" t="str">
        <v>AD竞价内容创意</v>
      </c>
      <c r="O20" s="34" t="str">
        <v>营销费用</v>
      </c>
      <c r="P20" s="34" t="str">
        <v>内容制作费</v>
      </c>
      <c r="Q20" s="34" t="str">
        <v>专业人物合作费</v>
      </c>
    </row>
    <row r="21">
      <c r="A21" s="200" t="str">
        <v>AD竞价内容创意-服化道费</v>
      </c>
      <c r="B21" s="201">
        <f>VLOOKUP(A21,'营销计划（活动-更新）'!$B$2:$D$213,1,FALSE)</f>
      </c>
      <c r="C21" s="201" t="str">
        <v>YXHD20</v>
      </c>
      <c r="D21" s="61" t="str">
        <v>否</v>
      </c>
      <c r="I21" s="61" t="str">
        <v>否</v>
      </c>
      <c r="K21" s="61" t="str">
        <v>是</v>
      </c>
      <c r="L21">
        <f>K21</f>
      </c>
      <c r="M21" t="str">
        <v>品类内容推广</v>
      </c>
      <c r="N21" t="str">
        <v>AD竞价内容创意</v>
      </c>
      <c r="O21" s="34" t="str">
        <v>营销费用</v>
      </c>
      <c r="P21" s="34" t="str">
        <v>内容制作费</v>
      </c>
      <c r="Q21" s="34" t="str">
        <v>服化道费用</v>
      </c>
    </row>
    <row r="22">
      <c r="A22" s="200" t="str">
        <v>AD竞价内容创意-拍摄服务</v>
      </c>
      <c r="B22" s="201">
        <f>VLOOKUP(A22,'营销计划（活动-更新）'!$B$2:$D$213,1,FALSE)</f>
      </c>
      <c r="C22" s="201" t="str">
        <v>YXHD21</v>
      </c>
      <c r="D22" s="61" t="str">
        <v>否</v>
      </c>
      <c r="I22" s="61" t="str">
        <v>否</v>
      </c>
      <c r="K22" s="61" t="str">
        <v>是</v>
      </c>
      <c r="L22">
        <f>K22</f>
      </c>
      <c r="M22" t="str">
        <v>品类内容推广</v>
      </c>
      <c r="N22" t="str">
        <v>AD竞价内容创意</v>
      </c>
      <c r="O22" s="34" t="str">
        <v>营销费用</v>
      </c>
      <c r="P22" s="34" t="str">
        <v>内容制作费</v>
      </c>
      <c r="Q22" s="34" t="str">
        <v>拍摄服务费</v>
      </c>
    </row>
    <row r="23">
      <c r="A23" s="200" t="str">
        <v>AD竞价内容创意-拍摄物料</v>
      </c>
      <c r="B23" s="201">
        <f>VLOOKUP(A23,'营销计划（活动-更新）'!$B$2:$D$213,1,FALSE)</f>
      </c>
      <c r="C23" s="201" t="str">
        <v>YXHD22</v>
      </c>
      <c r="D23" s="61" t="str">
        <v>否</v>
      </c>
      <c r="I23" s="61" t="str">
        <v>否</v>
      </c>
      <c r="K23" s="61" t="str">
        <v>是</v>
      </c>
      <c r="L23">
        <f>K23</f>
      </c>
      <c r="M23" t="str">
        <v>品类内容推广</v>
      </c>
      <c r="N23" t="str">
        <v>AD竞价内容创意</v>
      </c>
      <c r="O23" s="34" t="str">
        <v>营销费用</v>
      </c>
      <c r="P23" s="34" t="str">
        <v>内容制作费</v>
      </c>
      <c r="Q23" s="34" t="str">
        <v>拍摄物料费</v>
      </c>
    </row>
    <row r="24">
      <c r="A24" s="200" t="str">
        <v>AD竞价内容创意-内容制作</v>
      </c>
      <c r="B24" s="201">
        <f>VLOOKUP(A24,'营销计划（活动-更新）'!$B$2:$D$213,1,FALSE)</f>
      </c>
      <c r="C24" s="201" t="str">
        <v>YXHD23</v>
      </c>
      <c r="D24" s="61" t="str">
        <v>否</v>
      </c>
      <c r="I24" s="61" t="str">
        <v>否</v>
      </c>
      <c r="K24" s="61" t="str">
        <v>是</v>
      </c>
      <c r="L24">
        <f>K24</f>
      </c>
      <c r="M24" t="str">
        <v>品类内容推广</v>
      </c>
      <c r="N24" t="str">
        <v>AD竞价内容创意</v>
      </c>
      <c r="O24" s="34" t="str">
        <v>营销费用</v>
      </c>
      <c r="P24" s="34" t="str">
        <v>内容制作费</v>
      </c>
      <c r="Q24" s="34" t="str">
        <v>内容制作费</v>
      </c>
    </row>
    <row r="25">
      <c r="A25" s="200" t="str">
        <v>DOU+</v>
      </c>
      <c r="B25" s="201">
        <f>VLOOKUP(A25,'营销计划（活动-更新）'!$B$2:$D$213,1,FALSE)</f>
      </c>
      <c r="C25" s="201" t="str">
        <v>YXHD24</v>
      </c>
      <c r="D25" s="61" t="str">
        <v>否</v>
      </c>
      <c r="I25" s="61" t="str">
        <v>否</v>
      </c>
      <c r="K25" s="61" t="str">
        <v>否</v>
      </c>
      <c r="L25">
        <f>K25</f>
      </c>
      <c r="M25" t="str">
        <v>品类内容推广</v>
      </c>
      <c r="N25" t="str">
        <v>内容加热</v>
      </c>
      <c r="O25" s="34" t="str">
        <v>营销费用</v>
      </c>
      <c r="P25" s="34" t="str">
        <v>达人推广费</v>
      </c>
      <c r="Q25" s="34" t="str">
        <v>内容推广费</v>
      </c>
    </row>
    <row r="26">
      <c r="A26" s="200" t="str">
        <v>快手作品推荐</v>
      </c>
      <c r="B26" s="201">
        <f>VLOOKUP(A26,'营销计划（活动-更新）'!$B$2:$D$213,1,FALSE)</f>
      </c>
      <c r="C26" s="201" t="str">
        <v>YXHD25</v>
      </c>
      <c r="D26" s="61" t="str">
        <v>是</v>
      </c>
      <c r="E26" s="34" t="str">
        <v>天猫花西子旗舰店</v>
      </c>
      <c r="I26" s="61" t="str">
        <v>否</v>
      </c>
      <c r="K26" s="61" t="str">
        <v>否</v>
      </c>
      <c r="L26">
        <f>K26</f>
      </c>
      <c r="M26" t="str">
        <v>品类内容推广</v>
      </c>
      <c r="N26" t="str">
        <v>内容加热</v>
      </c>
      <c r="O26" s="34" t="str">
        <v>营销费用</v>
      </c>
      <c r="P26" s="34" t="str">
        <v>达人推广费</v>
      </c>
      <c r="Q26" s="34" t="str">
        <v>内容推广费</v>
      </c>
    </row>
    <row r="27">
      <c r="A27" s="200" t="str">
        <v>内容热推</v>
      </c>
      <c r="B27" s="201">
        <f>VLOOKUP(A27,'营销计划（活动-更新）'!$B$2:$D$213,1,FALSE)</f>
      </c>
      <c r="C27" s="201" t="str">
        <v>YXHD26</v>
      </c>
      <c r="D27" s="61" t="str">
        <v>否</v>
      </c>
      <c r="I27" s="61" t="str">
        <v>否</v>
      </c>
      <c r="K27" s="61" t="str">
        <v>否</v>
      </c>
      <c r="L27">
        <f>K27</f>
      </c>
      <c r="M27" t="str">
        <v>品类内容推广</v>
      </c>
      <c r="N27" t="str">
        <v>内容加热</v>
      </c>
      <c r="O27" s="34" t="str">
        <v>营销费用</v>
      </c>
      <c r="P27" s="34" t="str">
        <v>达人推广费</v>
      </c>
      <c r="Q27" s="34" t="str">
        <v>内容推广费</v>
      </c>
    </row>
    <row r="28">
      <c r="A28" s="200" t="str">
        <v>内容服务</v>
      </c>
      <c r="B28" s="201">
        <f>VLOOKUP(A28,'营销计划（活动-更新）'!$B$2:$D$213,1,FALSE)</f>
      </c>
      <c r="C28" s="201" t="str">
        <v>YXHD27</v>
      </c>
      <c r="D28" s="61" t="str">
        <v>否</v>
      </c>
      <c r="I28" s="61" t="str">
        <v>否</v>
      </c>
      <c r="K28" s="61" t="str">
        <v>否</v>
      </c>
      <c r="L28">
        <f>K28</f>
      </c>
      <c r="M28" t="str">
        <v>品类内容推广</v>
      </c>
      <c r="N28" t="str">
        <v>内容加热</v>
      </c>
      <c r="O28" s="34" t="str">
        <v>营销费用</v>
      </c>
      <c r="P28" s="34" t="str">
        <v>达人推广费</v>
      </c>
      <c r="Q28" s="34" t="str">
        <v>内容推广费</v>
      </c>
    </row>
    <row r="29">
      <c r="A29" s="200" t="str">
        <v>星聚力</v>
      </c>
      <c r="B29" s="201">
        <f>VLOOKUP(A29,'营销计划（活动-更新）'!$B$2:$D$213,1,FALSE)</f>
      </c>
      <c r="C29" s="201" t="str">
        <v>YXHD28</v>
      </c>
      <c r="D29" s="61" t="str">
        <v>否</v>
      </c>
      <c r="I29" s="61" t="str">
        <v>否</v>
      </c>
      <c r="K29" s="61" t="str">
        <v>否</v>
      </c>
      <c r="L29">
        <f>K29</f>
      </c>
      <c r="M29" t="str">
        <v>品类内容推广</v>
      </c>
      <c r="N29" t="str">
        <v>内容加热</v>
      </c>
      <c r="O29" s="34" t="str">
        <v>营销费用</v>
      </c>
      <c r="P29" s="34" t="str">
        <v>达人推广费</v>
      </c>
      <c r="Q29" s="34" t="str">
        <v>内容推广费</v>
      </c>
    </row>
    <row r="30">
      <c r="A30" s="200" t="str">
        <v>小红书加热</v>
      </c>
      <c r="B30" s="201">
        <f>VLOOKUP(A30,'营销计划（活动-更新）'!$B$2:$D$213,1,FALSE)</f>
      </c>
      <c r="C30" s="201" t="str">
        <v>YXHD29</v>
      </c>
      <c r="D30" s="61" t="str">
        <v>否</v>
      </c>
      <c r="I30" s="61" t="str">
        <v>否</v>
      </c>
      <c r="K30" s="61" t="str">
        <v>否</v>
      </c>
      <c r="L30">
        <f>K30</f>
      </c>
      <c r="M30" t="str">
        <v>品类内容推广</v>
      </c>
      <c r="N30" t="str">
        <v>其他新媒体加热</v>
      </c>
      <c r="O30" s="34" t="str">
        <v>营销费用</v>
      </c>
      <c r="P30" s="34" t="str">
        <v>达人推广费</v>
      </c>
      <c r="Q30" s="34" t="str">
        <v>内容推广费</v>
      </c>
    </row>
    <row r="31">
      <c r="A31" s="200" t="str">
        <v>B站起飞加热</v>
      </c>
      <c r="B31" s="201">
        <f>VLOOKUP(A31,'营销计划（活动-更新）'!$B$2:$D$213,1,FALSE)</f>
      </c>
      <c r="C31" s="201" t="str">
        <v>YXHD30</v>
      </c>
      <c r="D31" s="61" t="str">
        <v>否</v>
      </c>
      <c r="I31" s="61" t="str">
        <v>否</v>
      </c>
      <c r="K31" s="61" t="str">
        <v>否</v>
      </c>
      <c r="L31">
        <f>K31</f>
      </c>
      <c r="M31" t="str">
        <v>品类内容推广</v>
      </c>
      <c r="N31" t="str">
        <v>其他新媒体加热</v>
      </c>
      <c r="O31" s="34" t="str">
        <v>营销费用</v>
      </c>
      <c r="P31" s="34" t="str">
        <v>达人推广费</v>
      </c>
      <c r="Q31" s="34" t="str">
        <v>内容推广费</v>
      </c>
    </row>
    <row r="32">
      <c r="A32" s="200" t="str">
        <v>微博粉条</v>
      </c>
      <c r="B32" s="201">
        <f>VLOOKUP(A32,'营销计划（活动-更新）'!$B$2:$D$213,1,FALSE)</f>
      </c>
      <c r="C32" s="201" t="str">
        <v>YXHD31</v>
      </c>
      <c r="D32" s="61" t="str">
        <v>否</v>
      </c>
      <c r="I32" s="61" t="str">
        <v>否</v>
      </c>
      <c r="K32" s="61" t="str">
        <v>否</v>
      </c>
      <c r="L32">
        <f>K32</f>
      </c>
      <c r="M32" t="str">
        <v>品类内容推广</v>
      </c>
      <c r="N32" t="str">
        <v>其他新媒体加热</v>
      </c>
      <c r="O32" s="34" t="str">
        <v>营销费用</v>
      </c>
      <c r="P32" s="34" t="str">
        <v>达人推广费</v>
      </c>
      <c r="Q32" s="34" t="str">
        <v>内容推广费</v>
      </c>
    </row>
    <row r="33">
      <c r="A33" s="200" t="str">
        <v>粉丝通</v>
      </c>
      <c r="B33" s="201">
        <f>VLOOKUP(A33,'营销计划（活动-更新）'!$B$2:$D$213,1,FALSE)</f>
      </c>
      <c r="C33" s="201" t="str">
        <v>YXHD32</v>
      </c>
      <c r="D33" s="61" t="str">
        <v>否</v>
      </c>
      <c r="I33" s="61" t="str">
        <v>否</v>
      </c>
      <c r="K33" s="61" t="str">
        <v>否</v>
      </c>
      <c r="L33">
        <f>K33</f>
      </c>
      <c r="M33" t="str">
        <v>品类内容推广</v>
      </c>
      <c r="N33" t="str">
        <v>其他新媒体加热</v>
      </c>
      <c r="O33" s="34" t="str">
        <v>营销费用</v>
      </c>
      <c r="P33" s="34" t="str">
        <v>达人推广费</v>
      </c>
      <c r="Q33" s="34" t="str">
        <v>内容推广费</v>
      </c>
    </row>
    <row r="34">
      <c r="A34" s="200" t="str">
        <v>微博搜索</v>
      </c>
      <c r="B34" s="201">
        <f>VLOOKUP(A34,'营销计划（活动-更新）'!$B$2:$D$213,1,FALSE)</f>
      </c>
      <c r="C34" s="201" t="str">
        <v>YXHD33</v>
      </c>
      <c r="D34" s="61" t="str">
        <v>否</v>
      </c>
      <c r="I34" s="61" t="str">
        <v>否</v>
      </c>
      <c r="K34" s="61" t="str">
        <v>否</v>
      </c>
      <c r="L34">
        <f>K34</f>
      </c>
      <c r="M34" t="str">
        <v>品类内容推广</v>
      </c>
      <c r="N34" t="str">
        <v>其他新媒体加热</v>
      </c>
      <c r="O34" s="34" t="str">
        <v>营销费用</v>
      </c>
      <c r="P34" s="34" t="str">
        <v>达人推广费</v>
      </c>
      <c r="Q34" s="34" t="str">
        <v>内容推广费</v>
      </c>
    </row>
    <row r="35">
      <c r="A35" s="200" t="str">
        <v>天猫-直通车</v>
      </c>
      <c r="B35" s="201">
        <f>VLOOKUP(A35,'营销计划（活动-更新）'!$B$2:$D$213,1,FALSE)</f>
      </c>
      <c r="C35" s="201" t="str">
        <v>YXHD34</v>
      </c>
      <c r="D35" s="61" t="str">
        <v>是</v>
      </c>
      <c r="E35" s="34" t="str">
        <v>天猫花西子旗舰店</v>
      </c>
      <c r="F35" s="61" t="str">
        <v>天猫渠道</v>
      </c>
      <c r="G35" s="61" t="str">
        <v>天猫货架</v>
      </c>
      <c r="I35" s="61" t="str">
        <v>是</v>
      </c>
      <c r="J35" s="61" t="str">
        <v>是</v>
      </c>
      <c r="K35" s="61" t="str">
        <v>否</v>
      </c>
      <c r="L35">
        <f>K35</f>
      </c>
      <c r="M35" t="str">
        <v>平台电商推广</v>
      </c>
      <c r="N35" t="str">
        <v>淘内-推广</v>
      </c>
      <c r="O35" s="34" t="str">
        <v>营销费用</v>
      </c>
      <c r="P35" s="34" t="str">
        <v>渠道推广费</v>
      </c>
      <c r="Q35" s="34" t="str">
        <v>站内推广费</v>
      </c>
    </row>
    <row r="36">
      <c r="A36" s="200" t="str">
        <v>天猫-引力魔方</v>
      </c>
      <c r="B36" s="201">
        <f>VLOOKUP(A36,'营销计划（活动-更新）'!$B$2:$D$213,1,FALSE)</f>
      </c>
      <c r="C36" s="201" t="str">
        <v>YXHD35</v>
      </c>
      <c r="D36" s="61" t="str">
        <v>是</v>
      </c>
      <c r="E36" s="34" t="str">
        <v>天猫花西子旗舰店</v>
      </c>
      <c r="F36" s="61" t="str">
        <v>天猫渠道</v>
      </c>
      <c r="G36" s="61" t="str">
        <v>天猫货架</v>
      </c>
      <c r="I36" s="61" t="str">
        <v>是</v>
      </c>
      <c r="J36" s="61" t="str">
        <v>是</v>
      </c>
      <c r="K36" s="61" t="str">
        <v>否</v>
      </c>
      <c r="L36">
        <f>K36</f>
      </c>
      <c r="M36" t="str">
        <v>平台电商推广</v>
      </c>
      <c r="N36" t="str">
        <v>淘内-推广</v>
      </c>
      <c r="O36" s="34" t="str">
        <v>营销费用</v>
      </c>
      <c r="P36" s="34" t="str">
        <v>渠道推广费</v>
      </c>
      <c r="Q36" s="34" t="str">
        <v>站内推广费</v>
      </c>
    </row>
    <row r="37">
      <c r="A37" s="200" t="s">
        <v>1</v>
      </c>
      <c r="B37" s="201">
        <f>VLOOKUP(A37,'营销计划（活动-更新）'!$B$2:$D$213,1,FALSE)</f>
      </c>
      <c r="C37" s="201" t="str">
        <v>YXHD36</v>
      </c>
      <c r="D37" s="61" t="str">
        <v>是</v>
      </c>
      <c r="E37" s="34" t="str">
        <v>天猫花西子旗舰店</v>
      </c>
      <c r="F37" s="61" t="str">
        <v>天猫渠道</v>
      </c>
      <c r="G37" s="61" t="str">
        <v>天猫货架</v>
      </c>
      <c r="I37" s="61" t="str">
        <v>否</v>
      </c>
      <c r="J37" s="61" t="str">
        <v>否</v>
      </c>
      <c r="K37" s="61" t="str">
        <v>否</v>
      </c>
      <c r="L37">
        <f>K37</f>
      </c>
      <c r="M37" t="str">
        <v>平台电商推广</v>
      </c>
      <c r="N37" t="str">
        <v>淘内-推广</v>
      </c>
      <c r="O37" s="34" t="str">
        <v>营销费用</v>
      </c>
      <c r="P37" s="34" t="str">
        <v>渠道推广费</v>
      </c>
      <c r="Q37" s="34" t="str">
        <v>站内推广费</v>
      </c>
    </row>
    <row r="38">
      <c r="A38" s="200" t="str">
        <v>天猫-明星店铺</v>
      </c>
      <c r="B38" s="201">
        <f>VLOOKUP(A38,'营销计划（活动-更新）'!$B$2:$D$213,1,FALSE)</f>
      </c>
      <c r="C38" s="201" t="str">
        <v>YXHD37</v>
      </c>
      <c r="D38" s="61" t="str">
        <v>是</v>
      </c>
      <c r="E38" s="34" t="str">
        <v>天猫花西子旗舰店</v>
      </c>
      <c r="F38" s="61" t="str">
        <v>天猫渠道</v>
      </c>
      <c r="G38" s="61" t="str">
        <v>天猫货架</v>
      </c>
      <c r="I38" s="61" t="str">
        <v>否</v>
      </c>
      <c r="J38" s="61" t="str">
        <v>否</v>
      </c>
      <c r="K38" s="61" t="str">
        <v>否</v>
      </c>
      <c r="L38">
        <f>K38</f>
      </c>
      <c r="M38" t="str">
        <v>平台电商推广</v>
      </c>
      <c r="N38" t="str">
        <v>淘内-推广</v>
      </c>
      <c r="O38" s="34" t="str">
        <v>营销费用</v>
      </c>
      <c r="P38" s="34" t="str">
        <v>渠道推广费</v>
      </c>
      <c r="Q38" s="34" t="str">
        <v>站内推广费</v>
      </c>
    </row>
    <row r="39">
      <c r="A39" s="200" t="str">
        <v>天猫-互动城</v>
      </c>
      <c r="B39" s="201">
        <f>VLOOKUP(A39,'营销计划（活动-更新）'!$B$2:$D$213,1,FALSE)</f>
      </c>
      <c r="C39" s="201" t="str">
        <v>YXHD38</v>
      </c>
      <c r="D39" s="61" t="str">
        <v>是</v>
      </c>
      <c r="E39" s="34" t="str">
        <v>天猫花西子旗舰店</v>
      </c>
      <c r="F39" s="61" t="str">
        <v>天猫渠道</v>
      </c>
      <c r="G39" s="61" t="str">
        <v>天猫货架</v>
      </c>
      <c r="I39" s="61" t="str">
        <v>否</v>
      </c>
      <c r="J39" s="61" t="str">
        <v>否</v>
      </c>
      <c r="K39" s="61" t="str">
        <v>否</v>
      </c>
      <c r="L39">
        <f>K39</f>
      </c>
      <c r="M39" t="str">
        <v>平台电商推广</v>
      </c>
      <c r="N39" t="str">
        <v>淘内-推广</v>
      </c>
      <c r="O39" s="34" t="str">
        <v>营销费用</v>
      </c>
      <c r="P39" s="34" t="str">
        <v>渠道推广费</v>
      </c>
      <c r="Q39" s="34" t="str">
        <v>站内推广费</v>
      </c>
    </row>
    <row r="40">
      <c r="A40" s="200" t="s">
        <v>2</v>
      </c>
      <c r="B40" s="201">
        <f>VLOOKUP(A40,'营销计划（活动-更新）'!$B$2:$D$213,1,FALSE)</f>
      </c>
      <c r="C40" s="201" t="str">
        <v>YXHD39</v>
      </c>
      <c r="D40" s="61" t="str">
        <v>是</v>
      </c>
      <c r="E40" s="34" t="str">
        <v>天猫花西子旗舰店</v>
      </c>
      <c r="F40" s="61" t="str">
        <v>天猫渠道</v>
      </c>
      <c r="G40" s="61" t="str">
        <v>天猫自播</v>
      </c>
      <c r="I40" s="61" t="str">
        <v>否</v>
      </c>
      <c r="J40" s="61" t="str">
        <v>否</v>
      </c>
      <c r="K40" s="61" t="str">
        <v>否</v>
      </c>
      <c r="L40">
        <f>K40</f>
      </c>
      <c r="M40" t="str">
        <v>平台电商推广</v>
      </c>
      <c r="N40" t="str">
        <v>淘内-推广</v>
      </c>
      <c r="O40" s="34" t="str">
        <v>营销费用</v>
      </c>
      <c r="P40" s="34" t="str">
        <v>渠道推广费</v>
      </c>
      <c r="Q40" s="34" t="str">
        <v>站内推广费</v>
      </c>
    </row>
    <row r="41">
      <c r="A41" s="200" t="str">
        <v>天猫-超级互动城</v>
      </c>
      <c r="B41" s="201">
        <f>VLOOKUP(A41,'营销计划（活动-更新）'!$B$2:$D$213,1,FALSE)</f>
      </c>
      <c r="C41" s="201" t="str">
        <v>YXHD40</v>
      </c>
      <c r="D41" s="61" t="str">
        <v>是</v>
      </c>
      <c r="E41" s="34" t="str">
        <v>天猫花西子旗舰店</v>
      </c>
      <c r="F41" s="61" t="str">
        <v>天猫渠道</v>
      </c>
      <c r="G41" s="61" t="str">
        <v>天猫货架</v>
      </c>
      <c r="I41" s="61" t="str">
        <v>否</v>
      </c>
      <c r="J41" s="61" t="str">
        <v>否</v>
      </c>
      <c r="K41" s="61" t="str">
        <v>否</v>
      </c>
      <c r="L41">
        <f>K41</f>
      </c>
      <c r="M41" t="str">
        <v>平台电商推广</v>
      </c>
      <c r="N41" t="str">
        <v>淘内-推广</v>
      </c>
      <c r="O41" s="34" t="str">
        <v>营销费用</v>
      </c>
      <c r="P41" s="34" t="str">
        <v>渠道推广费</v>
      </c>
      <c r="Q41" s="34" t="str">
        <v>站内推广费</v>
      </c>
    </row>
    <row r="42">
      <c r="A42" s="200" t="str">
        <v>天猫-极速推</v>
      </c>
      <c r="B42" s="201">
        <f>VLOOKUP(A42,'营销计划（活动-更新）'!$B$2:$D$213,1,FALSE)</f>
      </c>
      <c r="C42" s="201" t="str">
        <v>YXHD41</v>
      </c>
      <c r="D42" s="61" t="str">
        <v>是</v>
      </c>
      <c r="E42" s="34" t="str">
        <v>天猫花西子旗舰店</v>
      </c>
      <c r="F42" s="61" t="str">
        <v>天猫渠道</v>
      </c>
      <c r="G42" s="61" t="str">
        <v>天猫货架</v>
      </c>
      <c r="I42" s="61" t="str">
        <v>否</v>
      </c>
      <c r="J42" s="61" t="str">
        <v>否</v>
      </c>
      <c r="K42" s="61" t="str">
        <v>否</v>
      </c>
      <c r="L42">
        <f>K42</f>
      </c>
      <c r="M42" t="str">
        <v>平台电商推广</v>
      </c>
      <c r="N42" t="str">
        <v>淘内-推广</v>
      </c>
      <c r="O42" s="34" t="str">
        <v>营销费用</v>
      </c>
      <c r="P42" s="34" t="str">
        <v>渠道推广费</v>
      </c>
      <c r="Q42" s="34" t="str">
        <v>站内推广费</v>
      </c>
    </row>
    <row r="43">
      <c r="A43" s="200" t="str">
        <v>天猫-妈妈Club</v>
      </c>
      <c r="B43" s="201">
        <f>VLOOKUP(A43,'营销计划（活动-更新）'!$B$2:$D$213,1,FALSE)</f>
      </c>
      <c r="C43" s="201" t="str">
        <v>YXHD42</v>
      </c>
      <c r="D43" s="61" t="str">
        <v>是</v>
      </c>
      <c r="E43" s="34" t="str">
        <v>天猫花西子旗舰店</v>
      </c>
      <c r="F43" s="61" t="str">
        <v>天猫渠道</v>
      </c>
      <c r="G43" s="61" t="str">
        <v>天猫货架</v>
      </c>
      <c r="I43" s="61" t="str">
        <v>否</v>
      </c>
      <c r="J43" s="61" t="str">
        <v>否</v>
      </c>
      <c r="K43" s="61" t="str">
        <v>否</v>
      </c>
      <c r="L43">
        <f>K43</f>
      </c>
      <c r="M43" t="str">
        <v>平台电商推广</v>
      </c>
      <c r="N43" t="str">
        <v>淘内-推广</v>
      </c>
      <c r="O43" s="34" t="str">
        <v>营销费用</v>
      </c>
      <c r="P43" s="34" t="str">
        <v>渠道推广费</v>
      </c>
      <c r="Q43" s="34" t="str">
        <v>站内推广费</v>
      </c>
    </row>
    <row r="44">
      <c r="A44" s="200" t="str">
        <v>天猫-品牌专区</v>
      </c>
      <c r="B44" s="201">
        <f>VLOOKUP(A44,'营销计划（活动-更新）'!$B$2:$D$213,1,FALSE)</f>
      </c>
      <c r="C44" s="201" t="str">
        <v>YXHD43</v>
      </c>
      <c r="D44" s="61" t="str">
        <v>是</v>
      </c>
      <c r="E44" s="34" t="str">
        <v>天猫花西子旗舰店</v>
      </c>
      <c r="F44" s="61" t="str">
        <v>天猫渠道</v>
      </c>
      <c r="G44" s="61" t="str">
        <v>天猫货架</v>
      </c>
      <c r="I44" s="61" t="str">
        <v>否</v>
      </c>
      <c r="J44" s="61" t="str">
        <v>否</v>
      </c>
      <c r="K44" s="61" t="str">
        <v>否</v>
      </c>
      <c r="L44">
        <f>K44</f>
      </c>
      <c r="M44" t="str">
        <v>平台电商推广</v>
      </c>
      <c r="N44" t="str">
        <v>淘内-品专</v>
      </c>
      <c r="O44" s="34" t="str">
        <v>营销费用</v>
      </c>
      <c r="P44" s="34" t="str">
        <v>渠道推广费</v>
      </c>
      <c r="Q44" s="34" t="str">
        <v>站内推广费</v>
      </c>
    </row>
    <row r="45">
      <c r="A45" s="200" t="str">
        <v>淘宝客</v>
      </c>
      <c r="B45" s="201">
        <f>VLOOKUP(A45,'营销计划（活动-更新）'!$B$2:$D$213,1,FALSE)</f>
      </c>
      <c r="C45" s="201" t="str">
        <v>YXHD44</v>
      </c>
      <c r="D45" s="61" t="str">
        <v>是</v>
      </c>
      <c r="E45" s="34" t="str">
        <v>天猫花西子旗舰店</v>
      </c>
      <c r="F45" s="61" t="str">
        <v>天猫渠道</v>
      </c>
      <c r="G45" s="61" t="str">
        <v>天猫货架</v>
      </c>
      <c r="I45" s="61" t="str">
        <v>是</v>
      </c>
      <c r="J45" s="61" t="str">
        <v>是</v>
      </c>
      <c r="K45" s="61" t="str">
        <v>否</v>
      </c>
      <c r="L45">
        <f>K45</f>
      </c>
      <c r="M45" t="str">
        <v>平台电商推广</v>
      </c>
      <c r="N45" t="str">
        <v>淘内-淘宝客</v>
      </c>
      <c r="O45" s="34" t="str">
        <v>营销费用</v>
      </c>
      <c r="P45" s="34" t="str">
        <v>渠道推广费</v>
      </c>
      <c r="Q45" s="34" t="str">
        <v>站内推广费</v>
      </c>
    </row>
    <row r="46">
      <c r="A46" s="200" t="str">
        <v>京东自营-京准通常规投放</v>
      </c>
      <c r="B46" s="201">
        <f>VLOOKUP(A46,'营销计划（活动-更新）'!$B$2:$D$213,1,FALSE)</f>
      </c>
      <c r="C46" s="201" t="str">
        <v>YXHD45</v>
      </c>
      <c r="D46" s="61" t="str">
        <v>是</v>
      </c>
      <c r="E46" s="61" t="str">
        <v>花西子京东自营旗舰店</v>
      </c>
      <c r="F46" s="61" t="str">
        <v>京东渠道</v>
      </c>
      <c r="G46" s="61" t="str">
        <v>自营货架</v>
      </c>
      <c r="I46" s="61" t="str">
        <v>是</v>
      </c>
      <c r="J46" s="61" t="str">
        <v>是</v>
      </c>
      <c r="K46" s="61" t="str">
        <v>否</v>
      </c>
      <c r="L46">
        <f>K46</f>
      </c>
      <c r="M46" t="str">
        <v>平台电商推广</v>
      </c>
      <c r="N46" t="str">
        <v>京东渠道推广（自营）</v>
      </c>
      <c r="O46" s="34" t="str">
        <v>营销费用</v>
      </c>
      <c r="P46" s="34" t="str">
        <v>渠道推广费</v>
      </c>
      <c r="Q46" s="34" t="str">
        <v>站内推广费</v>
      </c>
    </row>
    <row r="47">
      <c r="A47" s="200" t="str">
        <v>京东自营-京挑客</v>
      </c>
      <c r="B47" s="201">
        <f>VLOOKUP(A47,'营销计划（活动-更新）'!$B$2:$D$213,1,FALSE)</f>
      </c>
      <c r="C47" s="201" t="str">
        <v>YXHD46</v>
      </c>
      <c r="D47" s="61" t="str">
        <v>是</v>
      </c>
      <c r="E47" s="61" t="str">
        <v>花西子京东自营旗舰店</v>
      </c>
      <c r="F47" s="61" t="str">
        <v>京东渠道</v>
      </c>
      <c r="G47" s="61" t="str">
        <v>自营货架</v>
      </c>
      <c r="I47" s="61" t="str">
        <v>是</v>
      </c>
      <c r="J47" s="61" t="str">
        <v>是</v>
      </c>
      <c r="K47" s="61" t="str">
        <v>否</v>
      </c>
      <c r="L47">
        <f>K47</f>
      </c>
      <c r="M47" t="str">
        <v>平台电商推广</v>
      </c>
      <c r="N47" t="str">
        <v>京东渠道推广（自营）</v>
      </c>
      <c r="O47" s="34" t="str">
        <v>营销费用</v>
      </c>
      <c r="P47" s="34" t="str">
        <v>渠道推广费</v>
      </c>
      <c r="Q47" s="34" t="str">
        <v>站内推广费</v>
      </c>
    </row>
    <row r="48">
      <c r="A48" s="200" t="str">
        <v>京东自营-京任务</v>
      </c>
      <c r="B48" s="201">
        <f>VLOOKUP(A48,'营销计划（活动-更新）'!$B$2:$D$213,1,FALSE)</f>
      </c>
      <c r="C48" s="201" t="str">
        <v>YXHD47</v>
      </c>
      <c r="D48" s="61" t="str">
        <v>是</v>
      </c>
      <c r="E48" s="61" t="str">
        <v>花西子京东自营旗舰店</v>
      </c>
      <c r="F48" s="61" t="str">
        <v>京东渠道</v>
      </c>
      <c r="G48" s="61" t="str">
        <v>自营货架</v>
      </c>
      <c r="I48" s="61" t="str">
        <v>否</v>
      </c>
      <c r="J48" s="61" t="str">
        <v>否</v>
      </c>
      <c r="K48" s="61" t="str">
        <v>否</v>
      </c>
      <c r="L48">
        <f>K48</f>
      </c>
      <c r="M48" t="str">
        <v>平台电商推广</v>
      </c>
      <c r="N48" t="str">
        <v>京东渠道推广（自营）</v>
      </c>
      <c r="O48" s="34" t="str">
        <v>营销费用</v>
      </c>
      <c r="P48" s="34" t="str">
        <v>渠道推广费</v>
      </c>
      <c r="Q48" s="34" t="str">
        <v>站内推广费</v>
      </c>
    </row>
    <row r="49">
      <c r="A49" s="200" t="str">
        <v>京东自营-京桥</v>
      </c>
      <c r="B49" s="201">
        <f>VLOOKUP(A49,'营销计划（活动-更新）'!$B$2:$D$213,1,FALSE)</f>
      </c>
      <c r="C49" s="201" t="str">
        <v>YXHD48</v>
      </c>
      <c r="D49" s="61" t="str">
        <v>是</v>
      </c>
      <c r="E49" s="61" t="str">
        <v>花西子京东自营旗舰店</v>
      </c>
      <c r="F49" s="61" t="str">
        <v>京东渠道</v>
      </c>
      <c r="G49" s="61" t="str">
        <v>自营货架</v>
      </c>
      <c r="I49" s="61" t="str">
        <v>否</v>
      </c>
      <c r="J49" s="61" t="str">
        <v>否</v>
      </c>
      <c r="K49" s="61" t="str">
        <v>否</v>
      </c>
      <c r="L49">
        <f>K49</f>
      </c>
      <c r="M49" t="str">
        <v>平台电商推广</v>
      </c>
      <c r="N49" t="str">
        <v>京东渠道推广（自营）</v>
      </c>
      <c r="O49" s="34" t="str">
        <v>营销费用</v>
      </c>
      <c r="P49" s="34" t="str">
        <v>渠道推广费</v>
      </c>
      <c r="Q49" s="34" t="str">
        <v>站内推广费</v>
      </c>
    </row>
    <row r="50">
      <c r="A50" s="200" t="str">
        <v>京东自营-合约展位</v>
      </c>
      <c r="B50" s="201">
        <f>VLOOKUP(A50,'营销计划（活动-更新）'!$B$2:$D$213,1,FALSE)</f>
      </c>
      <c r="C50" s="201" t="str">
        <v>YXHD49</v>
      </c>
      <c r="D50" s="61" t="str">
        <v>是</v>
      </c>
      <c r="E50" s="61" t="str">
        <v>花西子京东自营旗舰店</v>
      </c>
      <c r="F50" s="61" t="str">
        <v>京东渠道</v>
      </c>
      <c r="G50" s="61" t="str">
        <v>自营货架</v>
      </c>
      <c r="I50" s="61" t="str">
        <v>否</v>
      </c>
      <c r="J50" s="61" t="str">
        <v>否</v>
      </c>
      <c r="K50" s="61" t="str">
        <v>否</v>
      </c>
      <c r="L50">
        <f>K50</f>
      </c>
      <c r="M50" t="str">
        <v>平台电商推广</v>
      </c>
      <c r="N50" t="str">
        <v>京东渠道推广（自营）</v>
      </c>
      <c r="O50" s="34" t="str">
        <v>营销费用</v>
      </c>
      <c r="P50" s="34" t="str">
        <v>渠道推广费</v>
      </c>
      <c r="Q50" s="34" t="str">
        <v>站内推广费</v>
      </c>
    </row>
    <row r="51">
      <c r="A51" s="200" t="str">
        <v>京东自营-联合活动</v>
      </c>
      <c r="B51" s="201">
        <f>VLOOKUP(A51,'营销计划（活动-更新）'!$B$2:$D$213,1,FALSE)</f>
      </c>
      <c r="C51" s="201" t="str">
        <v>YXHD50</v>
      </c>
      <c r="D51" s="61" t="str">
        <v>是</v>
      </c>
      <c r="E51" s="61" t="str">
        <v>花西子京东自营旗舰店</v>
      </c>
      <c r="F51" s="61" t="str">
        <v>京东渠道</v>
      </c>
      <c r="G51" s="61" t="str">
        <v>自营货架</v>
      </c>
      <c r="I51" s="61" t="str">
        <v>否</v>
      </c>
      <c r="J51" s="61" t="str">
        <v>否</v>
      </c>
      <c r="K51" s="61" t="str">
        <v>否</v>
      </c>
      <c r="L51">
        <f>K51</f>
      </c>
      <c r="M51" t="str">
        <v>平台电商推广</v>
      </c>
      <c r="N51" t="str">
        <v>京东渠道推广（自营）</v>
      </c>
      <c r="O51" s="34" t="str">
        <v>营销费用</v>
      </c>
      <c r="P51" s="34" t="str">
        <v>渠道推广费</v>
      </c>
      <c r="Q51" s="34" t="str">
        <v>站内推广费</v>
      </c>
    </row>
    <row r="52">
      <c r="A52" s="200" t="str">
        <v>京东POP-京准通常规投放</v>
      </c>
      <c r="B52" s="201">
        <f>VLOOKUP(A52,'营销计划（活动-更新）'!$B$2:$D$213,1,FALSE)</f>
      </c>
      <c r="C52" s="201" t="str">
        <v>YXHD51</v>
      </c>
      <c r="D52" s="61" t="str">
        <v>是</v>
      </c>
      <c r="E52" s="61" t="str">
        <v>京东花西子旗舰店</v>
      </c>
      <c r="F52" s="61" t="str">
        <v>京东渠道</v>
      </c>
      <c r="G52" s="61" t="str">
        <v>POP货架</v>
      </c>
      <c r="I52" s="61" t="str">
        <v>是</v>
      </c>
      <c r="J52" s="61" t="str">
        <v>是</v>
      </c>
      <c r="K52" s="61" t="str">
        <v>否</v>
      </c>
      <c r="L52">
        <f>K52</f>
      </c>
      <c r="M52" t="str">
        <v>平台电商推广</v>
      </c>
      <c r="N52" t="str">
        <v>京东渠道推广（POP）</v>
      </c>
      <c r="O52" s="34" t="str">
        <v>营销费用</v>
      </c>
      <c r="P52" s="34" t="str">
        <v>渠道推广费</v>
      </c>
      <c r="Q52" s="34" t="str">
        <v>站内推广费</v>
      </c>
    </row>
    <row r="53">
      <c r="A53" s="200" t="str">
        <v>京东POP-京挑客</v>
      </c>
      <c r="B53" s="201">
        <f>VLOOKUP(A53,'营销计划（活动-更新）'!$B$2:$D$213,1,FALSE)</f>
      </c>
      <c r="C53" s="201" t="str">
        <v>YXHD52</v>
      </c>
      <c r="D53" s="61" t="str">
        <v>是</v>
      </c>
      <c r="E53" s="61" t="str">
        <v>京东花西子旗舰店</v>
      </c>
      <c r="F53" s="61" t="str">
        <v>京东渠道</v>
      </c>
      <c r="G53" s="61" t="str">
        <v>POP货架</v>
      </c>
      <c r="I53" s="61" t="str">
        <v>是</v>
      </c>
      <c r="J53" s="61" t="str">
        <v>是</v>
      </c>
      <c r="K53" s="61" t="str">
        <v>否</v>
      </c>
      <c r="L53">
        <f>K53</f>
      </c>
      <c r="M53" t="str">
        <v>平台电商推广</v>
      </c>
      <c r="N53" t="str">
        <v>京东渠道推广（POP）</v>
      </c>
      <c r="O53" s="34" t="str">
        <v>营销费用</v>
      </c>
      <c r="P53" s="34" t="str">
        <v>渠道推广费</v>
      </c>
      <c r="Q53" s="34" t="str">
        <v>站内推广费</v>
      </c>
    </row>
    <row r="54">
      <c r="A54" s="200" t="str">
        <v>京东POP-京任务</v>
      </c>
      <c r="B54" s="201">
        <f>VLOOKUP(A54,'营销计划（活动-更新）'!$B$2:$D$213,1,FALSE)</f>
      </c>
      <c r="C54" s="201" t="str">
        <v>YXHD53</v>
      </c>
      <c r="D54" s="61" t="str">
        <v>是</v>
      </c>
      <c r="E54" s="61" t="str">
        <v>京东花西子旗舰店</v>
      </c>
      <c r="F54" s="61" t="str">
        <v>京东渠道</v>
      </c>
      <c r="G54" s="61" t="str">
        <v>POP货架</v>
      </c>
      <c r="I54" s="61" t="str">
        <v>否</v>
      </c>
      <c r="J54" s="61" t="str">
        <v>否</v>
      </c>
      <c r="K54" s="61" t="str">
        <v>否</v>
      </c>
      <c r="L54">
        <f>K54</f>
      </c>
      <c r="M54" t="str">
        <v>平台电商推广</v>
      </c>
      <c r="N54" t="str">
        <v>京东渠道推广（POP）</v>
      </c>
      <c r="O54" s="34" t="str">
        <v>营销费用</v>
      </c>
      <c r="P54" s="34" t="str">
        <v>渠道推广费</v>
      </c>
      <c r="Q54" s="34" t="str">
        <v>站内推广费</v>
      </c>
    </row>
    <row r="55">
      <c r="A55" s="200" t="str">
        <v>京东POP-京桥</v>
      </c>
      <c r="B55" s="201">
        <f>VLOOKUP(A55,'营销计划（活动-更新）'!$B$2:$D$213,1,FALSE)</f>
      </c>
      <c r="C55" s="201" t="str">
        <v>YXHD54</v>
      </c>
      <c r="D55" s="61" t="str">
        <v>是</v>
      </c>
      <c r="E55" s="61" t="str">
        <v>京东花西子旗舰店</v>
      </c>
      <c r="F55" s="61" t="str">
        <v>京东渠道</v>
      </c>
      <c r="G55" s="61" t="str">
        <v>POP货架</v>
      </c>
      <c r="I55" s="61" t="str">
        <v>否</v>
      </c>
      <c r="J55" s="61" t="str">
        <v>否</v>
      </c>
      <c r="K55" s="61" t="str">
        <v>否</v>
      </c>
      <c r="L55">
        <f>K55</f>
      </c>
      <c r="M55" t="str">
        <v>平台电商推广</v>
      </c>
      <c r="N55" t="str">
        <v>京东渠道推广（POP）</v>
      </c>
      <c r="O55" s="34" t="str">
        <v>营销费用</v>
      </c>
      <c r="P55" s="34" t="str">
        <v>渠道推广费</v>
      </c>
      <c r="Q55" s="34" t="str">
        <v>站内推广费</v>
      </c>
    </row>
    <row r="56">
      <c r="A56" s="200" t="str">
        <v>京东POP-合约展位</v>
      </c>
      <c r="B56" s="201">
        <f>VLOOKUP(A56,'营销计划（活动-更新）'!$B$2:$D$213,1,FALSE)</f>
      </c>
      <c r="C56" s="201" t="str">
        <v>YXHD55</v>
      </c>
      <c r="D56" s="61" t="str">
        <v>是</v>
      </c>
      <c r="E56" s="61" t="str">
        <v>京东花西子旗舰店</v>
      </c>
      <c r="F56" s="61" t="str">
        <v>京东渠道</v>
      </c>
      <c r="G56" s="61" t="str">
        <v>POP货架</v>
      </c>
      <c r="I56" s="61" t="str">
        <v>否</v>
      </c>
      <c r="J56" s="61" t="str">
        <v>否</v>
      </c>
      <c r="K56" s="61" t="str">
        <v>否</v>
      </c>
      <c r="L56">
        <f>K56</f>
      </c>
      <c r="M56" t="str">
        <v>平台电商推广</v>
      </c>
      <c r="N56" t="str">
        <v>京东渠道推广（POP）</v>
      </c>
      <c r="O56" s="34" t="str">
        <v>营销费用</v>
      </c>
      <c r="P56" s="34" t="str">
        <v>渠道推广费</v>
      </c>
      <c r="Q56" s="34" t="str">
        <v>站内推广费</v>
      </c>
    </row>
    <row r="57">
      <c r="A57" s="200" t="str">
        <v>京东POP-联合活动</v>
      </c>
      <c r="B57" s="201">
        <f>VLOOKUP(A57,'营销计划（活动-更新）'!$B$2:$D$213,1,FALSE)</f>
      </c>
      <c r="C57" s="201" t="str">
        <v>YXHD56</v>
      </c>
      <c r="D57" s="61" t="str">
        <v>是</v>
      </c>
      <c r="E57" s="61" t="str">
        <v>京东花西子旗舰店</v>
      </c>
      <c r="F57" s="61" t="str">
        <v>京东渠道</v>
      </c>
      <c r="G57" s="61" t="str">
        <v>POP货架</v>
      </c>
      <c r="I57" s="61" t="str">
        <v>否</v>
      </c>
      <c r="J57" s="61" t="str">
        <v>否</v>
      </c>
      <c r="K57" s="61" t="str">
        <v>否</v>
      </c>
      <c r="L57">
        <f>K57</f>
      </c>
      <c r="M57" t="str">
        <v>平台电商推广</v>
      </c>
      <c r="N57" t="str">
        <v>京东渠道推广（POP）</v>
      </c>
      <c r="O57" s="34" t="str">
        <v>营销费用</v>
      </c>
      <c r="P57" s="34" t="str">
        <v>渠道推广费</v>
      </c>
      <c r="Q57" s="34" t="str">
        <v>站内推广费</v>
      </c>
    </row>
    <row r="58">
      <c r="A58" s="200" t="str">
        <v>日常-创意与物料</v>
      </c>
      <c r="B58" s="201">
        <f>VLOOKUP(A58,'营销计划（活动-更新）'!$B$2:$D$213,1,FALSE)</f>
      </c>
      <c r="C58" s="201" t="str">
        <v>YXHD57</v>
      </c>
      <c r="D58" s="61" t="str">
        <v>否</v>
      </c>
      <c r="I58" s="61" t="str">
        <v>否</v>
      </c>
      <c r="J58" s="61" t="str">
        <v>否</v>
      </c>
      <c r="K58" s="61" t="str">
        <v>否</v>
      </c>
      <c r="L58">
        <f>K58</f>
      </c>
      <c r="M58" t="str">
        <v>品牌项目</v>
      </c>
      <c r="N58" t="str">
        <v>日常-创意与物料</v>
      </c>
      <c r="O58" s="34" t="str">
        <v>营销费用</v>
      </c>
      <c r="P58" s="34" t="str">
        <v>品牌宣传费</v>
      </c>
      <c r="Q58" s="34" t="str">
        <v>明星合作费</v>
      </c>
    </row>
    <row r="59">
      <c r="A59" s="200" t="str">
        <v>唯品会-唯品常规投放</v>
      </c>
      <c r="B59" s="201">
        <f>VLOOKUP(A59,'营销计划（活动-更新）'!$B$2:$D$213,1,FALSE)</f>
      </c>
      <c r="C59" s="201" t="str">
        <v>YXHD58</v>
      </c>
      <c r="D59" s="61" t="str">
        <v>是</v>
      </c>
      <c r="E59" s="61" t="str">
        <v>唯品会自营花西子旗舰店</v>
      </c>
      <c r="F59" s="61" t="str">
        <v>唯品会</v>
      </c>
      <c r="G59" s="61" t="str">
        <v>唯品货架</v>
      </c>
      <c r="I59" s="61" t="str">
        <v>是</v>
      </c>
      <c r="J59" s="61" t="str">
        <v>否</v>
      </c>
      <c r="K59" s="61" t="str">
        <v>否</v>
      </c>
      <c r="L59">
        <f>K59</f>
      </c>
      <c r="M59" t="str">
        <v>平台电商推广</v>
      </c>
      <c r="N59" t="str">
        <v>唯品渠道推广</v>
      </c>
      <c r="O59" s="34" t="str">
        <v>营销费用</v>
      </c>
      <c r="P59" s="34" t="str">
        <v>渠道推广费</v>
      </c>
      <c r="Q59" s="34" t="str">
        <v>站内推广费</v>
      </c>
    </row>
    <row r="60">
      <c r="A60" s="200" t="str">
        <v>唯品会-达人卖货</v>
      </c>
      <c r="B60" s="201">
        <f>VLOOKUP(A60,'营销计划（活动-更新）'!$B$2:$D$213,1,FALSE)</f>
      </c>
      <c r="C60" s="201" t="str">
        <v>YXHD59</v>
      </c>
      <c r="D60" s="61" t="str">
        <v>是</v>
      </c>
      <c r="E60" s="61" t="str">
        <v>唯品会自营花西子旗舰店</v>
      </c>
      <c r="F60" s="61" t="str">
        <v>唯品会</v>
      </c>
      <c r="G60" s="61" t="str">
        <v>唯品货架</v>
      </c>
      <c r="I60" s="61" t="str">
        <v>是</v>
      </c>
      <c r="J60" s="61" t="str">
        <v>是</v>
      </c>
      <c r="K60" s="61" t="str">
        <v>否</v>
      </c>
      <c r="L60">
        <f>K60</f>
      </c>
      <c r="M60" t="str">
        <v>平台电商推广</v>
      </c>
      <c r="N60" t="str">
        <v>唯品渠道推广</v>
      </c>
      <c r="O60" s="34" t="str">
        <v>营销费用</v>
      </c>
      <c r="P60" s="34" t="str">
        <v>渠道推广费</v>
      </c>
      <c r="Q60" s="34" t="str">
        <v>站内推广费</v>
      </c>
    </row>
    <row r="61">
      <c r="A61" s="212" t="str">
        <v>自营其他</v>
      </c>
      <c r="B61" s="201">
        <f>VLOOKUP(A61,'营销计划（活动-更新）'!$B$2:$D$213,1,FALSE)</f>
      </c>
      <c r="C61" s="215" t="str">
        <v>YXHD60</v>
      </c>
      <c r="D61" s="150" t="str">
        <v>是</v>
      </c>
      <c r="E61" s="150"/>
      <c r="F61" s="150"/>
      <c r="G61" s="150"/>
      <c r="H61" s="150"/>
      <c r="I61" s="150"/>
      <c r="J61" s="150"/>
      <c r="K61" s="150" t="str">
        <v>否</v>
      </c>
      <c r="L61" s="150">
        <f>K61</f>
      </c>
      <c r="M61" s="150" t="str">
        <v>平台电商推广</v>
      </c>
      <c r="N61" s="150" t="str">
        <v>自营其他渠道推广</v>
      </c>
      <c r="O61" s="78" t="str">
        <v>营销费用</v>
      </c>
      <c r="P61" s="78" t="str">
        <v>渠道推广费</v>
      </c>
      <c r="Q61" s="78" t="str">
        <v>站内推广费</v>
      </c>
      <c r="R61" s="150"/>
      <c r="S61" s="150"/>
      <c r="T61" s="150"/>
      <c r="U61" s="150"/>
      <c r="V61" s="150"/>
      <c r="W61" s="150"/>
      <c r="X61" s="150"/>
      <c r="Y61" s="150"/>
      <c r="Z61" s="150"/>
    </row>
    <row r="62">
      <c r="A62" s="221" t="str">
        <v>拼多多</v>
      </c>
      <c r="B62" s="201">
        <f>VLOOKUP(A62,'营销计划（活动-更新）'!$B$2:$D$213,1,FALSE)</f>
      </c>
      <c r="C62" s="222" t="str">
        <v>YXHD61</v>
      </c>
      <c r="D62" s="219" t="str">
        <v>是</v>
      </c>
      <c r="E62" s="219"/>
      <c r="F62" s="219"/>
      <c r="G62" s="219"/>
      <c r="H62" s="219"/>
      <c r="I62" s="219"/>
      <c r="J62" s="219"/>
      <c r="K62" s="219" t="str">
        <v>否</v>
      </c>
      <c r="L62" s="219">
        <f>K62</f>
      </c>
      <c r="M62" s="219" t="str">
        <v>平台电商推广</v>
      </c>
      <c r="N62" s="219" t="str">
        <v>拼多多渠道推广</v>
      </c>
      <c r="O62" s="220" t="str">
        <v>营销费用</v>
      </c>
      <c r="P62" s="220" t="str">
        <v>渠道推广费</v>
      </c>
      <c r="Q62" s="220" t="str">
        <v>站内推广费</v>
      </c>
      <c r="R62" s="219"/>
      <c r="S62" s="219"/>
      <c r="T62" s="219"/>
      <c r="U62" s="219"/>
      <c r="V62" s="219"/>
      <c r="W62" s="219"/>
      <c r="X62" s="219"/>
      <c r="Y62" s="219"/>
      <c r="Z62" s="219"/>
    </row>
    <row r="63">
      <c r="A63" s="200" t="str">
        <v>AD信息流</v>
      </c>
      <c r="B63" s="201">
        <f>VLOOKUP(A63,'营销计划（活动-更新）'!$B$2:$D$213,1,FALSE)</f>
      </c>
      <c r="C63" s="201" t="str">
        <v>YXHD62</v>
      </c>
      <c r="D63" s="61" t="str">
        <v>是</v>
      </c>
      <c r="E63" s="34" t="str">
        <v>天猫花西子旗舰店</v>
      </c>
      <c r="F63" s="61" t="str">
        <v>天猫渠道</v>
      </c>
      <c r="G63" s="61" t="str">
        <v>天猫货架</v>
      </c>
      <c r="I63" s="61" t="str">
        <v>是</v>
      </c>
      <c r="J63" s="61" t="str">
        <v>否</v>
      </c>
      <c r="K63" s="61" t="str">
        <v>否</v>
      </c>
      <c r="L63">
        <f>K63</f>
      </c>
      <c r="M63" t="str">
        <v>平台电商推广</v>
      </c>
      <c r="N63" t="str">
        <v>竞价信息流-天猫</v>
      </c>
      <c r="O63" s="34" t="str">
        <v>营销费用</v>
      </c>
      <c r="P63" s="34" t="str">
        <v>渠道推广费</v>
      </c>
      <c r="Q63" s="34" t="str">
        <v>站外推广费</v>
      </c>
    </row>
    <row r="64">
      <c r="A64" s="200" t="str">
        <v>UD信息流</v>
      </c>
      <c r="B64" s="201">
        <f>VLOOKUP(A64,'营销计划（活动-更新）'!$B$2:$D$213,1,FALSE)</f>
      </c>
      <c r="C64" s="201" t="str">
        <v>YXHD63</v>
      </c>
      <c r="D64" s="61" t="str">
        <v>是</v>
      </c>
      <c r="E64" s="34" t="str">
        <v>天猫花西子旗舰店</v>
      </c>
      <c r="F64" s="61" t="str">
        <v>天猫渠道</v>
      </c>
      <c r="G64" s="61" t="str">
        <v>天猫货架</v>
      </c>
      <c r="I64" s="61" t="str">
        <v>是</v>
      </c>
      <c r="J64" s="61" t="str">
        <v>否</v>
      </c>
      <c r="K64" s="61" t="str">
        <v>否</v>
      </c>
      <c r="L64">
        <f>K64</f>
      </c>
      <c r="M64" t="str">
        <v>平台电商推广</v>
      </c>
      <c r="N64" t="str">
        <v>竞价信息流-天猫</v>
      </c>
      <c r="O64" s="34" t="str">
        <v>营销费用</v>
      </c>
      <c r="P64" s="34" t="str">
        <v>渠道推广费</v>
      </c>
      <c r="Q64" s="34" t="str">
        <v>站外推广费</v>
      </c>
    </row>
    <row r="65">
      <c r="A65" s="200" t="str">
        <v>磁力引擎</v>
      </c>
      <c r="B65" s="201">
        <f>VLOOKUP(A65,'营销计划（活动-更新）'!$B$2:$D$213,1,FALSE)</f>
      </c>
      <c r="C65" s="201" t="str">
        <v>YXHD64</v>
      </c>
      <c r="D65" s="61" t="str">
        <v>是</v>
      </c>
      <c r="E65" s="34" t="str">
        <v>天猫花西子旗舰店</v>
      </c>
      <c r="F65" s="61" t="str">
        <v>天猫渠道</v>
      </c>
      <c r="G65" s="61" t="str">
        <v>天猫货架</v>
      </c>
      <c r="I65" s="61" t="str">
        <v>是</v>
      </c>
      <c r="J65" s="61" t="str">
        <v>否</v>
      </c>
      <c r="K65" s="61" t="str">
        <v>否</v>
      </c>
      <c r="L65">
        <f>K65</f>
      </c>
      <c r="M65" t="str">
        <v>平台电商推广</v>
      </c>
      <c r="N65" t="str">
        <v>竞价信息流-天猫</v>
      </c>
      <c r="O65" s="34" t="str">
        <v>营销费用</v>
      </c>
      <c r="P65" s="34" t="str">
        <v>渠道推广费</v>
      </c>
      <c r="Q65" s="34" t="str">
        <v>站外推广费</v>
      </c>
    </row>
    <row r="66">
      <c r="A66" s="200" t="str">
        <v>磁力金牛</v>
      </c>
      <c r="B66" s="201">
        <f>VLOOKUP(A66,'营销计划（活动-更新）'!$B$2:$D$213,1,FALSE)</f>
      </c>
      <c r="C66" s="201" t="str">
        <v>YXHD65</v>
      </c>
      <c r="D66" s="61" t="str">
        <v>是</v>
      </c>
      <c r="E66" t="str">
        <v>快手花西子旗舰店</v>
      </c>
      <c r="F66" s="61" t="str">
        <v>快手渠道</v>
      </c>
      <c r="G66" s="128" t="str">
        <v>快手自播</v>
      </c>
      <c r="I66" s="61" t="str">
        <v>是</v>
      </c>
      <c r="J66" s="61" t="str">
        <v>否</v>
      </c>
      <c r="K66" s="61" t="str">
        <v>否</v>
      </c>
      <c r="L66">
        <f>K66</f>
      </c>
      <c r="M66" t="str">
        <v>直播电商推广</v>
      </c>
      <c r="N66" t="str">
        <v>快手电商渠道推广</v>
      </c>
      <c r="O66" s="34" t="str">
        <v>营销费用</v>
      </c>
      <c r="P66" s="34" t="str">
        <v>渠道推广费</v>
      </c>
      <c r="Q66" s="34" t="str">
        <v>站内推广费</v>
      </c>
    </row>
    <row r="67">
      <c r="A67" s="200" t="str">
        <v>百度SEO竞价广告</v>
      </c>
      <c r="B67" s="201">
        <f>VLOOKUP(A67,'营销计划（活动-更新）'!$B$2:$D$213,1,FALSE)</f>
      </c>
      <c r="C67" s="201" t="str">
        <v>YXHD66</v>
      </c>
      <c r="D67" s="61" t="str">
        <v>是</v>
      </c>
      <c r="E67" s="34" t="str">
        <v>天猫花西子旗舰店</v>
      </c>
      <c r="F67" s="61" t="str">
        <v>天猫渠道</v>
      </c>
      <c r="G67" s="61" t="str">
        <v>天猫货架</v>
      </c>
      <c r="I67" s="61" t="str">
        <v>否</v>
      </c>
      <c r="J67" s="61" t="str">
        <v>否</v>
      </c>
      <c r="K67" s="61" t="str">
        <v>否</v>
      </c>
      <c r="L67">
        <f>K67</f>
      </c>
      <c r="M67" t="str">
        <v>平台电商推广</v>
      </c>
      <c r="N67" t="str">
        <v>竞价信息流-天猫</v>
      </c>
      <c r="O67" s="34" t="str">
        <v>营销费用</v>
      </c>
      <c r="P67" s="34" t="str">
        <v>渠道推广费</v>
      </c>
      <c r="Q67" s="34" t="str">
        <v>站外推广费</v>
      </c>
    </row>
    <row r="68">
      <c r="A68" s="200" t="str">
        <v>百度SEO搜索广告</v>
      </c>
      <c r="B68" s="201">
        <f>VLOOKUP(A68,'营销计划（活动-更新）'!$B$2:$D$213,1,FALSE)</f>
      </c>
      <c r="C68" s="201" t="str">
        <v>YXHD67</v>
      </c>
      <c r="D68" s="61" t="str">
        <v>是</v>
      </c>
      <c r="E68" s="34" t="str">
        <v>天猫花西子旗舰店</v>
      </c>
      <c r="F68" s="61" t="str">
        <v>天猫渠道</v>
      </c>
      <c r="G68" s="61" t="str">
        <v>天猫货架</v>
      </c>
      <c r="I68" s="61" t="str">
        <v>否</v>
      </c>
      <c r="J68" s="61" t="str">
        <v>否</v>
      </c>
      <c r="K68" s="61" t="str">
        <v>否</v>
      </c>
      <c r="L68">
        <f>K68</f>
      </c>
      <c r="M68" t="str">
        <v>平台电商推广</v>
      </c>
      <c r="N68" t="str">
        <v>竞价信息流-天猫</v>
      </c>
      <c r="O68" s="34" t="str">
        <v>营销费用</v>
      </c>
      <c r="P68" s="34" t="str">
        <v>渠道推广费</v>
      </c>
      <c r="Q68" s="34" t="str">
        <v>站外推广费</v>
      </c>
    </row>
    <row r="69">
      <c r="A69" s="34" t="str">
        <v>微信-店铺</v>
      </c>
      <c r="B69" s="201">
        <f>VLOOKUP(A69,'营销计划（活动-更新）'!$B$2:$D$213,1,FALSE)</f>
      </c>
      <c r="C69" s="201" t="str">
        <v>YXHD68</v>
      </c>
      <c r="D69" s="61" t="str">
        <v>是</v>
      </c>
      <c r="E69" s="2" t="str">
        <v>有赞花西子有赞旗舰店</v>
      </c>
      <c r="F69" s="202" t="str">
        <v>综合渠道</v>
      </c>
      <c r="G69" s="202" t="str">
        <v>有赞货架</v>
      </c>
      <c r="I69" s="150"/>
      <c r="J69" s="150"/>
      <c r="K69" s="61" t="str">
        <v>否</v>
      </c>
      <c r="L69">
        <f>K69</f>
      </c>
      <c r="M69" t="str">
        <v>社交电商推广</v>
      </c>
      <c r="N69" t="str">
        <v>微信-店铺</v>
      </c>
      <c r="O69" s="34" t="str">
        <v>营销费用</v>
      </c>
      <c r="P69" s="34" t="str">
        <v>渠道推广费</v>
      </c>
      <c r="Q69" s="34" t="str">
        <v>站内推广费</v>
      </c>
    </row>
    <row r="70">
      <c r="A70" s="200" t="str">
        <v>AD竞价内容创意-场地租赁</v>
      </c>
      <c r="B70" s="201">
        <f>VLOOKUP(A70,'营销计划（活动-更新）'!$B$2:$D$213,1,FALSE)</f>
      </c>
      <c r="C70" s="201" t="str">
        <v>YXHD69</v>
      </c>
      <c r="D70" s="61" t="str">
        <v>否</v>
      </c>
      <c r="I70" s="61" t="str">
        <v>否</v>
      </c>
      <c r="J70" s="61" t="str">
        <v>否</v>
      </c>
      <c r="K70" s="61" t="str">
        <v>是</v>
      </c>
      <c r="L70">
        <f>K70</f>
      </c>
      <c r="M70" t="str">
        <v>品类内容推广</v>
      </c>
      <c r="N70" t="str">
        <v>AD竞价内容创意</v>
      </c>
      <c r="O70" s="34" t="str">
        <v>营销费用</v>
      </c>
      <c r="P70" s="34" t="str">
        <v>其他费用</v>
      </c>
      <c r="Q70" s="34" t="str">
        <v>场地租赁费</v>
      </c>
    </row>
    <row r="71">
      <c r="A71" s="200" t="str">
        <v>AD竞价内容创意-舞台场地</v>
      </c>
      <c r="B71" s="201">
        <f>VLOOKUP(A71,'营销计划（活动-更新）'!$B$2:$D$213,1,FALSE)</f>
      </c>
      <c r="C71" s="201" t="str">
        <v>YXHD70</v>
      </c>
      <c r="D71" s="61" t="str">
        <v>否</v>
      </c>
      <c r="I71" s="61" t="str">
        <v>否</v>
      </c>
      <c r="J71" s="61" t="str">
        <v>否</v>
      </c>
      <c r="K71" s="61" t="str">
        <v>是</v>
      </c>
      <c r="L71">
        <f>K71</f>
      </c>
      <c r="M71" t="str">
        <v>品类内容推广</v>
      </c>
      <c r="N71" t="str">
        <v>AD竞价内容创意</v>
      </c>
      <c r="O71" s="34" t="str">
        <v>营销费用</v>
      </c>
      <c r="P71" s="34" t="str">
        <v>其他费用</v>
      </c>
      <c r="Q71" s="34" t="str">
        <v>舞台场地搭建费</v>
      </c>
    </row>
    <row r="72">
      <c r="A72" s="200" t="str">
        <v>AD竞价内容创意-设备租赁</v>
      </c>
      <c r="B72" s="201">
        <f>VLOOKUP(A72,'营销计划（活动-更新）'!$B$2:$D$213,1,FALSE)</f>
      </c>
      <c r="C72" s="201" t="str">
        <v>YXHD71</v>
      </c>
      <c r="D72" s="61" t="str">
        <v>否</v>
      </c>
      <c r="I72" s="61" t="str">
        <v>否</v>
      </c>
      <c r="J72" s="61" t="str">
        <v>否</v>
      </c>
      <c r="K72" s="61" t="str">
        <v>是</v>
      </c>
      <c r="L72">
        <f>K72</f>
      </c>
      <c r="M72" t="str">
        <v>品类内容推广</v>
      </c>
      <c r="N72" t="str">
        <v>AD竞价内容创意</v>
      </c>
      <c r="O72" s="34" t="str">
        <v>营销费用</v>
      </c>
      <c r="P72" s="34" t="str">
        <v>其他费用</v>
      </c>
      <c r="Q72" s="34" t="str">
        <v>设备租赁费</v>
      </c>
    </row>
    <row r="73">
      <c r="A73" s="200" t="str">
        <v>IMC花养</v>
      </c>
      <c r="B73" s="201">
        <f>VLOOKUP(A73,'营销计划（活动-更新）'!$B$2:$D$213,1,FALSE)</f>
      </c>
      <c r="C73" s="201" t="str">
        <v>YXHD72</v>
      </c>
      <c r="D73" s="61" t="str">
        <v>否</v>
      </c>
      <c r="I73" s="61" t="str">
        <v>否</v>
      </c>
      <c r="J73" s="61" t="str">
        <v>否</v>
      </c>
      <c r="K73" s="61" t="str">
        <v>是</v>
      </c>
      <c r="L73">
        <f>K73</f>
      </c>
      <c r="M73" t="str">
        <v>品牌项目</v>
      </c>
      <c r="N73" t="str">
        <v>IMC花养</v>
      </c>
      <c r="O73" s="34" t="str">
        <v>营销费用</v>
      </c>
      <c r="P73" s="34" t="str">
        <v>内容制作费</v>
      </c>
      <c r="Q73" s="34" t="str">
        <v>视频制作费</v>
      </c>
    </row>
    <row r="74">
      <c r="A74" s="200" t="str">
        <v>IMC国妆</v>
      </c>
      <c r="B74" s="201">
        <f>VLOOKUP(A74,'营销计划（活动-更新）'!$B$2:$D$213,1,FALSE)</f>
      </c>
      <c r="C74" s="201" t="str">
        <v>YXHD73</v>
      </c>
      <c r="D74" s="61" t="str">
        <v>否</v>
      </c>
      <c r="I74" s="61" t="str">
        <v>否</v>
      </c>
      <c r="J74" s="61" t="str">
        <v>否</v>
      </c>
      <c r="K74" s="61" t="str">
        <v>是</v>
      </c>
      <c r="L74">
        <f>K74</f>
      </c>
      <c r="M74" t="str">
        <v>品牌项目</v>
      </c>
      <c r="N74" t="str">
        <v>IMC国妆</v>
      </c>
      <c r="O74" s="34" t="str">
        <v>营销费用</v>
      </c>
      <c r="P74" s="34" t="str">
        <v>内容制作费</v>
      </c>
      <c r="Q74" s="34" t="str">
        <v>视频制作费</v>
      </c>
    </row>
    <row r="75">
      <c r="A75" s="200" t="str">
        <v>IMC文化</v>
      </c>
      <c r="B75" s="201">
        <f>VLOOKUP(A75,'营销计划（活动-更新）'!$B$2:$D$213,1,FALSE)</f>
      </c>
      <c r="C75" s="201" t="str">
        <v>YXHD74</v>
      </c>
      <c r="D75" s="61" t="str">
        <v>否</v>
      </c>
      <c r="I75" s="61" t="str">
        <v>否</v>
      </c>
      <c r="J75" s="61" t="str">
        <v>否</v>
      </c>
      <c r="K75" s="61" t="str">
        <v>是</v>
      </c>
      <c r="L75">
        <f>K75</f>
      </c>
      <c r="M75" t="str">
        <v>品牌项目</v>
      </c>
      <c r="N75" t="str">
        <v>IMC文化</v>
      </c>
      <c r="O75" s="34" t="str">
        <v>营销费用</v>
      </c>
      <c r="P75" s="34" t="str">
        <v>内容制作费</v>
      </c>
      <c r="Q75" s="34" t="str">
        <v>视频制作费</v>
      </c>
    </row>
    <row r="76">
      <c r="A76" s="200" t="str">
        <v>数据采买和调研费</v>
      </c>
      <c r="B76" s="201">
        <f>VLOOKUP(A76,'营销计划（活动-更新）'!$B$2:$D$213,1,FALSE)</f>
      </c>
      <c r="C76" s="201" t="str">
        <v>YXHD75</v>
      </c>
      <c r="D76" s="61" t="str">
        <v>否</v>
      </c>
      <c r="I76" s="61" t="str">
        <v>否</v>
      </c>
      <c r="J76" s="61" t="str">
        <v>否</v>
      </c>
      <c r="K76" s="61" t="str">
        <v>否</v>
      </c>
      <c r="L76">
        <f>K76</f>
      </c>
      <c r="M76" t="str">
        <v>品牌项目</v>
      </c>
      <c r="N76" t="str">
        <v>日常-测试</v>
      </c>
      <c r="O76" s="34" t="str">
        <v>营销费用</v>
      </c>
      <c r="P76" s="34" t="str">
        <v>品牌宣传费</v>
      </c>
      <c r="Q76" s="34" t="str">
        <v>市场调研费</v>
      </c>
    </row>
    <row r="77">
      <c r="A77" s="200" t="str">
        <v>私域图文制作费</v>
      </c>
      <c r="B77" s="201">
        <f>VLOOKUP(A77,'营销计划（活动-更新）'!$B$2:$D$213,1,FALSE)</f>
      </c>
      <c r="C77" s="201" t="str">
        <v>YXHD76</v>
      </c>
      <c r="D77" s="61" t="str">
        <v>否</v>
      </c>
      <c r="I77" s="61" t="str">
        <v>否</v>
      </c>
      <c r="J77" s="61" t="str">
        <v>否</v>
      </c>
      <c r="K77" s="61" t="str">
        <v>否</v>
      </c>
      <c r="L77">
        <f>K77</f>
      </c>
      <c r="M77" t="str">
        <v>品牌项目</v>
      </c>
      <c r="N77" t="str">
        <v>日常-私域</v>
      </c>
      <c r="O77" s="34" t="str">
        <v>营销费用</v>
      </c>
      <c r="P77" s="34" t="str">
        <v>内容制作费</v>
      </c>
      <c r="Q77" s="34" t="str">
        <v>图文平面制作费</v>
      </c>
    </row>
    <row r="78">
      <c r="A78" s="200" t="str">
        <v>私域视频制作</v>
      </c>
      <c r="B78" s="201">
        <f>VLOOKUP(A78,'营销计划（活动-更新）'!$B$2:$D$213,1,FALSE)</f>
      </c>
      <c r="C78" s="201" t="str">
        <v>YXHD77</v>
      </c>
      <c r="D78" s="61" t="str">
        <v>否</v>
      </c>
      <c r="I78" s="61" t="str">
        <v>否</v>
      </c>
      <c r="J78" s="61" t="str">
        <v>否</v>
      </c>
      <c r="K78" s="61" t="str">
        <v>否</v>
      </c>
      <c r="L78">
        <f>K78</f>
      </c>
      <c r="M78" t="str">
        <v>品牌项目</v>
      </c>
      <c r="N78" t="str">
        <v>日常-私域</v>
      </c>
      <c r="O78" s="34" t="str">
        <v>营销费用</v>
      </c>
      <c r="P78" s="34" t="str">
        <v>内容制作费</v>
      </c>
      <c r="Q78" s="34" t="str">
        <v>视频制作费</v>
      </c>
    </row>
    <row r="79">
      <c r="A79" s="200" t="str">
        <v>私域代运营费用</v>
      </c>
      <c r="B79" s="201">
        <f>VLOOKUP(A79,'营销计划（活动-更新）'!$B$2:$D$213,1,FALSE)</f>
      </c>
      <c r="C79" s="201" t="str">
        <v>YXHD78</v>
      </c>
      <c r="D79" s="61" t="str">
        <v>否</v>
      </c>
      <c r="I79" s="61" t="str">
        <v>否</v>
      </c>
      <c r="J79" s="61" t="str">
        <v>否</v>
      </c>
      <c r="K79" s="61" t="str">
        <v>否</v>
      </c>
      <c r="L79">
        <f>K79</f>
      </c>
      <c r="M79" t="str">
        <v>品牌项目</v>
      </c>
      <c r="N79" t="str">
        <v>日常-私域</v>
      </c>
      <c r="O79" s="34" t="str">
        <v>营销费用</v>
      </c>
      <c r="P79" s="34" t="str">
        <v>渠道推广费</v>
      </c>
      <c r="Q79" s="34" t="str">
        <v>代运营服务费</v>
      </c>
    </row>
    <row r="80">
      <c r="A80" s="200" t="str">
        <v>私域账号运营费</v>
      </c>
      <c r="B80" s="201">
        <f>VLOOKUP(A80,'营销计划（活动-更新）'!$B$2:$D$213,1,FALSE)</f>
      </c>
      <c r="C80" s="201" t="str">
        <v>YXHD79</v>
      </c>
      <c r="D80" s="61" t="str">
        <v>否</v>
      </c>
      <c r="I80" s="61" t="str">
        <v>否</v>
      </c>
      <c r="J80" s="61" t="str">
        <v>否</v>
      </c>
      <c r="K80" s="61" t="str">
        <v>否</v>
      </c>
      <c r="L80">
        <f>K80</f>
      </c>
      <c r="M80" t="str">
        <v>品牌项目</v>
      </c>
      <c r="N80" t="str">
        <v>日常-私域</v>
      </c>
      <c r="O80" s="34" t="str">
        <v>营销费用</v>
      </c>
      <c r="P80" s="34" t="str">
        <v>其他费用</v>
      </c>
      <c r="Q80" s="34" t="str">
        <v>日常营运费用</v>
      </c>
    </row>
    <row r="81">
      <c r="A81" s="204" t="str">
        <v>京东2B企业购</v>
      </c>
      <c r="B81" s="201">
        <f>VLOOKUP(A81,'营销计划（活动-更新）'!$B$2:$D$213,1,FALSE)</f>
      </c>
      <c r="C81" s="207" t="str">
        <v>YXHD80</v>
      </c>
      <c r="D81" s="195" t="str">
        <v>是</v>
      </c>
      <c r="E81" s="206" t="str">
        <v>花西子京东自营旗舰店</v>
      </c>
      <c r="F81" s="206" t="str">
        <v>京东渠道</v>
      </c>
      <c r="G81" s="205" t="str">
        <v>自营货架</v>
      </c>
      <c r="H81" s="195"/>
      <c r="I81" s="195"/>
      <c r="J81" s="195"/>
      <c r="K81" s="195" t="str">
        <v>否</v>
      </c>
      <c r="L81" s="195">
        <f>K81</f>
      </c>
      <c r="M81" s="195" t="str">
        <v>平台电商推广</v>
      </c>
      <c r="N81" s="195" t="str">
        <v>京东2B企业购</v>
      </c>
      <c r="O81" s="203" t="str">
        <v>营销费用</v>
      </c>
      <c r="P81" s="203" t="str">
        <v>渠道推广费</v>
      </c>
      <c r="Q81" s="203" t="str">
        <v>站内推广费</v>
      </c>
      <c r="R81" s="195"/>
      <c r="S81" s="195"/>
      <c r="T81" s="195"/>
      <c r="U81" s="195"/>
      <c r="V81" s="195"/>
      <c r="W81" s="195"/>
      <c r="X81" s="195"/>
      <c r="Y81" s="195"/>
      <c r="Z81" s="195"/>
    </row>
    <row r="82">
      <c r="A82" s="204" t="str">
        <v>京东达播佣金</v>
      </c>
      <c r="B82" s="201">
        <f>VLOOKUP(A82,'营销计划（活动-更新）'!$B$2:$D$213,1,FALSE)</f>
      </c>
      <c r="C82" s="207" t="str">
        <v>YXHD81</v>
      </c>
      <c r="D82" s="195" t="str">
        <v>是</v>
      </c>
      <c r="E82" s="206" t="str">
        <v>花西子京东自营旗舰店</v>
      </c>
      <c r="F82" s="206" t="str">
        <v>京东渠道</v>
      </c>
      <c r="G82" s="205" t="str">
        <v>京东达播</v>
      </c>
      <c r="H82" s="195"/>
      <c r="I82" s="195"/>
      <c r="J82" s="195"/>
      <c r="K82" s="195" t="str">
        <v>否</v>
      </c>
      <c r="L82" s="195">
        <f>K82</f>
      </c>
      <c r="M82" s="195" t="str">
        <v>平台电商推广</v>
      </c>
      <c r="N82" s="195" t="str">
        <v>达播-京东</v>
      </c>
      <c r="O82" s="203" t="str">
        <v>营销费用</v>
      </c>
      <c r="P82" s="203" t="str">
        <v>渠道推广费</v>
      </c>
      <c r="Q82" s="203" t="str">
        <v>直播服务费</v>
      </c>
      <c r="R82" s="195"/>
      <c r="S82" s="195"/>
      <c r="T82" s="195"/>
      <c r="U82" s="195"/>
      <c r="V82" s="195"/>
      <c r="W82" s="195"/>
      <c r="X82" s="195"/>
      <c r="Y82" s="195"/>
      <c r="Z82" s="195"/>
    </row>
    <row r="83">
      <c r="A83" s="204" t="str">
        <v>京东达播服务费</v>
      </c>
      <c r="B83" s="201">
        <f>VLOOKUP(A83,'营销计划（活动-更新）'!$B$2:$D$213,1,FALSE)</f>
      </c>
      <c r="C83" s="207" t="str">
        <v>YXHD82</v>
      </c>
      <c r="D83" s="195" t="str">
        <v>是</v>
      </c>
      <c r="E83" s="206" t="str">
        <v>花西子京东自营旗舰店</v>
      </c>
      <c r="F83" s="206" t="str">
        <v>京东渠道</v>
      </c>
      <c r="G83" s="205" t="str">
        <v>京东达播</v>
      </c>
      <c r="H83" s="195"/>
      <c r="I83" s="195"/>
      <c r="J83" s="195"/>
      <c r="K83" s="195" t="str">
        <v>否</v>
      </c>
      <c r="L83" s="195">
        <f>K83</f>
      </c>
      <c r="M83" s="195" t="str">
        <v>平台电商推广</v>
      </c>
      <c r="N83" s="195" t="str">
        <v>达播-京东</v>
      </c>
      <c r="O83" s="203" t="str">
        <v>营销费用</v>
      </c>
      <c r="P83" s="203" t="str">
        <v>渠道推广费</v>
      </c>
      <c r="Q83" s="203" t="str">
        <v>直播坑位费</v>
      </c>
      <c r="R83" s="195"/>
      <c r="S83" s="195"/>
      <c r="T83" s="195"/>
      <c r="U83" s="195"/>
      <c r="V83" s="195"/>
      <c r="W83" s="195"/>
      <c r="X83" s="195"/>
      <c r="Y83" s="195"/>
      <c r="Z83" s="195"/>
    </row>
    <row r="84">
      <c r="A84" s="204" t="str">
        <v>京东自播服务</v>
      </c>
      <c r="B84" s="201">
        <f>VLOOKUP(A84,'营销计划（活动-更新）'!$B$2:$D$213,1,FALSE)</f>
      </c>
      <c r="C84" s="207" t="str">
        <v>YXHD83</v>
      </c>
      <c r="D84" s="195" t="str">
        <v>是</v>
      </c>
      <c r="E84" s="206" t="str">
        <v>花西子京东自营旗舰店</v>
      </c>
      <c r="F84" s="206" t="str">
        <v>京东渠道</v>
      </c>
      <c r="G84" s="205" t="str">
        <v>自营自播</v>
      </c>
      <c r="H84" s="195"/>
      <c r="I84" s="195"/>
      <c r="J84" s="195"/>
      <c r="K84" s="195" t="str">
        <v>否</v>
      </c>
      <c r="L84" s="195">
        <f>K84</f>
      </c>
      <c r="M84" s="195" t="str">
        <v>平台电商推广</v>
      </c>
      <c r="N84" s="195" t="str">
        <v>京东自播服务费</v>
      </c>
      <c r="O84" s="203" t="str">
        <v>营销费用</v>
      </c>
      <c r="P84" s="203" t="str">
        <v>渠道推广费</v>
      </c>
      <c r="Q84" s="203" t="str">
        <v>直播服务费</v>
      </c>
      <c r="R84" s="195"/>
      <c r="S84" s="195"/>
      <c r="T84" s="195"/>
      <c r="U84" s="195"/>
      <c r="V84" s="195"/>
      <c r="W84" s="195"/>
      <c r="X84" s="195"/>
      <c r="Y84" s="195"/>
      <c r="Z84" s="195"/>
    </row>
    <row r="85">
      <c r="A85" s="34" t="str">
        <v>唯享客</v>
      </c>
      <c r="B85" s="201">
        <f>VLOOKUP(A85,'营销计划（活动-更新）'!$B$2:$D$213,1,FALSE)</f>
      </c>
      <c r="C85" s="201" t="str">
        <v>YXHD84</v>
      </c>
      <c r="D85" s="61" t="str">
        <v>是</v>
      </c>
      <c r="E85" s="202" t="str">
        <v>唯品会自营花西子旗舰店</v>
      </c>
      <c r="F85" s="61" t="str">
        <v>唯品渠道</v>
      </c>
      <c r="G85" s="202" t="str">
        <v>唯品货架</v>
      </c>
      <c r="I85" s="150"/>
      <c r="J85" s="150"/>
      <c r="K85" s="61" t="str">
        <v>否</v>
      </c>
      <c r="L85">
        <f>K85</f>
      </c>
      <c r="M85" t="str">
        <v>平台电商推广</v>
      </c>
      <c r="N85" t="str">
        <v>唯享客</v>
      </c>
      <c r="O85" s="34" t="str">
        <v>营销费用</v>
      </c>
      <c r="P85" s="34" t="str">
        <v>渠道推广费</v>
      </c>
      <c r="Q85" s="34" t="str">
        <v>站内推广费</v>
      </c>
    </row>
    <row r="86">
      <c r="A86" s="34" t="str">
        <v>快手人设号-内容制作</v>
      </c>
      <c r="B86" s="201">
        <f>VLOOKUP(A86,'营销计划（活动-更新）'!$B$2:$D$213,1,FALSE)</f>
      </c>
      <c r="C86" s="201" t="str">
        <v>YXHD85</v>
      </c>
      <c r="D86" s="61" t="str">
        <v>是</v>
      </c>
      <c r="E86" s="202" t="str">
        <v>快手花西子旗舰店</v>
      </c>
      <c r="F86" s="202" t="str">
        <v>快手渠道</v>
      </c>
      <c r="G86" s="2" t="str">
        <v>快手人设号</v>
      </c>
      <c r="I86" s="61" t="str">
        <v>否</v>
      </c>
      <c r="J86" s="61" t="str">
        <v>否</v>
      </c>
      <c r="K86" s="61" t="str">
        <v>否</v>
      </c>
      <c r="L86">
        <f>K86</f>
      </c>
      <c r="M86" t="str">
        <v>直播电商推广</v>
      </c>
      <c r="N86" t="str">
        <v>快手人设号</v>
      </c>
      <c r="O86" s="34" t="str">
        <v>营销费用</v>
      </c>
      <c r="P86" s="34" t="str">
        <v>内容制作费</v>
      </c>
      <c r="Q86" s="34" t="str">
        <v>内容制作费</v>
      </c>
    </row>
    <row r="87">
      <c r="A87" s="34" t="str">
        <v>快手人设号-图文平面制作</v>
      </c>
      <c r="B87" s="201">
        <f>VLOOKUP(A87,'营销计划（活动-更新）'!$B$2:$D$213,1,FALSE)</f>
      </c>
      <c r="C87" s="201" t="str">
        <v>YXHD86</v>
      </c>
      <c r="D87" s="61" t="str">
        <v>是</v>
      </c>
      <c r="E87" s="202" t="str">
        <v>快手花西子旗舰店</v>
      </c>
      <c r="F87" s="202" t="str">
        <v>快手渠道</v>
      </c>
      <c r="G87" s="2" t="str">
        <v>快手人设号</v>
      </c>
      <c r="I87" s="61" t="str">
        <v>否</v>
      </c>
      <c r="J87" s="61" t="str">
        <v>否</v>
      </c>
      <c r="K87" s="61" t="str">
        <v>否</v>
      </c>
      <c r="L87">
        <f>K87</f>
      </c>
      <c r="M87" t="str">
        <v>直播电商推广</v>
      </c>
      <c r="N87" t="str">
        <v>快手人设号</v>
      </c>
      <c r="O87" s="34" t="str">
        <v>营销费用</v>
      </c>
      <c r="P87" s="34" t="str">
        <v>内容制作费</v>
      </c>
      <c r="Q87" s="34" t="str">
        <v>图文平面制作费</v>
      </c>
    </row>
    <row r="88">
      <c r="A88" s="34" t="str">
        <v>快手人设号-视频制作</v>
      </c>
      <c r="B88" s="201">
        <f>VLOOKUP(A88,'营销计划（活动-更新）'!$B$2:$D$213,1,FALSE)</f>
      </c>
      <c r="C88" s="201" t="str">
        <v>YXHD87</v>
      </c>
      <c r="D88" s="61" t="str">
        <v>是</v>
      </c>
      <c r="E88" s="202" t="str">
        <v>快手花西子旗舰店</v>
      </c>
      <c r="F88" s="202" t="str">
        <v>快手渠道</v>
      </c>
      <c r="G88" s="2" t="str">
        <v>快手人设号</v>
      </c>
      <c r="I88" s="61" t="str">
        <v>否</v>
      </c>
      <c r="J88" s="61" t="str">
        <v>否</v>
      </c>
      <c r="K88" s="61" t="str">
        <v>否</v>
      </c>
      <c r="L88">
        <f>K88</f>
      </c>
      <c r="M88" t="str">
        <v>直播电商推广</v>
      </c>
      <c r="N88" t="str">
        <v>快手人设号</v>
      </c>
      <c r="O88" s="34" t="str">
        <v>营销费用</v>
      </c>
      <c r="P88" s="34" t="str">
        <v>内容制作费</v>
      </c>
      <c r="Q88" s="34" t="str">
        <v>视频制作费</v>
      </c>
    </row>
    <row r="89">
      <c r="A89" s="203" t="str">
        <v>微信-达播服务费</v>
      </c>
      <c r="B89" s="201">
        <f>VLOOKUP(A89,'营销计划（活动-更新）'!$B$2:$D$213,1,FALSE)</f>
      </c>
      <c r="C89" s="207" t="str">
        <v>YXHD88</v>
      </c>
      <c r="D89" s="195" t="str">
        <v>是</v>
      </c>
      <c r="E89" s="206" t="str">
        <v>有赞花西子有赞旗舰店</v>
      </c>
      <c r="F89" s="216" t="str">
        <v>综合渠道</v>
      </c>
      <c r="G89" s="217" t="str">
        <v>有赞达播</v>
      </c>
      <c r="H89" s="195"/>
      <c r="I89" s="195" t="str">
        <v>否</v>
      </c>
      <c r="J89" s="195" t="str">
        <v>否</v>
      </c>
      <c r="K89" s="195" t="str">
        <v>否</v>
      </c>
      <c r="L89" s="195">
        <f>K89</f>
      </c>
      <c r="M89" s="195" t="str">
        <v>社交电商推广</v>
      </c>
      <c r="N89" s="195" t="str">
        <v>微信-达播</v>
      </c>
      <c r="O89" s="203" t="str">
        <v>营销费用</v>
      </c>
      <c r="P89" s="203" t="str">
        <v>渠道推广费</v>
      </c>
      <c r="Q89" s="203" t="str">
        <v>直播服务费</v>
      </c>
      <c r="R89" s="195"/>
      <c r="S89" s="195"/>
      <c r="T89" s="195"/>
      <c r="U89" s="195"/>
      <c r="V89" s="195"/>
      <c r="W89" s="195"/>
      <c r="X89" s="195"/>
      <c r="Y89" s="195"/>
      <c r="Z89" s="195"/>
    </row>
    <row r="90">
      <c r="A90" s="203" t="str">
        <v>微信-达播佣金</v>
      </c>
      <c r="B90" s="201">
        <f>VLOOKUP(A90,'营销计划（活动-更新）'!$B$2:$D$213,1,FALSE)</f>
      </c>
      <c r="C90" s="207" t="str">
        <v>YXHD89</v>
      </c>
      <c r="D90" s="195" t="str">
        <v>是</v>
      </c>
      <c r="E90" s="206" t="str">
        <v>有赞花西子有赞旗舰店</v>
      </c>
      <c r="F90" s="216" t="str">
        <v>综合渠道</v>
      </c>
      <c r="G90" s="217" t="str">
        <v>有赞达播</v>
      </c>
      <c r="H90" s="195"/>
      <c r="I90" s="195" t="str">
        <v>是</v>
      </c>
      <c r="J90" s="195" t="str">
        <v>是</v>
      </c>
      <c r="K90" s="195" t="str">
        <v>否</v>
      </c>
      <c r="L90" s="195">
        <f>K90</f>
      </c>
      <c r="M90" s="195" t="str">
        <v>社交电商推广</v>
      </c>
      <c r="N90" s="195" t="str">
        <v>微信-达播</v>
      </c>
      <c r="O90" s="203" t="str">
        <v>营销费用</v>
      </c>
      <c r="P90" s="203" t="str">
        <v>渠道推广费</v>
      </c>
      <c r="Q90" s="203" t="str">
        <v>直播服务费</v>
      </c>
      <c r="R90" s="195"/>
      <c r="S90" s="195"/>
      <c r="T90" s="195"/>
      <c r="U90" s="195"/>
      <c r="V90" s="195"/>
      <c r="W90" s="195"/>
      <c r="X90" s="195"/>
      <c r="Y90" s="195"/>
      <c r="Z90" s="195"/>
    </row>
    <row r="91">
      <c r="A91" s="34" t="str">
        <v>特渠运营</v>
      </c>
      <c r="B91" s="201">
        <f>VLOOKUP(A91,'营销计划（活动-更新）'!$B$2:$D$213,1,FALSE)</f>
      </c>
      <c r="C91" s="201" t="str">
        <v>YXHD90</v>
      </c>
      <c r="D91" s="61" t="str">
        <v>否</v>
      </c>
      <c r="I91" s="61" t="str">
        <v>否</v>
      </c>
      <c r="J91" s="61" t="str">
        <v>否</v>
      </c>
      <c r="K91" s="61" t="str">
        <v>否</v>
      </c>
      <c r="L91">
        <f>K91</f>
      </c>
      <c r="M91" t="str">
        <v>特殊渠道推广</v>
      </c>
      <c r="N91" t="str">
        <v>特殊渠道推广</v>
      </c>
      <c r="O91" s="34" t="str">
        <v>营销费用</v>
      </c>
      <c r="P91" s="34" t="str">
        <v>渠道推广费</v>
      </c>
      <c r="Q91" s="34" t="str">
        <v>线下推广费</v>
      </c>
    </row>
    <row r="92">
      <c r="A92" s="200" t="str">
        <v>抖音视频创意-矩阵号-视频制作</v>
      </c>
      <c r="B92" s="201">
        <f>VLOOKUP(A92,'营销计划（活动-更新）'!$B$2:$D$213,1,FALSE)</f>
      </c>
      <c r="C92" s="201" t="str">
        <v>YXHD91</v>
      </c>
      <c r="D92" s="61" t="str">
        <v>是</v>
      </c>
      <c r="E92" s="34" t="str">
        <v>抖音花西子官方旗舰店</v>
      </c>
      <c r="F92" s="34" t="str">
        <v>抖音渠道</v>
      </c>
      <c r="G92" s="34" t="str">
        <v>抖音矩阵号</v>
      </c>
      <c r="I92" s="61" t="str">
        <v>否</v>
      </c>
      <c r="J92" s="61" t="str">
        <v>否</v>
      </c>
      <c r="K92" s="61" t="str">
        <v>是</v>
      </c>
      <c r="L92">
        <f>K92</f>
      </c>
      <c r="M92" t="str">
        <v>品类内容推广</v>
      </c>
      <c r="N92" t="str">
        <v>抖音视频创意-矩阵号</v>
      </c>
      <c r="O92" s="34" t="str">
        <v>营销费用</v>
      </c>
      <c r="P92" s="34" t="str">
        <v>内容制作费</v>
      </c>
      <c r="Q92" s="34" t="str">
        <v>视频制作费</v>
      </c>
    </row>
    <row r="93">
      <c r="A93" s="200" t="str">
        <v>抖音视频创意-店铺-视频制作</v>
      </c>
      <c r="B93" s="201">
        <f>VLOOKUP(A93,'营销计划（活动-更新）'!$B$2:$D$213,1,FALSE)</f>
      </c>
      <c r="C93" s="201" t="str">
        <v>YXHD92</v>
      </c>
      <c r="D93" s="61" t="str">
        <v>是</v>
      </c>
      <c r="E93" s="34" t="str">
        <v>抖音花西子官方旗舰店</v>
      </c>
      <c r="F93" s="34" t="str">
        <v>抖音渠道</v>
      </c>
      <c r="G93" s="34" t="str">
        <v>抖音自播</v>
      </c>
      <c r="I93" s="61" t="str">
        <v>否</v>
      </c>
      <c r="J93" s="61" t="str">
        <v>否</v>
      </c>
      <c r="K93" s="61" t="str">
        <v>是</v>
      </c>
      <c r="L93">
        <f>K93</f>
      </c>
      <c r="M93" t="str">
        <v>品类内容推广</v>
      </c>
      <c r="N93" t="str">
        <v>抖音视频创意-店铺</v>
      </c>
      <c r="O93" s="34" t="str">
        <v>营销费用</v>
      </c>
      <c r="P93" s="34" t="str">
        <v>内容制作费</v>
      </c>
      <c r="Q93" s="34" t="str">
        <v>视频制作费</v>
      </c>
    </row>
    <row r="94">
      <c r="A94" s="200" t="str">
        <v>抖音视频创意-矩阵号-动画制作</v>
      </c>
      <c r="B94" s="201">
        <f>VLOOKUP(A94,'营销计划（活动-更新）'!$B$2:$D$213,1,FALSE)</f>
      </c>
      <c r="C94" s="201" t="str">
        <v>YXHD93</v>
      </c>
      <c r="D94" s="61" t="str">
        <v>是</v>
      </c>
      <c r="E94" s="34" t="str">
        <v>抖音花西子官方旗舰店</v>
      </c>
      <c r="F94" s="34" t="str">
        <v>抖音渠道</v>
      </c>
      <c r="G94" s="34" t="str">
        <v>抖音矩阵号</v>
      </c>
      <c r="I94" s="61" t="str">
        <v>否</v>
      </c>
      <c r="J94" s="61" t="str">
        <v>否</v>
      </c>
      <c r="K94" s="61" t="str">
        <v>是</v>
      </c>
      <c r="L94">
        <f>K94</f>
      </c>
      <c r="M94" t="str">
        <v>品类内容推广</v>
      </c>
      <c r="N94" t="str">
        <v>抖音视频创意-矩阵号</v>
      </c>
      <c r="O94" s="34" t="str">
        <v>营销费用</v>
      </c>
      <c r="P94" s="34" t="str">
        <v>内容制作费</v>
      </c>
      <c r="Q94" s="34" t="str">
        <v>动画制作费</v>
      </c>
    </row>
    <row r="95">
      <c r="A95" s="200" t="str">
        <v>抖音视频创意-店铺-动画制作</v>
      </c>
      <c r="B95" s="201">
        <f>VLOOKUP(A95,'营销计划（活动-更新）'!$B$2:$D$213,1,FALSE)</f>
      </c>
      <c r="C95" s="201" t="str">
        <v>YXHD94</v>
      </c>
      <c r="D95" s="61" t="str">
        <v>是</v>
      </c>
      <c r="E95" s="34" t="str">
        <v>抖音花西子官方旗舰店</v>
      </c>
      <c r="F95" s="34" t="str">
        <v>抖音渠道</v>
      </c>
      <c r="G95" s="34" t="str">
        <v>抖音自播</v>
      </c>
      <c r="I95" s="61" t="str">
        <v>否</v>
      </c>
      <c r="J95" s="61" t="str">
        <v>否</v>
      </c>
      <c r="K95" s="61" t="str">
        <v>是</v>
      </c>
      <c r="L95">
        <f>K95</f>
      </c>
      <c r="M95" t="str">
        <v>品类内容推广</v>
      </c>
      <c r="N95" t="str">
        <v>抖音视频创意-店铺</v>
      </c>
      <c r="O95" s="34" t="str">
        <v>营销费用</v>
      </c>
      <c r="P95" s="34" t="str">
        <v>内容制作费</v>
      </c>
      <c r="Q95" s="34" t="str">
        <v>动画制作费</v>
      </c>
    </row>
    <row r="96">
      <c r="A96" s="200" t="str">
        <v>抖音视频创意-矩阵号-图文平面制作</v>
      </c>
      <c r="B96" s="201">
        <f>VLOOKUP(A96,'营销计划（活动-更新）'!$B$2:$D$213,1,FALSE)</f>
      </c>
      <c r="C96" s="201" t="str">
        <v>YXHD95</v>
      </c>
      <c r="D96" s="61" t="str">
        <v>是</v>
      </c>
      <c r="E96" s="34" t="str">
        <v>抖音花西子官方旗舰店</v>
      </c>
      <c r="F96" s="34" t="str">
        <v>抖音渠道</v>
      </c>
      <c r="G96" s="34" t="str">
        <v>抖音矩阵号</v>
      </c>
      <c r="I96" s="61" t="str">
        <v>否</v>
      </c>
      <c r="J96" s="61" t="str">
        <v>否</v>
      </c>
      <c r="K96" s="61" t="str">
        <v>是</v>
      </c>
      <c r="L96">
        <f>K96</f>
      </c>
      <c r="M96" t="str">
        <v>品类内容推广</v>
      </c>
      <c r="N96" t="str">
        <v>抖音视频创意-矩阵号</v>
      </c>
      <c r="O96" s="34" t="str">
        <v>营销费用</v>
      </c>
      <c r="P96" s="34" t="str">
        <v>内容制作费</v>
      </c>
      <c r="Q96" s="34" t="str">
        <v>图文平面制作费</v>
      </c>
    </row>
    <row r="97">
      <c r="A97" s="200" t="str">
        <v>抖音视频创意-店铺-图文平面制作</v>
      </c>
      <c r="B97" s="201">
        <f>VLOOKUP(A97,'营销计划（活动-更新）'!$B$2:$D$213,1,FALSE)</f>
      </c>
      <c r="C97" s="201" t="str">
        <v>YXHD96</v>
      </c>
      <c r="D97" s="61" t="str">
        <v>是</v>
      </c>
      <c r="E97" s="34" t="str">
        <v>抖音花西子官方旗舰店</v>
      </c>
      <c r="F97" s="34" t="str">
        <v>抖音渠道</v>
      </c>
      <c r="G97" s="34" t="str">
        <v>抖音自播</v>
      </c>
      <c r="I97" s="61" t="str">
        <v>否</v>
      </c>
      <c r="J97" s="61" t="str">
        <v>否</v>
      </c>
      <c r="K97" s="61" t="str">
        <v>是</v>
      </c>
      <c r="L97">
        <f>K97</f>
      </c>
      <c r="M97" t="str">
        <v>品类内容推广</v>
      </c>
      <c r="N97" t="str">
        <v>抖音视频创意-店铺</v>
      </c>
      <c r="O97" s="34" t="str">
        <v>营销费用</v>
      </c>
      <c r="P97" s="34" t="str">
        <v>内容制作费</v>
      </c>
      <c r="Q97" s="34" t="str">
        <v>图文平面制作费</v>
      </c>
    </row>
    <row r="98">
      <c r="A98" s="200" t="str">
        <v>抖音视频创意-矩阵号-建模服务</v>
      </c>
      <c r="B98" s="201">
        <f>VLOOKUP(A98,'营销计划（活动-更新）'!$B$2:$D$213,1,FALSE)</f>
      </c>
      <c r="C98" s="201" t="str">
        <v>YXHD97</v>
      </c>
      <c r="D98" s="61" t="str">
        <v>是</v>
      </c>
      <c r="E98" s="34" t="str">
        <v>抖音花西子官方旗舰店</v>
      </c>
      <c r="F98" s="34" t="str">
        <v>抖音渠道</v>
      </c>
      <c r="G98" s="34" t="str">
        <v>抖音矩阵号</v>
      </c>
      <c r="I98" s="61" t="str">
        <v>否</v>
      </c>
      <c r="J98" s="61" t="str">
        <v>否</v>
      </c>
      <c r="K98" s="61" t="str">
        <v>是</v>
      </c>
      <c r="L98">
        <f>K98</f>
      </c>
      <c r="M98" t="str">
        <v>品类内容推广</v>
      </c>
      <c r="N98" t="str">
        <v>抖音视频创意-矩阵号</v>
      </c>
      <c r="O98" s="34" t="str">
        <v>营销费用</v>
      </c>
      <c r="P98" s="34" t="str">
        <v>内容制作费</v>
      </c>
      <c r="Q98" s="34" t="str">
        <v>建模服务费</v>
      </c>
    </row>
    <row r="99">
      <c r="A99" s="200" t="str">
        <v>抖音视频创意-店铺-建模服务</v>
      </c>
      <c r="B99" s="201">
        <f>VLOOKUP(A99,'营销计划（活动-更新）'!$B$2:$D$213,1,FALSE)</f>
      </c>
      <c r="C99" s="201" t="str">
        <v>YXHD98</v>
      </c>
      <c r="D99" s="61" t="str">
        <v>是</v>
      </c>
      <c r="E99" s="34" t="str">
        <v>抖音花西子官方旗舰店</v>
      </c>
      <c r="F99" s="34" t="str">
        <v>抖音渠道</v>
      </c>
      <c r="G99" s="34" t="str">
        <v>抖音自播</v>
      </c>
      <c r="I99" s="61" t="str">
        <v>否</v>
      </c>
      <c r="J99" s="61" t="str">
        <v>否</v>
      </c>
      <c r="K99" s="61" t="str">
        <v>是</v>
      </c>
      <c r="L99">
        <f>K99</f>
      </c>
      <c r="M99" t="str">
        <v>品类内容推广</v>
      </c>
      <c r="N99" t="str">
        <v>抖音视频创意-店铺</v>
      </c>
      <c r="O99" s="34" t="str">
        <v>营销费用</v>
      </c>
      <c r="P99" s="34" t="str">
        <v>内容制作费</v>
      </c>
      <c r="Q99" s="34" t="str">
        <v>建模服务费</v>
      </c>
    </row>
    <row r="100">
      <c r="A100" s="200" t="str">
        <v>抖音视频创意-矩阵号-渲染服务</v>
      </c>
      <c r="B100" s="201">
        <f>VLOOKUP(A100,'营销计划（活动-更新）'!$B$2:$D$213,1,FALSE)</f>
      </c>
      <c r="C100" s="201" t="str">
        <v>YXHD99</v>
      </c>
      <c r="D100" s="61" t="str">
        <v>是</v>
      </c>
      <c r="E100" s="34" t="str">
        <v>抖音花西子官方旗舰店</v>
      </c>
      <c r="F100" s="34" t="str">
        <v>抖音渠道</v>
      </c>
      <c r="G100" s="34" t="str">
        <v>抖音矩阵号</v>
      </c>
      <c r="I100" s="61" t="str">
        <v>否</v>
      </c>
      <c r="J100" s="61" t="str">
        <v>否</v>
      </c>
      <c r="K100" s="61" t="str">
        <v>是</v>
      </c>
      <c r="L100">
        <f>K100</f>
      </c>
      <c r="M100" t="str">
        <v>品类内容推广</v>
      </c>
      <c r="N100" t="str">
        <v>抖音视频创意-矩阵号</v>
      </c>
      <c r="O100" s="34" t="str">
        <v>营销费用</v>
      </c>
      <c r="P100" s="34" t="str">
        <v>内容制作费</v>
      </c>
      <c r="Q100" s="34" t="str">
        <v>渲染服务费</v>
      </c>
    </row>
    <row r="101">
      <c r="A101" s="200" t="str">
        <v>抖音视频创意-店铺-渲染服务</v>
      </c>
      <c r="B101" s="201">
        <f>VLOOKUP(A101,'营销计划（活动-更新）'!$B$2:$D$213,1,FALSE)</f>
      </c>
      <c r="C101" s="201" t="str">
        <v>YXHD100</v>
      </c>
      <c r="D101" s="61" t="str">
        <v>是</v>
      </c>
      <c r="E101" s="34" t="str">
        <v>抖音花西子官方旗舰店</v>
      </c>
      <c r="F101" s="34" t="str">
        <v>抖音渠道</v>
      </c>
      <c r="G101" s="34" t="str">
        <v>抖音自播</v>
      </c>
      <c r="I101" s="61" t="str">
        <v>否</v>
      </c>
      <c r="J101" s="61" t="str">
        <v>否</v>
      </c>
      <c r="K101" s="61" t="str">
        <v>是</v>
      </c>
      <c r="L101">
        <f>K101</f>
      </c>
      <c r="M101" t="str">
        <v>品类内容推广</v>
      </c>
      <c r="N101" t="str">
        <v>抖音视频创意-店铺</v>
      </c>
      <c r="O101" s="34" t="str">
        <v>营销费用</v>
      </c>
      <c r="P101" s="34" t="str">
        <v>内容制作费</v>
      </c>
      <c r="Q101" s="34" t="str">
        <v>渲染服务费</v>
      </c>
    </row>
    <row r="102">
      <c r="A102" s="200" t="str">
        <v>抖音视频创意-矩阵号-模特服务</v>
      </c>
      <c r="B102" s="201">
        <f>VLOOKUP(A102,'营销计划（活动-更新）'!$B$2:$D$213,1,FALSE)</f>
      </c>
      <c r="C102" s="201" t="str">
        <v>YXHD101</v>
      </c>
      <c r="D102" s="61" t="str">
        <v>是</v>
      </c>
      <c r="E102" s="34" t="str">
        <v>抖音花西子官方旗舰店</v>
      </c>
      <c r="F102" s="34" t="str">
        <v>抖音渠道</v>
      </c>
      <c r="G102" s="34" t="str">
        <v>抖音矩阵号</v>
      </c>
      <c r="I102" s="61" t="str">
        <v>否</v>
      </c>
      <c r="J102" s="61" t="str">
        <v>否</v>
      </c>
      <c r="K102" s="61" t="str">
        <v>是</v>
      </c>
      <c r="L102">
        <f>K102</f>
      </c>
      <c r="M102" t="str">
        <v>品类内容推广</v>
      </c>
      <c r="N102" t="str">
        <v>抖音视频创意-矩阵号</v>
      </c>
      <c r="O102" s="34" t="str">
        <v>营销费用</v>
      </c>
      <c r="P102" s="34" t="str">
        <v>内容制作费</v>
      </c>
      <c r="Q102" s="34" t="str">
        <v>模特服务费</v>
      </c>
    </row>
    <row r="103">
      <c r="A103" s="200" t="str">
        <v>抖音视频创意-店铺-模特服务</v>
      </c>
      <c r="B103" s="201">
        <f>VLOOKUP(A103,'营销计划（活动-更新）'!$B$2:$D$213,1,FALSE)</f>
      </c>
      <c r="C103" s="201" t="str">
        <v>YXHD102</v>
      </c>
      <c r="D103" s="61" t="str">
        <v>是</v>
      </c>
      <c r="E103" s="34" t="str">
        <v>抖音花西子官方旗舰店</v>
      </c>
      <c r="F103" s="34" t="str">
        <v>抖音渠道</v>
      </c>
      <c r="G103" s="34" t="str">
        <v>抖音自播</v>
      </c>
      <c r="I103" s="61" t="str">
        <v>否</v>
      </c>
      <c r="J103" s="61" t="str">
        <v>否</v>
      </c>
      <c r="K103" s="61" t="str">
        <v>是</v>
      </c>
      <c r="L103">
        <f>K103</f>
      </c>
      <c r="M103" t="str">
        <v>品类内容推广</v>
      </c>
      <c r="N103" t="str">
        <v>抖音视频创意-店铺</v>
      </c>
      <c r="O103" s="34" t="str">
        <v>营销费用</v>
      </c>
      <c r="P103" s="34" t="str">
        <v>内容制作费</v>
      </c>
      <c r="Q103" s="34" t="str">
        <v>模特服务费</v>
      </c>
    </row>
    <row r="104">
      <c r="A104" s="200" t="str">
        <v>抖音视频创意-矩阵号-专业人物合作</v>
      </c>
      <c r="B104" s="201">
        <f>VLOOKUP(A104,'营销计划（活动-更新）'!$B$2:$D$213,1,FALSE)</f>
      </c>
      <c r="C104" s="201" t="str">
        <v>YXHD103</v>
      </c>
      <c r="D104" s="61" t="str">
        <v>是</v>
      </c>
      <c r="E104" s="34" t="str">
        <v>抖音花西子官方旗舰店</v>
      </c>
      <c r="F104" s="34" t="str">
        <v>抖音渠道</v>
      </c>
      <c r="G104" s="34" t="str">
        <v>抖音矩阵号</v>
      </c>
      <c r="I104" s="61" t="str">
        <v>否</v>
      </c>
      <c r="J104" s="61" t="str">
        <v>否</v>
      </c>
      <c r="K104" s="61" t="str">
        <v>是</v>
      </c>
      <c r="L104">
        <f>K104</f>
      </c>
      <c r="M104" t="str">
        <v>品类内容推广</v>
      </c>
      <c r="N104" t="str">
        <v>抖音视频创意-矩阵号</v>
      </c>
      <c r="O104" s="34" t="str">
        <v>营销费用</v>
      </c>
      <c r="P104" s="34" t="str">
        <v>内容制作费</v>
      </c>
      <c r="Q104" s="34" t="str">
        <v>专业人物合作费</v>
      </c>
    </row>
    <row r="105">
      <c r="A105" s="200" t="str">
        <v>抖音视频创意-店铺-专业人物合作</v>
      </c>
      <c r="B105" s="201">
        <f>VLOOKUP(A105,'营销计划（活动-更新）'!$B$2:$D$213,1,FALSE)</f>
      </c>
      <c r="C105" s="201" t="str">
        <v>YXHD104</v>
      </c>
      <c r="D105" s="61" t="str">
        <v>是</v>
      </c>
      <c r="E105" s="34" t="str">
        <v>抖音花西子官方旗舰店</v>
      </c>
      <c r="F105" s="34" t="str">
        <v>抖音渠道</v>
      </c>
      <c r="G105" s="34" t="str">
        <v>抖音自播</v>
      </c>
      <c r="I105" s="61" t="str">
        <v>否</v>
      </c>
      <c r="J105" s="61" t="str">
        <v>否</v>
      </c>
      <c r="K105" s="61" t="str">
        <v>是</v>
      </c>
      <c r="L105">
        <f>K105</f>
      </c>
      <c r="M105" t="str">
        <v>品类内容推广</v>
      </c>
      <c r="N105" t="str">
        <v>抖音视频创意-店铺</v>
      </c>
      <c r="O105" s="34" t="str">
        <v>营销费用</v>
      </c>
      <c r="P105" s="34" t="str">
        <v>内容制作费</v>
      </c>
      <c r="Q105" s="34" t="str">
        <v>专业人物合作费</v>
      </c>
    </row>
    <row r="106">
      <c r="A106" s="200" t="str">
        <v>抖音视频创意-矩阵号-服化道费</v>
      </c>
      <c r="B106" s="201">
        <f>VLOOKUP(A106,'营销计划（活动-更新）'!$B$2:$D$213,1,FALSE)</f>
      </c>
      <c r="C106" s="201" t="str">
        <v>YXHD105</v>
      </c>
      <c r="D106" s="61" t="str">
        <v>是</v>
      </c>
      <c r="E106" s="34" t="str">
        <v>抖音花西子官方旗舰店</v>
      </c>
      <c r="F106" s="34" t="str">
        <v>抖音渠道</v>
      </c>
      <c r="G106" s="34" t="str">
        <v>抖音矩阵号</v>
      </c>
      <c r="I106" s="61" t="str">
        <v>否</v>
      </c>
      <c r="J106" s="61" t="str">
        <v>否</v>
      </c>
      <c r="K106" s="61" t="str">
        <v>是</v>
      </c>
      <c r="L106">
        <f>K106</f>
      </c>
      <c r="M106" t="str">
        <v>品类内容推广</v>
      </c>
      <c r="N106" t="str">
        <v>抖音视频创意-矩阵号</v>
      </c>
      <c r="O106" s="34" t="str">
        <v>营销费用</v>
      </c>
      <c r="P106" s="34" t="str">
        <v>内容制作费</v>
      </c>
      <c r="Q106" s="34" t="str">
        <v>服化道费用</v>
      </c>
    </row>
    <row r="107">
      <c r="A107" s="200" t="str">
        <v>抖音视频创意-店铺-服化道费</v>
      </c>
      <c r="B107" s="201">
        <f>VLOOKUP(A107,'营销计划（活动-更新）'!$B$2:$D$213,1,FALSE)</f>
      </c>
      <c r="C107" s="201" t="str">
        <v>YXHD106</v>
      </c>
      <c r="D107" s="61" t="str">
        <v>是</v>
      </c>
      <c r="E107" s="34" t="str">
        <v>抖音花西子官方旗舰店</v>
      </c>
      <c r="F107" s="34" t="str">
        <v>抖音渠道</v>
      </c>
      <c r="G107" s="34" t="str">
        <v>抖音自播</v>
      </c>
      <c r="I107" s="61" t="str">
        <v>否</v>
      </c>
      <c r="J107" s="61" t="str">
        <v>否</v>
      </c>
      <c r="K107" s="61" t="str">
        <v>是</v>
      </c>
      <c r="L107">
        <f>K107</f>
      </c>
      <c r="M107" t="str">
        <v>品类内容推广</v>
      </c>
      <c r="N107" t="str">
        <v>抖音视频创意-店铺</v>
      </c>
      <c r="O107" s="34" t="str">
        <v>营销费用</v>
      </c>
      <c r="P107" s="34" t="str">
        <v>内容制作费</v>
      </c>
      <c r="Q107" s="34" t="str">
        <v>服化道费用</v>
      </c>
    </row>
    <row r="108">
      <c r="A108" s="200" t="str">
        <v>抖音视频创意-矩阵号-拍摄服务</v>
      </c>
      <c r="B108" s="201">
        <f>VLOOKUP(A108,'营销计划（活动-更新）'!$B$2:$D$213,1,FALSE)</f>
      </c>
      <c r="C108" s="201" t="str">
        <v>YXHD107</v>
      </c>
      <c r="D108" s="61" t="str">
        <v>是</v>
      </c>
      <c r="E108" s="34" t="str">
        <v>抖音花西子官方旗舰店</v>
      </c>
      <c r="F108" s="34" t="str">
        <v>抖音渠道</v>
      </c>
      <c r="G108" s="34" t="str">
        <v>抖音矩阵号</v>
      </c>
      <c r="I108" s="61" t="str">
        <v>否</v>
      </c>
      <c r="J108" s="61" t="str">
        <v>否</v>
      </c>
      <c r="K108" s="61" t="str">
        <v>是</v>
      </c>
      <c r="L108">
        <f>K108</f>
      </c>
      <c r="M108" t="str">
        <v>品类内容推广</v>
      </c>
      <c r="N108" t="str">
        <v>抖音视频创意-矩阵号</v>
      </c>
      <c r="O108" s="34" t="str">
        <v>营销费用</v>
      </c>
      <c r="P108" s="34" t="str">
        <v>内容制作费</v>
      </c>
      <c r="Q108" s="34" t="str">
        <v>拍摄服务费</v>
      </c>
    </row>
    <row r="109">
      <c r="A109" s="200" t="str">
        <v>抖音视频创意-店铺-拍摄服务</v>
      </c>
      <c r="B109" s="201">
        <f>VLOOKUP(A109,'营销计划（活动-更新）'!$B$2:$D$213,1,FALSE)</f>
      </c>
      <c r="C109" s="201" t="str">
        <v>YXHD108</v>
      </c>
      <c r="D109" s="61" t="str">
        <v>是</v>
      </c>
      <c r="E109" s="34" t="str">
        <v>抖音花西子官方旗舰店</v>
      </c>
      <c r="F109" s="34" t="str">
        <v>抖音渠道</v>
      </c>
      <c r="G109" s="34" t="str">
        <v>抖音自播</v>
      </c>
      <c r="I109" s="61" t="str">
        <v>否</v>
      </c>
      <c r="J109" s="61" t="str">
        <v>否</v>
      </c>
      <c r="K109" s="61" t="str">
        <v>是</v>
      </c>
      <c r="L109">
        <f>K109</f>
      </c>
      <c r="M109" t="str">
        <v>品类内容推广</v>
      </c>
      <c r="N109" t="str">
        <v>抖音视频创意-店铺</v>
      </c>
      <c r="O109" s="34" t="str">
        <v>营销费用</v>
      </c>
      <c r="P109" s="34" t="str">
        <v>内容制作费</v>
      </c>
      <c r="Q109" s="34" t="str">
        <v>拍摄服务费</v>
      </c>
    </row>
    <row r="110">
      <c r="A110" s="200" t="str">
        <v>抖音视频创意-矩阵号-拍摄物料</v>
      </c>
      <c r="B110" s="201">
        <f>VLOOKUP(A110,'营销计划（活动-更新）'!$B$2:$D$213,1,FALSE)</f>
      </c>
      <c r="C110" s="201" t="str">
        <v>YXHD109</v>
      </c>
      <c r="D110" s="61" t="str">
        <v>是</v>
      </c>
      <c r="E110" s="34" t="str">
        <v>抖音花西子官方旗舰店</v>
      </c>
      <c r="F110" s="34" t="str">
        <v>抖音渠道</v>
      </c>
      <c r="G110" s="34" t="str">
        <v>抖音矩阵号</v>
      </c>
      <c r="I110" s="61" t="str">
        <v>否</v>
      </c>
      <c r="J110" s="61" t="str">
        <v>否</v>
      </c>
      <c r="K110" s="61" t="str">
        <v>是</v>
      </c>
      <c r="L110">
        <f>K110</f>
      </c>
      <c r="M110" t="str">
        <v>品类内容推广</v>
      </c>
      <c r="N110" t="str">
        <v>抖音视频创意-矩阵号</v>
      </c>
      <c r="O110" s="34" t="str">
        <v>营销费用</v>
      </c>
      <c r="P110" s="34" t="str">
        <v>内容制作费</v>
      </c>
      <c r="Q110" s="34" t="str">
        <v>拍摄物料费</v>
      </c>
    </row>
    <row r="111">
      <c r="A111" s="200" t="str">
        <v>抖音视频创意-店铺-拍摄物料</v>
      </c>
      <c r="B111" s="201">
        <f>VLOOKUP(A111,'营销计划（活动-更新）'!$B$2:$D$213,1,FALSE)</f>
      </c>
      <c r="C111" s="201" t="str">
        <v>YXHD110</v>
      </c>
      <c r="D111" s="61" t="str">
        <v>是</v>
      </c>
      <c r="E111" s="34" t="str">
        <v>抖音花西子官方旗舰店</v>
      </c>
      <c r="F111" s="34" t="str">
        <v>抖音渠道</v>
      </c>
      <c r="G111" s="34" t="str">
        <v>抖音自播</v>
      </c>
      <c r="I111" s="61" t="str">
        <v>否</v>
      </c>
      <c r="J111" s="61" t="str">
        <v>否</v>
      </c>
      <c r="K111" s="61" t="str">
        <v>是</v>
      </c>
      <c r="L111">
        <f>K111</f>
      </c>
      <c r="M111" t="str">
        <v>品类内容推广</v>
      </c>
      <c r="N111" t="str">
        <v>抖音视频创意-店铺</v>
      </c>
      <c r="O111" s="34" t="str">
        <v>营销费用</v>
      </c>
      <c r="P111" s="34" t="str">
        <v>内容制作费</v>
      </c>
      <c r="Q111" s="34" t="str">
        <v>拍摄物料费</v>
      </c>
    </row>
    <row r="112">
      <c r="A112" s="200" t="str">
        <v>抖音视频创意-矩阵号-内容制作</v>
      </c>
      <c r="B112" s="201">
        <f>VLOOKUP(A112,'营销计划（活动-更新）'!$B$2:$D$213,1,FALSE)</f>
      </c>
      <c r="C112" s="201" t="str">
        <v>YXHD111</v>
      </c>
      <c r="D112" s="61" t="str">
        <v>是</v>
      </c>
      <c r="E112" s="34" t="str">
        <v>抖音花西子官方旗舰店</v>
      </c>
      <c r="F112" s="34" t="str">
        <v>抖音渠道</v>
      </c>
      <c r="G112" s="34" t="str">
        <v>抖音矩阵号</v>
      </c>
      <c r="I112" s="61" t="str">
        <v>否</v>
      </c>
      <c r="J112" s="61" t="str">
        <v>否</v>
      </c>
      <c r="K112" s="61" t="str">
        <v>是</v>
      </c>
      <c r="L112">
        <f>K112</f>
      </c>
      <c r="M112" t="str">
        <v>品类内容推广</v>
      </c>
      <c r="N112" t="str">
        <v>抖音视频创意-矩阵号</v>
      </c>
      <c r="O112" s="34" t="str">
        <v>营销费用</v>
      </c>
      <c r="P112" s="34" t="str">
        <v>内容制作费</v>
      </c>
      <c r="Q112" s="34" t="str">
        <v>内容制作费</v>
      </c>
    </row>
    <row r="113">
      <c r="A113" s="200" t="str">
        <v>抖音视频创意-店铺-内容制作</v>
      </c>
      <c r="B113" s="201">
        <f>VLOOKUP(A113,'营销计划（活动-更新）'!$B$2:$D$213,1,FALSE)</f>
      </c>
      <c r="C113" s="201" t="str">
        <v>YXHD112</v>
      </c>
      <c r="D113" s="61" t="str">
        <v>是</v>
      </c>
      <c r="E113" s="34" t="str">
        <v>抖音花西子官方旗舰店</v>
      </c>
      <c r="F113" s="34" t="str">
        <v>抖音渠道</v>
      </c>
      <c r="G113" s="34" t="str">
        <v>抖音自播</v>
      </c>
      <c r="I113" s="61" t="str">
        <v>否</v>
      </c>
      <c r="J113" s="61" t="str">
        <v>否</v>
      </c>
      <c r="K113" s="61" t="str">
        <v>是</v>
      </c>
      <c r="L113">
        <f>K113</f>
      </c>
      <c r="M113" t="str">
        <v>品类内容推广</v>
      </c>
      <c r="N113" t="str">
        <v>抖音视频创意-店铺</v>
      </c>
      <c r="O113" s="34" t="str">
        <v>营销费用</v>
      </c>
      <c r="P113" s="34" t="str">
        <v>内容制作费</v>
      </c>
      <c r="Q113" s="34" t="str">
        <v>内容制作费</v>
      </c>
    </row>
    <row r="114">
      <c r="A114" s="200" t="str">
        <v>千川信息流</v>
      </c>
      <c r="B114" s="201">
        <f>VLOOKUP(A114,'营销计划（活动-更新）'!$B$2:$D$213,1,FALSE)</f>
      </c>
      <c r="C114" s="201" t="str">
        <v>YXHD113</v>
      </c>
      <c r="D114" s="61" t="str">
        <v>是</v>
      </c>
      <c r="E114" s="34" t="str">
        <v>抖音花西子官方旗舰店</v>
      </c>
      <c r="F114" s="34" t="str">
        <v>抖音渠道</v>
      </c>
      <c r="G114" s="34" t="str">
        <v>抖音自播</v>
      </c>
      <c r="I114" s="61" t="str">
        <v>否</v>
      </c>
      <c r="J114" s="61" t="str">
        <v>否</v>
      </c>
      <c r="K114" s="61" t="str">
        <v>否</v>
      </c>
      <c r="L114">
        <f>K114</f>
      </c>
      <c r="M114" t="str">
        <v>直播电商推广</v>
      </c>
      <c r="N114" t="str">
        <v>抖音电商渠道推广</v>
      </c>
      <c r="O114" s="34" t="str">
        <v>营销费用</v>
      </c>
      <c r="P114" s="34" t="str">
        <v>渠道推广费</v>
      </c>
      <c r="Q114" s="34" t="str">
        <v>站内推广费</v>
      </c>
    </row>
    <row r="115">
      <c r="A115" s="200" t="str">
        <v>矩阵号千川信息流</v>
      </c>
      <c r="B115" s="201">
        <f>VLOOKUP(A115,'营销计划（活动-更新）'!$B$2:$D$213,1,FALSE)</f>
      </c>
      <c r="C115" s="201" t="str">
        <v>YXHD114</v>
      </c>
      <c r="D115" s="61" t="str">
        <v>是</v>
      </c>
      <c r="E115" s="34" t="str">
        <v>抖音花西子官方旗舰店</v>
      </c>
      <c r="F115" s="34" t="str">
        <v>抖音渠道</v>
      </c>
      <c r="G115" s="34" t="str">
        <v>抖音矩阵号</v>
      </c>
      <c r="I115" s="61" t="str">
        <v>否</v>
      </c>
      <c r="J115" s="61" t="str">
        <v>否</v>
      </c>
      <c r="K115" s="61" t="str">
        <v>否</v>
      </c>
      <c r="L115">
        <f>K115</f>
      </c>
      <c r="M115" t="str">
        <v>直播电商推广</v>
      </c>
      <c r="N115" t="str">
        <v>抖音矩阵号渠道推广</v>
      </c>
      <c r="O115" s="34" t="str">
        <v>营销费用</v>
      </c>
      <c r="P115" s="34" t="str">
        <v>渠道推广费</v>
      </c>
      <c r="Q115" s="34" t="str">
        <v>站内推广费</v>
      </c>
    </row>
    <row r="116">
      <c r="A116" s="200" t="str">
        <v>矩阵号服务费</v>
      </c>
      <c r="B116" s="201">
        <f>VLOOKUP(A116,'营销计划（活动-更新）'!$B$2:$D$213,1,FALSE)</f>
      </c>
      <c r="C116" s="201" t="str">
        <v>YXHD115</v>
      </c>
      <c r="D116" s="61" t="str">
        <v>是</v>
      </c>
      <c r="E116" s="34" t="str">
        <v>抖音花西子官方旗舰店</v>
      </c>
      <c r="F116" s="34" t="str">
        <v>抖音渠道</v>
      </c>
      <c r="G116" s="34" t="str">
        <v>抖音矩阵号</v>
      </c>
      <c r="I116" s="61" t="str">
        <v>否</v>
      </c>
      <c r="J116" s="61" t="str">
        <v>否</v>
      </c>
      <c r="K116" s="61" t="str">
        <v>否</v>
      </c>
      <c r="L116">
        <f>K116</f>
      </c>
      <c r="M116" t="str">
        <v>直播电商推广</v>
      </c>
      <c r="N116" t="str">
        <v>抖音矩阵号直播佣金服务费</v>
      </c>
      <c r="O116" s="34" t="str">
        <v>营销费用</v>
      </c>
      <c r="P116" s="34" t="str">
        <v>渠道推广费</v>
      </c>
      <c r="Q116" s="34" t="str">
        <v>代运营服务费</v>
      </c>
    </row>
    <row r="117">
      <c r="A117" s="200" t="str">
        <v>矩阵号DOU+</v>
      </c>
      <c r="B117" s="201">
        <f>VLOOKUP(A117,'营销计划（活动-更新）'!$B$2:$D$213,1,FALSE)</f>
      </c>
      <c r="C117" s="201" t="str">
        <v>YXHD116</v>
      </c>
      <c r="D117" s="61" t="str">
        <v>是</v>
      </c>
      <c r="E117" s="34" t="str">
        <v>抖音花西子官方旗舰店</v>
      </c>
      <c r="F117" s="34" t="str">
        <v>抖音渠道</v>
      </c>
      <c r="G117" s="34" t="str">
        <v>抖音矩阵号</v>
      </c>
      <c r="I117" s="61" t="str">
        <v>否</v>
      </c>
      <c r="J117" s="61" t="str">
        <v>否</v>
      </c>
      <c r="K117" s="61" t="str">
        <v>否</v>
      </c>
      <c r="L117">
        <f>K117</f>
      </c>
      <c r="M117" t="str">
        <v>品类内容推广</v>
      </c>
      <c r="N117" t="str">
        <v>抖音矩阵号渠道推广</v>
      </c>
      <c r="O117" s="34" t="str">
        <v>营销费用</v>
      </c>
      <c r="P117" s="34" t="str">
        <v>达人推广费</v>
      </c>
      <c r="Q117" s="34" t="str">
        <v>内容推广费</v>
      </c>
    </row>
    <row r="118">
      <c r="A118" s="200" t="str">
        <v>抖音官号DOU+</v>
      </c>
      <c r="B118" s="201">
        <f>VLOOKUP(A118,'营销计划（活动-更新）'!$B$2:$D$213,1,FALSE)</f>
      </c>
      <c r="C118" s="201" t="str">
        <v>YXHD117</v>
      </c>
      <c r="D118" s="61" t="str">
        <v>是</v>
      </c>
      <c r="E118" s="34" t="str">
        <v>抖音花西子官方旗舰店</v>
      </c>
      <c r="F118" s="34" t="str">
        <v>抖音渠道</v>
      </c>
      <c r="G118" s="34" t="str">
        <v>抖音矩阵号</v>
      </c>
      <c r="I118" s="61" t="str">
        <v>否</v>
      </c>
      <c r="J118" s="61" t="str">
        <v>否</v>
      </c>
      <c r="K118" s="61" t="str">
        <v>否</v>
      </c>
      <c r="L118">
        <f>K118</f>
      </c>
      <c r="M118" t="str">
        <v>直播电商推广</v>
      </c>
      <c r="N118" t="str">
        <v>抖音电商渠道推广</v>
      </c>
      <c r="O118" s="34" t="str">
        <v>营销费用</v>
      </c>
      <c r="P118" s="34" t="str">
        <v>达人推广费</v>
      </c>
      <c r="Q118" s="34" t="str">
        <v>内容推广费</v>
      </c>
    </row>
    <row r="119">
      <c r="A119" s="200" t="str">
        <v>矩阵号佣金</v>
      </c>
      <c r="B119" s="201">
        <f>VLOOKUP(A119,'营销计划（活动-更新）'!$B$2:$D$213,1,FALSE)</f>
      </c>
      <c r="C119" s="201" t="str">
        <v>YXHD118</v>
      </c>
      <c r="D119" s="61" t="str">
        <v>是</v>
      </c>
      <c r="E119" s="34" t="str">
        <v>抖音花西子官方旗舰店</v>
      </c>
      <c r="F119" s="34" t="str">
        <v>抖音渠道</v>
      </c>
      <c r="G119" s="34" t="str">
        <v>抖音矩阵号</v>
      </c>
      <c r="I119" s="61" t="str">
        <v>是</v>
      </c>
      <c r="J119" s="61" t="str">
        <v>是</v>
      </c>
      <c r="K119" s="61" t="str">
        <v>否</v>
      </c>
      <c r="L119">
        <f>K119</f>
      </c>
      <c r="M119" t="str">
        <v>直播电商推广</v>
      </c>
      <c r="N119" t="str">
        <v>抖音矩阵号直播佣金服务费</v>
      </c>
      <c r="O119" s="34" t="str">
        <v>营销费用</v>
      </c>
      <c r="P119" s="34" t="str">
        <v>渠道推广费</v>
      </c>
      <c r="Q119" s="34" t="str">
        <v>代运营佣金</v>
      </c>
    </row>
    <row r="120">
      <c r="A120" s="210" t="str">
        <v>共创直播间服务费-唯品会</v>
      </c>
      <c r="B120" s="201">
        <f>VLOOKUP(A120,'营销计划（活动-更新）'!$B$2:$D$213,1,FALSE)</f>
      </c>
      <c r="C120" s="208" t="str">
        <v>YXHD119</v>
      </c>
      <c r="D120" s="185" t="str">
        <v>是</v>
      </c>
      <c r="E120" s="185"/>
      <c r="F120" s="185"/>
      <c r="G120" s="185"/>
      <c r="H120" s="185"/>
      <c r="I120" s="185" t="str">
        <v>否</v>
      </c>
      <c r="J120" s="185" t="str">
        <v>否</v>
      </c>
      <c r="K120" s="185" t="str">
        <v>否</v>
      </c>
      <c r="L120" s="185">
        <f>K120</f>
      </c>
      <c r="M120" s="185" t="str">
        <v>平台电商推广</v>
      </c>
      <c r="N120" s="185" t="str">
        <v>唯品渠道推广（共创）</v>
      </c>
      <c r="O120" s="209" t="str">
        <v>营销费用</v>
      </c>
      <c r="P120" s="209" t="str">
        <v>渠道推广费</v>
      </c>
      <c r="Q120" s="209" t="str">
        <v>代运营服务费</v>
      </c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>
      <c r="A121" s="210" t="str">
        <v>共创直播间服务费-京东</v>
      </c>
      <c r="B121" s="201">
        <f>VLOOKUP(A121,'营销计划（活动-更新）'!$B$2:$D$213,1,FALSE)</f>
      </c>
      <c r="C121" s="208" t="str">
        <v>YXHD120</v>
      </c>
      <c r="D121" s="185" t="str">
        <v>是</v>
      </c>
      <c r="E121" s="185"/>
      <c r="F121" s="185"/>
      <c r="G121" s="185"/>
      <c r="H121" s="185"/>
      <c r="I121" s="185" t="str">
        <v>否</v>
      </c>
      <c r="J121" s="185" t="str">
        <v>否</v>
      </c>
      <c r="K121" s="185" t="str">
        <v>否</v>
      </c>
      <c r="L121" s="185">
        <f>K121</f>
      </c>
      <c r="M121" s="185" t="str">
        <v>平台电商推广</v>
      </c>
      <c r="N121" s="185" t="str">
        <v>京东渠道推广（共创）</v>
      </c>
      <c r="O121" s="209" t="str">
        <v>营销费用</v>
      </c>
      <c r="P121" s="209" t="str">
        <v>渠道推广费</v>
      </c>
      <c r="Q121" s="209" t="str">
        <v>代运营服务费</v>
      </c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>
      <c r="A122" s="210" t="str">
        <v>共创直播间佣金-唯品会</v>
      </c>
      <c r="B122" s="201">
        <f>VLOOKUP(A122,'营销计划（活动-更新）'!$B$2:$D$213,1,FALSE)</f>
      </c>
      <c r="C122" s="208" t="str">
        <v>YXHD121</v>
      </c>
      <c r="D122" s="185" t="str">
        <v>是</v>
      </c>
      <c r="E122" s="185"/>
      <c r="F122" s="185"/>
      <c r="G122" s="185"/>
      <c r="H122" s="185"/>
      <c r="I122" s="185" t="str">
        <v>是</v>
      </c>
      <c r="J122" s="185" t="str">
        <v>是</v>
      </c>
      <c r="K122" s="185" t="str">
        <v>否</v>
      </c>
      <c r="L122" s="185">
        <f>K122</f>
      </c>
      <c r="M122" s="185" t="str">
        <v>平台电商推广</v>
      </c>
      <c r="N122" s="185" t="str">
        <v>唯品渠道推广（共创）</v>
      </c>
      <c r="O122" s="209" t="str">
        <v>营销费用</v>
      </c>
      <c r="P122" s="209" t="str">
        <v>渠道推广费</v>
      </c>
      <c r="Q122" s="209" t="str">
        <v>代运营佣金</v>
      </c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>
      <c r="A123" s="210" t="str">
        <v>共创直播间佣金-京东</v>
      </c>
      <c r="B123" s="201">
        <f>VLOOKUP(A123,'营销计划（活动-更新）'!$B$2:$D$213,1,FALSE)</f>
      </c>
      <c r="C123" s="208" t="str">
        <v>YXHD122</v>
      </c>
      <c r="D123" s="185" t="str">
        <v>是</v>
      </c>
      <c r="E123" s="185"/>
      <c r="F123" s="185"/>
      <c r="G123" s="185"/>
      <c r="H123" s="185"/>
      <c r="I123" s="185" t="str">
        <v>是</v>
      </c>
      <c r="J123" s="185" t="str">
        <v>是</v>
      </c>
      <c r="K123" s="185" t="str">
        <v>否</v>
      </c>
      <c r="L123" s="185">
        <f>K123</f>
      </c>
      <c r="M123" s="185" t="str">
        <v>平台电商推广</v>
      </c>
      <c r="N123" s="185" t="str">
        <v>京东渠道推广（共创）</v>
      </c>
      <c r="O123" s="209" t="str">
        <v>营销费用</v>
      </c>
      <c r="P123" s="209" t="str">
        <v>渠道推广费</v>
      </c>
      <c r="Q123" s="209" t="str">
        <v>代运营佣金</v>
      </c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>
      <c r="A124" s="203" t="str">
        <v>店铺服务费</v>
      </c>
      <c r="B124" s="201">
        <f>VLOOKUP(A124,'营销计划（活动-更新）'!$B$2:$D$213,1,FALSE)</f>
      </c>
      <c r="C124" s="207" t="str">
        <v>YXHD123</v>
      </c>
      <c r="D124" s="195" t="str">
        <v>是</v>
      </c>
      <c r="E124" s="195"/>
      <c r="F124" s="195"/>
      <c r="G124" s="195"/>
      <c r="H124" s="195"/>
      <c r="I124" s="195" t="str">
        <v>否</v>
      </c>
      <c r="J124" s="195" t="str">
        <v>否</v>
      </c>
      <c r="K124" s="195" t="str">
        <v>否</v>
      </c>
      <c r="L124" s="195">
        <f>K124</f>
      </c>
      <c r="M124" s="195" t="str">
        <v>平台扣点</v>
      </c>
      <c r="N124" s="195" t="str">
        <v>平台服务费</v>
      </c>
      <c r="O124" s="203" t="str">
        <v>营销费用</v>
      </c>
      <c r="P124" s="203" t="str">
        <v>店铺运营费</v>
      </c>
      <c r="Q124" s="203" t="str">
        <v>店铺服务费</v>
      </c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>
      <c r="A125" s="203" t="str">
        <v>快递拦截费</v>
      </c>
      <c r="B125" s="201">
        <f>VLOOKUP(A125,'营销计划（活动-更新）'!$B$2:$D$213,1,FALSE)</f>
      </c>
      <c r="C125" s="207" t="str">
        <v>YXHD124</v>
      </c>
      <c r="D125" s="195" t="str">
        <v>是</v>
      </c>
      <c r="E125" s="195"/>
      <c r="F125" s="195"/>
      <c r="G125" s="195"/>
      <c r="H125" s="195"/>
      <c r="I125" s="195" t="str">
        <v>否</v>
      </c>
      <c r="J125" s="195" t="str">
        <v>否</v>
      </c>
      <c r="K125" s="195" t="str">
        <v>否</v>
      </c>
      <c r="L125" s="195">
        <f>K125</f>
      </c>
      <c r="M125" s="195" t="str">
        <v>平台扣点</v>
      </c>
      <c r="N125" s="195" t="str">
        <v>平台服务费</v>
      </c>
      <c r="O125" s="203" t="str">
        <v>营销费用</v>
      </c>
      <c r="P125" s="203" t="str">
        <v>店铺运营费</v>
      </c>
      <c r="Q125" s="203" t="str">
        <v>快递拦截费</v>
      </c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>
      <c r="A126" s="203" t="str">
        <v>店铺保险费</v>
      </c>
      <c r="B126" s="201">
        <f>VLOOKUP(A126,'营销计划（活动-更新）'!$B$2:$D$213,1,FALSE)</f>
      </c>
      <c r="C126" s="207" t="str">
        <v>YXHD125</v>
      </c>
      <c r="D126" s="195" t="str">
        <v>是</v>
      </c>
      <c r="E126" s="195"/>
      <c r="F126" s="195"/>
      <c r="G126" s="195"/>
      <c r="H126" s="195"/>
      <c r="I126" s="195" t="str">
        <v>否</v>
      </c>
      <c r="J126" s="195" t="str">
        <v>否</v>
      </c>
      <c r="K126" s="195" t="str">
        <v>否</v>
      </c>
      <c r="L126" s="195">
        <f>K126</f>
      </c>
      <c r="M126" s="195" t="str">
        <v>平台扣点</v>
      </c>
      <c r="N126" s="195" t="str">
        <v>平台服务费</v>
      </c>
      <c r="O126" s="203" t="str">
        <v>营销费用</v>
      </c>
      <c r="P126" s="203" t="str">
        <v>店铺运营费</v>
      </c>
      <c r="Q126" s="203" t="str">
        <v>代收保险费</v>
      </c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>
      <c r="A127" s="203" t="str">
        <v>支付服务费</v>
      </c>
      <c r="B127" s="201">
        <f>VLOOKUP(A127,'营销计划（活动-更新）'!$B$2:$D$213,1,FALSE)</f>
      </c>
      <c r="C127" s="207" t="str">
        <v>YXHD126</v>
      </c>
      <c r="D127" s="195" t="str">
        <v>是</v>
      </c>
      <c r="E127" s="195"/>
      <c r="F127" s="195"/>
      <c r="G127" s="195"/>
      <c r="H127" s="195"/>
      <c r="I127" s="195" t="str">
        <v>否</v>
      </c>
      <c r="J127" s="195" t="str">
        <v>否</v>
      </c>
      <c r="K127" s="195" t="str">
        <v>否</v>
      </c>
      <c r="L127" s="195">
        <f>K127</f>
      </c>
      <c r="M127" s="195" t="str">
        <v>平台扣点</v>
      </c>
      <c r="N127" s="195" t="str">
        <v>平台服务费</v>
      </c>
      <c r="O127" s="203" t="str">
        <v>营销费用</v>
      </c>
      <c r="P127" s="203" t="str">
        <v>店铺运营费</v>
      </c>
      <c r="Q127" s="203" t="str">
        <v>支付服务费</v>
      </c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>
      <c r="A128" s="203" t="str">
        <v>平台技术服务费</v>
      </c>
      <c r="B128" s="201">
        <f>VLOOKUP(A128,'营销计划（活动-更新）'!$B$2:$D$213,1,FALSE)</f>
      </c>
      <c r="C128" s="207" t="str">
        <v>YXHD127</v>
      </c>
      <c r="D128" s="195" t="str">
        <v>是</v>
      </c>
      <c r="E128" s="195"/>
      <c r="F128" s="195"/>
      <c r="G128" s="195"/>
      <c r="H128" s="195"/>
      <c r="I128" s="195" t="str">
        <v>否</v>
      </c>
      <c r="J128" s="195" t="str">
        <v>否</v>
      </c>
      <c r="K128" s="195" t="str">
        <v>否</v>
      </c>
      <c r="L128" s="195">
        <f>K128</f>
      </c>
      <c r="M128" s="195" t="str">
        <v>平台扣点</v>
      </c>
      <c r="N128" s="195" t="str">
        <v>平台服务费</v>
      </c>
      <c r="O128" s="203" t="str">
        <v>营销费用</v>
      </c>
      <c r="P128" s="203" t="str">
        <v>店铺运营费</v>
      </c>
      <c r="Q128" s="203" t="str">
        <v>平台技术服务费</v>
      </c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>
      <c r="A129" s="203" t="str">
        <v>支付手续费</v>
      </c>
      <c r="B129" s="201">
        <f>VLOOKUP(A129,'营销计划（活动-更新）'!$B$2:$D$213,1,FALSE)</f>
      </c>
      <c r="C129" s="207" t="str">
        <v>YXHD128</v>
      </c>
      <c r="D129" s="195" t="str">
        <v>是</v>
      </c>
      <c r="E129" s="195"/>
      <c r="F129" s="195"/>
      <c r="G129" s="195"/>
      <c r="H129" s="195"/>
      <c r="I129" s="195" t="str">
        <v>否</v>
      </c>
      <c r="J129" s="195" t="str">
        <v>否</v>
      </c>
      <c r="K129" s="195" t="str">
        <v>否</v>
      </c>
      <c r="L129" s="195">
        <f>K129</f>
      </c>
      <c r="M129" s="195" t="str">
        <v>平台扣点</v>
      </c>
      <c r="N129" s="195" t="str">
        <v>平台服务费</v>
      </c>
      <c r="O129" s="203" t="str">
        <v>营销费用</v>
      </c>
      <c r="P129" s="203" t="str">
        <v>店铺运营费</v>
      </c>
      <c r="Q129" s="203" t="str">
        <v>支付手续费</v>
      </c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>
      <c r="A130" s="203" t="str">
        <v>软件费用</v>
      </c>
      <c r="B130" s="201">
        <f>VLOOKUP(A130,'营销计划（活动-更新）'!$B$2:$D$213,1,FALSE)</f>
      </c>
      <c r="C130" s="207" t="str">
        <v>YXHD129</v>
      </c>
      <c r="D130" s="195" t="str">
        <v>是</v>
      </c>
      <c r="E130" s="195"/>
      <c r="F130" s="195"/>
      <c r="G130" s="195"/>
      <c r="H130" s="195"/>
      <c r="I130" s="195" t="str">
        <v>否</v>
      </c>
      <c r="J130" s="195" t="str">
        <v>否</v>
      </c>
      <c r="K130" s="195" t="str">
        <v>否</v>
      </c>
      <c r="L130" s="195">
        <f>K130</f>
      </c>
      <c r="M130" s="195" t="str">
        <v>平台扣点</v>
      </c>
      <c r="N130" s="195" t="str">
        <v>软件服务费</v>
      </c>
      <c r="O130" s="203" t="str">
        <v>营销费用</v>
      </c>
      <c r="P130" s="203" t="str">
        <v>店铺运营费</v>
      </c>
      <c r="Q130" s="203" t="str">
        <v>平台软件费</v>
      </c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>
      <c r="A131" s="200" t="str">
        <v>抖音视频创意-矩阵号-场地租赁</v>
      </c>
      <c r="B131" s="201">
        <f>VLOOKUP(A131,'营销计划（活动-更新）'!$B$2:$D$213,1,FALSE)</f>
      </c>
      <c r="C131" s="201" t="str">
        <v>YXHD130</v>
      </c>
      <c r="D131" s="61" t="str">
        <v>是</v>
      </c>
      <c r="E131" s="34" t="str">
        <v>抖音花西子官方旗舰店</v>
      </c>
      <c r="F131" s="34" t="str">
        <v>抖音渠道</v>
      </c>
      <c r="G131" s="34" t="str">
        <v>抖音矩阵号</v>
      </c>
      <c r="I131" s="61" t="str">
        <v>否</v>
      </c>
      <c r="J131" s="61" t="str">
        <v>否</v>
      </c>
      <c r="K131" s="61" t="str">
        <v>是</v>
      </c>
      <c r="L131">
        <f>K131</f>
      </c>
      <c r="M131" t="str">
        <v>品类内容推广</v>
      </c>
      <c r="N131" t="str">
        <v>抖音视频创意-矩阵号</v>
      </c>
      <c r="O131" s="34" t="str">
        <v>营销费用</v>
      </c>
      <c r="P131" s="34" t="str">
        <v>其他费用</v>
      </c>
      <c r="Q131" s="34" t="str">
        <v>场地租赁费</v>
      </c>
    </row>
    <row r="132">
      <c r="A132" s="200" t="str">
        <v>抖音视频创意-店铺-场地租赁</v>
      </c>
      <c r="B132" s="201">
        <f>VLOOKUP(A132,'营销计划（活动-更新）'!$B$2:$D$213,1,FALSE)</f>
      </c>
      <c r="C132" s="201" t="str">
        <v>YXHD131</v>
      </c>
      <c r="D132" s="61" t="str">
        <v>是</v>
      </c>
      <c r="E132" s="34" t="str">
        <v>抖音花西子官方旗舰店</v>
      </c>
      <c r="F132" s="34" t="str">
        <v>抖音渠道</v>
      </c>
      <c r="G132" s="34" t="str">
        <v>抖音自播</v>
      </c>
      <c r="I132" s="61" t="str">
        <v>否</v>
      </c>
      <c r="J132" s="61" t="str">
        <v>否</v>
      </c>
      <c r="K132" s="61" t="str">
        <v>是</v>
      </c>
      <c r="L132">
        <f>K132</f>
      </c>
      <c r="M132" t="str">
        <v>品类内容推广</v>
      </c>
      <c r="N132" t="str">
        <v>抖音视频创意-店铺</v>
      </c>
      <c r="O132" s="34" t="str">
        <v>营销费用</v>
      </c>
      <c r="P132" s="34" t="str">
        <v>其他费用</v>
      </c>
      <c r="Q132" s="34" t="str">
        <v>场地租赁费</v>
      </c>
    </row>
    <row r="133">
      <c r="A133" s="200" t="str">
        <v>抖音视频创意-矩阵号-舞台场地搭建</v>
      </c>
      <c r="B133" s="201">
        <f>VLOOKUP(A133,'营销计划（活动-更新）'!$B$2:$D$213,1,FALSE)</f>
      </c>
      <c r="C133" s="201" t="str">
        <v>YXHD132</v>
      </c>
      <c r="D133" s="61" t="str">
        <v>是</v>
      </c>
      <c r="E133" s="34" t="str">
        <v>抖音花西子官方旗舰店</v>
      </c>
      <c r="F133" s="34" t="str">
        <v>抖音渠道</v>
      </c>
      <c r="G133" s="34" t="str">
        <v>抖音矩阵号</v>
      </c>
      <c r="I133" s="61" t="str">
        <v>否</v>
      </c>
      <c r="J133" s="61" t="str">
        <v>否</v>
      </c>
      <c r="K133" s="61" t="str">
        <v>是</v>
      </c>
      <c r="L133">
        <f>K133</f>
      </c>
      <c r="M133" t="str">
        <v>品类内容推广</v>
      </c>
      <c r="N133" t="str">
        <v>抖音视频创意-矩阵号</v>
      </c>
      <c r="O133" s="34" t="str">
        <v>营销费用</v>
      </c>
      <c r="P133" s="34" t="str">
        <v>其他费用</v>
      </c>
      <c r="Q133" s="34" t="str">
        <v>舞台场地搭建费</v>
      </c>
    </row>
    <row r="134">
      <c r="A134" s="200" t="str">
        <v>抖音视频创意-店铺-舞台场地搭建</v>
      </c>
      <c r="B134" s="201">
        <f>VLOOKUP(A134,'营销计划（活动-更新）'!$B$2:$D$213,1,FALSE)</f>
      </c>
      <c r="C134" s="201" t="str">
        <v>YXHD133</v>
      </c>
      <c r="D134" s="61" t="str">
        <v>是</v>
      </c>
      <c r="E134" s="34" t="str">
        <v>抖音花西子官方旗舰店</v>
      </c>
      <c r="F134" s="34" t="str">
        <v>抖音渠道</v>
      </c>
      <c r="G134" s="34" t="str">
        <v>抖音自播</v>
      </c>
      <c r="I134" s="61" t="str">
        <v>否</v>
      </c>
      <c r="J134" s="61" t="str">
        <v>否</v>
      </c>
      <c r="K134" s="61" t="str">
        <v>是</v>
      </c>
      <c r="L134">
        <f>K134</f>
      </c>
      <c r="M134" t="str">
        <v>品类内容推广</v>
      </c>
      <c r="N134" t="str">
        <v>抖音视频创意-店铺</v>
      </c>
      <c r="O134" s="34" t="str">
        <v>营销费用</v>
      </c>
      <c r="P134" s="34" t="str">
        <v>其他费用</v>
      </c>
      <c r="Q134" s="34" t="str">
        <v>舞台场地搭建费</v>
      </c>
    </row>
    <row r="135">
      <c r="A135" s="200" t="str">
        <v>抖音视频创意-矩阵号-设备租赁</v>
      </c>
      <c r="B135" s="201">
        <f>VLOOKUP(A135,'营销计划（活动-更新）'!$B$2:$D$213,1,FALSE)</f>
      </c>
      <c r="C135" s="201" t="str">
        <v>YXHD134</v>
      </c>
      <c r="D135" s="61" t="str">
        <v>是</v>
      </c>
      <c r="E135" s="34" t="str">
        <v>抖音花西子官方旗舰店</v>
      </c>
      <c r="F135" s="34" t="str">
        <v>抖音渠道</v>
      </c>
      <c r="G135" s="34" t="str">
        <v>抖音矩阵号</v>
      </c>
      <c r="I135" s="61" t="str">
        <v>否</v>
      </c>
      <c r="J135" s="61" t="str">
        <v>否</v>
      </c>
      <c r="K135" s="61" t="str">
        <v>是</v>
      </c>
      <c r="L135">
        <f>K135</f>
      </c>
      <c r="M135" t="str">
        <v>品类内容推广</v>
      </c>
      <c r="N135" t="str">
        <v>抖音视频创意-矩阵号</v>
      </c>
      <c r="O135" s="34" t="str">
        <v>营销费用</v>
      </c>
      <c r="P135" s="34" t="str">
        <v>其他费用</v>
      </c>
      <c r="Q135" s="34" t="str">
        <v>设备租赁费</v>
      </c>
    </row>
    <row r="136">
      <c r="A136" s="200" t="str">
        <v>抖音视频创意-店铺-设备租赁</v>
      </c>
      <c r="B136" s="201">
        <f>VLOOKUP(A136,'营销计划（活动-更新）'!$B$2:$D$213,1,FALSE)</f>
      </c>
      <c r="C136" s="201" t="str">
        <v>YXHD135</v>
      </c>
      <c r="D136" s="61" t="str">
        <v>是</v>
      </c>
      <c r="E136" s="34" t="str">
        <v>抖音花西子官方旗舰店</v>
      </c>
      <c r="F136" s="34" t="str">
        <v>抖音渠道</v>
      </c>
      <c r="G136" s="34" t="str">
        <v>抖音自播</v>
      </c>
      <c r="I136" s="61" t="str">
        <v>否</v>
      </c>
      <c r="J136" s="61" t="str">
        <v>否</v>
      </c>
      <c r="K136" s="61" t="str">
        <v>是</v>
      </c>
      <c r="L136">
        <f>K136</f>
      </c>
      <c r="M136" t="str">
        <v>品类内容推广</v>
      </c>
      <c r="N136" t="str">
        <v>抖音视频创意-店铺</v>
      </c>
      <c r="O136" s="34" t="str">
        <v>营销费用</v>
      </c>
      <c r="P136" s="34" t="str">
        <v>其他费用</v>
      </c>
      <c r="Q136" s="34" t="str">
        <v>设备租赁费</v>
      </c>
    </row>
    <row r="137">
      <c r="A137" s="200" t="str">
        <v>明星影综营销号</v>
      </c>
      <c r="B137" s="201">
        <f>VLOOKUP(A137,'营销计划（活动-更新）'!$B$2:$D$213,1,FALSE)</f>
      </c>
      <c r="C137" s="201" t="str">
        <v>YXHD136</v>
      </c>
      <c r="D137" s="61" t="str">
        <v>否</v>
      </c>
      <c r="I137" s="61" t="str">
        <v>否</v>
      </c>
      <c r="J137" s="61" t="str">
        <v>否</v>
      </c>
      <c r="K137" s="61" t="str">
        <v>否</v>
      </c>
      <c r="L137">
        <f>K137</f>
      </c>
      <c r="M137" t="str">
        <v>IP明星内容合作</v>
      </c>
      <c r="N137" t="str">
        <v>品牌IP及娱乐营销</v>
      </c>
      <c r="O137" s="34" t="str">
        <v>营销费用</v>
      </c>
      <c r="P137" s="34" t="str">
        <v>品牌宣传费</v>
      </c>
      <c r="Q137" s="34" t="str">
        <v>营销宣传费</v>
      </c>
    </row>
    <row r="138">
      <c r="A138" s="200" t="str">
        <v>影视综艺植入</v>
      </c>
      <c r="B138" s="201">
        <f>VLOOKUP(A138,'营销计划（活动-更新）'!$B$2:$D$213,1,FALSE)</f>
      </c>
      <c r="C138" s="201" t="str">
        <v>YXHD137</v>
      </c>
      <c r="D138" s="61" t="str">
        <v>否</v>
      </c>
      <c r="I138" s="61" t="str">
        <v>否</v>
      </c>
      <c r="J138" s="61" t="str">
        <v>否</v>
      </c>
      <c r="K138" s="61" t="str">
        <v>否</v>
      </c>
      <c r="L138">
        <f>K138</f>
      </c>
      <c r="M138" t="str">
        <v>IP明星内容合作</v>
      </c>
      <c r="N138" t="str">
        <v>品牌IP及娱乐营销</v>
      </c>
      <c r="O138" s="34" t="str">
        <v>营销费用</v>
      </c>
      <c r="P138" s="34" t="str">
        <v>品牌宣传费</v>
      </c>
      <c r="Q138" s="34" t="str">
        <v>品牌植入费</v>
      </c>
    </row>
    <row r="139">
      <c r="A139" s="200" t="str">
        <v>明星代言单次合作</v>
      </c>
      <c r="B139" s="201">
        <f>VLOOKUP(A139,'营销计划（活动-更新）'!$B$2:$D$213,1,FALSE)</f>
      </c>
      <c r="C139" s="201" t="str">
        <v>YXHD138</v>
      </c>
      <c r="D139" s="61" t="str">
        <v>否</v>
      </c>
      <c r="I139" s="61" t="str">
        <v>否</v>
      </c>
      <c r="J139" s="61" t="str">
        <v>否</v>
      </c>
      <c r="K139" s="61" t="str">
        <v>否</v>
      </c>
      <c r="L139">
        <f>K139</f>
      </c>
      <c r="M139" t="str">
        <v>IP明星内容合作</v>
      </c>
      <c r="N139" t="str">
        <v>明星代言单次</v>
      </c>
      <c r="O139" s="34" t="str">
        <v>营销费用</v>
      </c>
      <c r="P139" s="34" t="str">
        <v>品牌宣传费</v>
      </c>
      <c r="Q139" s="34" t="str">
        <v>明星合作费</v>
      </c>
    </row>
    <row r="140">
      <c r="A140" s="200" t="str">
        <v>明星代言合作</v>
      </c>
      <c r="B140" s="201">
        <f>VLOOKUP(A140,'营销计划（活动-更新）'!$B$2:$D$213,1,FALSE)</f>
      </c>
      <c r="C140" s="201" t="str">
        <v>YXHD139</v>
      </c>
      <c r="D140" s="61" t="str">
        <v>否</v>
      </c>
      <c r="I140" s="61" t="str">
        <v>否</v>
      </c>
      <c r="J140" s="61" t="str">
        <v>否</v>
      </c>
      <c r="K140" s="61" t="str">
        <v>否</v>
      </c>
      <c r="L140">
        <f>K140</f>
      </c>
      <c r="M140" t="str">
        <v>IP明星内容合作</v>
      </c>
      <c r="N140" t="str">
        <v>明星代言摊销</v>
      </c>
      <c r="O140" s="34" t="str">
        <v>营销费用</v>
      </c>
      <c r="P140" s="34" t="str">
        <v>品牌宣传费</v>
      </c>
      <c r="Q140" s="34" t="str">
        <v>明星合作费</v>
      </c>
    </row>
    <row r="141">
      <c r="A141" s="34" t="str">
        <v>IP合作</v>
      </c>
      <c r="B141" s="201">
        <f>VLOOKUP(A141,'营销计划（活动-更新）'!$B$2:$D$213,1,FALSE)</f>
      </c>
      <c r="C141" s="201" t="str">
        <v>YXHD140</v>
      </c>
      <c r="D141" s="61" t="str">
        <v>否</v>
      </c>
      <c r="I141" s="61" t="str">
        <v>否</v>
      </c>
      <c r="J141" s="61" t="str">
        <v>否</v>
      </c>
      <c r="K141" s="61" t="str">
        <v>否</v>
      </c>
      <c r="L141">
        <f>K141</f>
      </c>
      <c r="M141" t="str">
        <v>IP明星内容合作</v>
      </c>
      <c r="N141" t="str">
        <v>品牌IP及娱乐营销</v>
      </c>
      <c r="O141" s="34" t="str">
        <v>营销费用</v>
      </c>
      <c r="P141" s="34" t="str">
        <v>品牌宣传费</v>
      </c>
      <c r="Q141" s="34" t="str">
        <v>创意策划服务费</v>
      </c>
    </row>
    <row r="142">
      <c r="A142" s="200" t="str">
        <v>明星综艺线下活动</v>
      </c>
      <c r="B142" s="201">
        <f>VLOOKUP(A142,'营销计划（活动-更新）'!$B$2:$D$213,1,FALSE)</f>
      </c>
      <c r="C142" s="201" t="str">
        <v>YXHD141</v>
      </c>
      <c r="D142" s="61" t="str">
        <v>否</v>
      </c>
      <c r="I142" s="61" t="str">
        <v>否</v>
      </c>
      <c r="J142" s="61" t="str">
        <v>否</v>
      </c>
      <c r="K142" s="61" t="str">
        <v>否</v>
      </c>
      <c r="L142">
        <f>K142</f>
      </c>
      <c r="M142" t="str">
        <v>IP明星内容合作</v>
      </c>
      <c r="N142" t="str">
        <v>明星代言单次</v>
      </c>
      <c r="O142" s="34" t="str">
        <v>营销费用</v>
      </c>
      <c r="P142" s="34" t="str">
        <v>品牌宣传费</v>
      </c>
      <c r="Q142" s="34" t="str">
        <v>创意策划服务费</v>
      </c>
    </row>
    <row r="143">
      <c r="A143" s="200" t="str">
        <v>达人合作</v>
      </c>
      <c r="B143" s="201">
        <f>VLOOKUP(A143,'营销计划（活动-更新）'!$B$2:$D$213,1,FALSE)</f>
      </c>
      <c r="C143" s="201" t="str">
        <v>YXHD142</v>
      </c>
      <c r="D143" s="61" t="str">
        <v>否</v>
      </c>
      <c r="I143" s="61" t="str">
        <v>否</v>
      </c>
      <c r="J143" s="61" t="str">
        <v>否</v>
      </c>
      <c r="K143" s="61" t="str">
        <v>否</v>
      </c>
      <c r="L143">
        <f>K143</f>
      </c>
      <c r="M143" t="str">
        <v>市场达人推广</v>
      </c>
      <c r="N143" t="str">
        <v>达人推广</v>
      </c>
      <c r="O143" s="34" t="str">
        <v>营销费用</v>
      </c>
      <c r="P143" s="34" t="str">
        <v>达人推广费</v>
      </c>
      <c r="Q143" s="34" t="str">
        <v>达人合作费</v>
      </c>
    </row>
    <row r="144">
      <c r="A144" s="200" t="str">
        <v>虚拟IP</v>
      </c>
      <c r="B144" s="201">
        <f>VLOOKUP(A144,'营销计划（活动-更新）'!$B$2:$D$213,1,FALSE)</f>
      </c>
      <c r="C144" s="201" t="str">
        <v>YXHD143</v>
      </c>
      <c r="D144" s="61" t="str">
        <v>否</v>
      </c>
      <c r="I144" s="61" t="str">
        <v>否</v>
      </c>
      <c r="J144" s="61" t="str">
        <v>否</v>
      </c>
      <c r="K144" s="61" t="str">
        <v>否</v>
      </c>
      <c r="L144">
        <f>K144</f>
      </c>
      <c r="M144" t="str">
        <v>品类内容推广</v>
      </c>
      <c r="N144" t="str" xml:space="preserve">
        <v>虚拟IP &amp;直播间视觉设计 </v>
      </c>
      <c r="O144" s="34" t="str">
        <v>营销费用</v>
      </c>
      <c r="P144" s="34" t="str">
        <v>内容制作费</v>
      </c>
      <c r="Q144" s="34" t="str">
        <v>视频制作费</v>
      </c>
    </row>
    <row r="145">
      <c r="A145" s="34" t="str">
        <v>直播间视觉设计费</v>
      </c>
      <c r="B145" s="201">
        <f>VLOOKUP(A145,'营销计划（活动-更新）'!$B$2:$D$213,1,FALSE)</f>
      </c>
      <c r="C145" s="201" t="str">
        <v>YXHD144</v>
      </c>
      <c r="D145" s="61" t="str">
        <v>否</v>
      </c>
      <c r="I145" s="61" t="str">
        <v>否</v>
      </c>
      <c r="J145" s="61" t="str">
        <v>否</v>
      </c>
      <c r="K145" s="61" t="str">
        <v>否</v>
      </c>
      <c r="L145">
        <f>K145</f>
      </c>
      <c r="M145" t="str">
        <v>品类内容推广</v>
      </c>
      <c r="N145" t="str" xml:space="preserve">
        <v>虚拟IP &amp;直播间视觉设计 </v>
      </c>
      <c r="O145" s="34" t="str">
        <v>营销费用</v>
      </c>
      <c r="P145" s="34" t="str">
        <v>内容制作费</v>
      </c>
      <c r="Q145" s="34" t="str">
        <v>视觉设计费</v>
      </c>
    </row>
    <row r="146">
      <c r="A146" s="200" t="str">
        <v>达人佣金</v>
      </c>
      <c r="B146" s="201">
        <f>VLOOKUP(A146,'营销计划（活动-更新）'!$B$2:$D$213,1,FALSE)</f>
      </c>
      <c r="C146" s="201" t="str">
        <v>YXHD145</v>
      </c>
      <c r="D146" s="61" t="str">
        <v>否</v>
      </c>
      <c r="I146" s="61" t="str">
        <v>否</v>
      </c>
      <c r="J146" s="61" t="str">
        <v>否</v>
      </c>
      <c r="K146" s="61" t="str">
        <v>否</v>
      </c>
      <c r="L146">
        <f>K146</f>
      </c>
      <c r="M146" t="str">
        <v>市场达人推广</v>
      </c>
      <c r="N146" t="str">
        <v>达人推广</v>
      </c>
      <c r="O146" s="34" t="str">
        <v>营销费用</v>
      </c>
      <c r="P146" s="34" t="str">
        <v>达人推广费</v>
      </c>
      <c r="Q146" s="34" t="str">
        <v>达人推广佣金</v>
      </c>
    </row>
    <row r="147">
      <c r="A147" s="200" t="str">
        <v>明星拍摄</v>
      </c>
      <c r="B147" s="201">
        <f>VLOOKUP(A147,'营销计划（活动-更新）'!$B$2:$D$213,1,FALSE)</f>
      </c>
      <c r="C147" s="201" t="str">
        <v>YXHD146</v>
      </c>
      <c r="D147" s="61" t="str">
        <v>否</v>
      </c>
      <c r="I147" s="61" t="str">
        <v>否</v>
      </c>
      <c r="J147" s="61" t="str">
        <v>否</v>
      </c>
      <c r="K147" s="61" t="str">
        <v>是</v>
      </c>
      <c r="L147">
        <f>K147</f>
      </c>
      <c r="M147" t="str">
        <v>IP明星内容合作</v>
      </c>
      <c r="N147" t="str">
        <v>明星拍摄</v>
      </c>
      <c r="O147" s="34" t="str">
        <v>营销费用</v>
      </c>
      <c r="P147" s="34" t="str">
        <v>其他费用</v>
      </c>
      <c r="Q147" s="34" t="str">
        <v>场地租赁费</v>
      </c>
    </row>
    <row r="148">
      <c r="A148" s="34" t="str">
        <v>明星妆发造</v>
      </c>
      <c r="B148" s="201">
        <f>VLOOKUP(A148,'营销计划（活动-更新）'!$B$2:$D$213,1,FALSE)</f>
      </c>
      <c r="C148" s="201" t="str">
        <v>YXHD147</v>
      </c>
      <c r="D148" s="61" t="str">
        <v>否</v>
      </c>
      <c r="I148" s="61" t="str">
        <v>否</v>
      </c>
      <c r="J148" s="61" t="str">
        <v>否</v>
      </c>
      <c r="K148" s="61" t="str">
        <v>是</v>
      </c>
      <c r="L148">
        <f>K148</f>
      </c>
      <c r="M148" t="str">
        <v>IP明星内容合作</v>
      </c>
      <c r="N148" t="str">
        <v>明星妆发造</v>
      </c>
      <c r="O148" s="34" t="str">
        <v>营销费用</v>
      </c>
      <c r="P148" s="34" t="str">
        <v>内容制作费</v>
      </c>
      <c r="Q148" s="34" t="str">
        <v>服化道费用</v>
      </c>
    </row>
    <row r="149">
      <c r="A149" s="34" t="str">
        <v>明星差旅</v>
      </c>
      <c r="B149" s="201">
        <f>VLOOKUP(A149,'营销计划（活动-更新）'!$B$2:$D$213,1,FALSE)</f>
      </c>
      <c r="C149" s="201" t="str">
        <v>YXHD148</v>
      </c>
      <c r="D149" s="61" t="str">
        <v>否</v>
      </c>
      <c r="I149" s="61" t="str">
        <v>否</v>
      </c>
      <c r="J149" s="61" t="str">
        <v>否</v>
      </c>
      <c r="K149" s="61" t="str">
        <v>是</v>
      </c>
      <c r="L149">
        <f>K149</f>
      </c>
      <c r="M149" t="str">
        <v>IP明星内容合作</v>
      </c>
      <c r="N149" t="str">
        <v>明星差旅</v>
      </c>
      <c r="O149" s="34" t="str">
        <v>营销费用</v>
      </c>
      <c r="P149" s="34" t="str">
        <v>其他费用</v>
      </c>
      <c r="Q149" s="34" t="str">
        <v>明星差旅费</v>
      </c>
    </row>
    <row r="150">
      <c r="A150" s="200" t="str">
        <v>市场公关礼-自有</v>
      </c>
      <c r="B150" s="201">
        <f>VLOOKUP(A150,'营销计划（活动-更新）'!$B$2:$D$213,1,FALSE)</f>
      </c>
      <c r="C150" s="201" t="str">
        <v>YXHD149</v>
      </c>
      <c r="D150" s="61" t="str">
        <v>否</v>
      </c>
      <c r="I150" s="61" t="str">
        <v>否</v>
      </c>
      <c r="J150" s="61" t="str">
        <v>否</v>
      </c>
      <c r="K150" s="61" t="str">
        <v>是</v>
      </c>
      <c r="L150">
        <f>K150</f>
      </c>
      <c r="M150" t="str">
        <v>市场公关</v>
      </c>
      <c r="N150" t="str">
        <v>市场公关运营</v>
      </c>
      <c r="O150" s="34" t="str">
        <v>营销费用</v>
      </c>
      <c r="P150" s="34" t="str">
        <v>其他费用</v>
      </c>
      <c r="Q150" s="34" t="str">
        <v>公关礼品费</v>
      </c>
    </row>
    <row r="151">
      <c r="A151" s="200" t="str">
        <v>市场公关礼-外采</v>
      </c>
      <c r="B151" s="201">
        <f>VLOOKUP(A151,'营销计划（活动-更新）'!$B$2:$D$213,1,FALSE)</f>
      </c>
      <c r="C151" s="201" t="str">
        <v>YXHD150</v>
      </c>
      <c r="D151" s="61" t="str">
        <v>否</v>
      </c>
      <c r="I151" s="61" t="str">
        <v>否</v>
      </c>
      <c r="J151" s="61" t="str">
        <v>否</v>
      </c>
      <c r="K151" s="61" t="str">
        <v>是</v>
      </c>
      <c r="L151">
        <f>K151</f>
      </c>
      <c r="M151" t="str">
        <v>市场公关</v>
      </c>
      <c r="N151" t="str">
        <v>市场公关运营</v>
      </c>
      <c r="O151" s="34" t="str">
        <v>营销费用</v>
      </c>
      <c r="P151" s="34" t="str">
        <v>其他费用</v>
      </c>
      <c r="Q151" s="34" t="str">
        <v>公关礼品费</v>
      </c>
    </row>
    <row r="152">
      <c r="A152" s="200" t="str">
        <v>公关礼策划服务</v>
      </c>
      <c r="B152" s="201">
        <f>VLOOKUP(A152,'营销计划（活动-更新）'!$B$2:$D$213,1,FALSE)</f>
      </c>
      <c r="C152" s="201" t="str">
        <v>YXHD151</v>
      </c>
      <c r="D152" s="61" t="str">
        <v>否</v>
      </c>
      <c r="I152" s="61" t="str">
        <v>否</v>
      </c>
      <c r="J152" s="61" t="str">
        <v>否</v>
      </c>
      <c r="K152" s="61" t="str">
        <v>否</v>
      </c>
      <c r="L152">
        <f>K152</f>
      </c>
      <c r="M152" t="str">
        <v>市场公关</v>
      </c>
      <c r="N152" t="str">
        <v>市场公关运营</v>
      </c>
      <c r="O152" s="34" t="str">
        <v>营销费用</v>
      </c>
      <c r="P152" s="34" t="str">
        <v>品牌宣传费</v>
      </c>
      <c r="Q152" s="34" t="str">
        <v>创意策划服务费</v>
      </c>
    </row>
    <row r="153">
      <c r="A153" s="200" t="str">
        <v>市场公关整合营销</v>
      </c>
      <c r="B153" s="201">
        <f>VLOOKUP(A153,'营销计划（活动-更新）'!$B$2:$D$213,1,FALSE)</f>
      </c>
      <c r="C153" s="201" t="str">
        <v>YXHD152</v>
      </c>
      <c r="D153" s="61" t="str">
        <v>否</v>
      </c>
      <c r="I153" s="61" t="str">
        <v>否</v>
      </c>
      <c r="J153" s="61" t="str">
        <v>否</v>
      </c>
      <c r="K153" s="61" t="str">
        <v>否</v>
      </c>
      <c r="L153">
        <f>K153</f>
      </c>
      <c r="M153" t="str">
        <v>市场公关</v>
      </c>
      <c r="N153" t="str">
        <v>市场公关运营</v>
      </c>
      <c r="O153" s="34" t="str">
        <v>营销费用</v>
      </c>
      <c r="P153" s="34" t="str">
        <v>品牌宣传费</v>
      </c>
      <c r="Q153" s="34" t="str">
        <v>创意策划服务费</v>
      </c>
    </row>
    <row r="154">
      <c r="A154" s="200" t="str">
        <v>市场公关线下活动</v>
      </c>
      <c r="B154" s="201">
        <f>VLOOKUP(A154,'营销计划（活动-更新）'!$B$2:$D$213,1,FALSE)</f>
      </c>
      <c r="C154" s="201" t="str">
        <v>YXHD153</v>
      </c>
      <c r="D154" s="61" t="str">
        <v>否</v>
      </c>
      <c r="I154" s="61" t="str">
        <v>否</v>
      </c>
      <c r="J154" s="61" t="str">
        <v>否</v>
      </c>
      <c r="K154" s="61" t="str">
        <v>是</v>
      </c>
      <c r="L154">
        <f>K154</f>
      </c>
      <c r="M154" t="str">
        <v>市场公关</v>
      </c>
      <c r="N154" t="str">
        <v>市场公关运营</v>
      </c>
      <c r="O154" s="34" t="str">
        <v>营销费用</v>
      </c>
      <c r="P154" s="34" t="str">
        <v>品牌宣传费</v>
      </c>
      <c r="Q154" s="34" t="str">
        <v>创意策划服务费</v>
      </c>
    </row>
    <row r="155">
      <c r="A155" s="200" t="str">
        <v>公关舆情服务</v>
      </c>
      <c r="B155" s="201">
        <f>VLOOKUP(A155,'营销计划（活动-更新）'!$B$2:$D$213,1,FALSE)</f>
      </c>
      <c r="C155" s="201" t="str">
        <v>YXHD154</v>
      </c>
      <c r="D155" s="61" t="str">
        <v>否</v>
      </c>
      <c r="I155" s="61" t="str">
        <v>否</v>
      </c>
      <c r="J155" s="61" t="str">
        <v>否</v>
      </c>
      <c r="K155" s="61" t="str">
        <v>否</v>
      </c>
      <c r="L155">
        <f>K155</f>
      </c>
      <c r="M155" t="str">
        <v>市场公关</v>
      </c>
      <c r="N155" t="str">
        <v>市场公关运营</v>
      </c>
      <c r="O155" s="34" t="str">
        <v>营销费用</v>
      </c>
      <c r="P155" s="34" t="str">
        <v>品牌宣传费</v>
      </c>
      <c r="Q155" s="34" t="str">
        <v>公关服务费</v>
      </c>
    </row>
    <row r="156">
      <c r="A156" s="34" t="str">
        <v>微信-直播间</v>
      </c>
      <c r="B156" s="201">
        <f>VLOOKUP(A156,'营销计划（活动-更新）'!$B$2:$D$213,1,FALSE)</f>
      </c>
      <c r="C156" s="201" t="str">
        <v>YXHD155</v>
      </c>
      <c r="D156" s="61" t="str">
        <v>是</v>
      </c>
      <c r="E156" s="2" t="str">
        <v>有赞花西子有赞旗舰店</v>
      </c>
      <c r="F156" s="202" t="str">
        <v>综合渠道</v>
      </c>
      <c r="G156" s="202" t="str">
        <v>有赞视频号</v>
      </c>
      <c r="I156" s="61" t="str">
        <v>否</v>
      </c>
      <c r="J156" s="61" t="str">
        <v>否</v>
      </c>
      <c r="K156" s="61" t="str">
        <v>否</v>
      </c>
      <c r="L156">
        <f>K156</f>
      </c>
      <c r="M156" t="str">
        <v>社交电商推广</v>
      </c>
      <c r="N156" t="str">
        <v>微信-直播间</v>
      </c>
      <c r="O156" s="34" t="str">
        <v>营销费用</v>
      </c>
      <c r="P156" s="34" t="str">
        <v>渠道推广费</v>
      </c>
      <c r="Q156" s="34" t="str">
        <v>直播服务费</v>
      </c>
    </row>
    <row r="157">
      <c r="A157" s="34" t="str">
        <v>快手人设号-服务费</v>
      </c>
      <c r="B157" s="201">
        <f>VLOOKUP(A157,'营销计划（活动-更新）'!$B$2:$D$213,1,FALSE)</f>
      </c>
      <c r="C157" s="201" t="str">
        <v>YXHD156</v>
      </c>
      <c r="D157" s="61" t="str">
        <v>是</v>
      </c>
      <c r="E157" s="202" t="str">
        <v>快手花西子旗舰店</v>
      </c>
      <c r="F157" s="202" t="str">
        <v>快手渠道</v>
      </c>
      <c r="G157" s="2" t="str">
        <v>快手人设号</v>
      </c>
      <c r="I157" s="61" t="str">
        <v>否</v>
      </c>
      <c r="J157" s="61" t="str">
        <v>否</v>
      </c>
      <c r="K157" s="61" t="str">
        <v>否</v>
      </c>
      <c r="L157">
        <f>K157</f>
      </c>
      <c r="M157" t="str">
        <v>直播电商推广</v>
      </c>
      <c r="N157" t="str">
        <v>快手人设号</v>
      </c>
      <c r="O157" s="34" t="str">
        <v>营销费用</v>
      </c>
      <c r="P157" s="34" t="str">
        <v>渠道推广费</v>
      </c>
      <c r="Q157" s="34" t="str">
        <v>直播服务费</v>
      </c>
    </row>
    <row r="158">
      <c r="A158" s="200" t="str">
        <v>天猫淘内内容</v>
      </c>
      <c r="B158" s="201">
        <f>VLOOKUP(A158,'营销计划（活动-更新）'!$B$2:$D$213,1,FALSE)</f>
      </c>
      <c r="C158" s="201" t="str">
        <v>YXHD157</v>
      </c>
      <c r="D158" s="61" t="str">
        <v>是</v>
      </c>
      <c r="E158" s="34" t="str">
        <v>天猫花西子旗舰店</v>
      </c>
      <c r="F158" s="61" t="str">
        <v>天猫渠道</v>
      </c>
      <c r="G158" s="61" t="str">
        <v>天猫货架</v>
      </c>
      <c r="I158" s="61" t="str">
        <v>否</v>
      </c>
      <c r="J158" s="61" t="str">
        <v>否</v>
      </c>
      <c r="K158" s="61" t="str">
        <v>否</v>
      </c>
      <c r="L158">
        <f>K158</f>
      </c>
      <c r="M158" t="str">
        <v>品类内容推广</v>
      </c>
      <c r="N158" t="str">
        <v>天猫淘内内容</v>
      </c>
      <c r="O158" s="34" t="str">
        <v>营销费用</v>
      </c>
      <c r="P158" s="34" t="str">
        <v>内容制作费</v>
      </c>
      <c r="Q158" s="34" t="str">
        <v>视频制作费</v>
      </c>
    </row>
    <row r="159">
      <c r="A159" s="210" t="str">
        <v>直播专场服务</v>
      </c>
      <c r="B159" s="201">
        <f>VLOOKUP(A159,'营销计划（活动-更新）'!$B$2:$D$213,1,FALSE)</f>
      </c>
      <c r="C159" s="208" t="str">
        <v>YXHD158</v>
      </c>
      <c r="D159" s="185" t="str">
        <v>是</v>
      </c>
      <c r="E159" s="209"/>
      <c r="F159" s="185"/>
      <c r="G159" s="185"/>
      <c r="H159" s="185"/>
      <c r="I159" s="185" t="str">
        <v>否</v>
      </c>
      <c r="J159" s="185" t="str">
        <v>否</v>
      </c>
      <c r="K159" s="185" t="str">
        <v>否</v>
      </c>
      <c r="L159" s="185">
        <f>K159</f>
      </c>
      <c r="M159" s="185" t="str">
        <v>达人直播</v>
      </c>
      <c r="N159" s="185" t="str">
        <v>服务费-淘内其他</v>
      </c>
      <c r="O159" s="209" t="str">
        <v>营销费用</v>
      </c>
      <c r="P159" s="209" t="str">
        <v>内容制作费</v>
      </c>
      <c r="Q159" s="209" t="str">
        <v>专业人物合作费</v>
      </c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>
      <c r="A160" s="200" t="str">
        <v>主播部妆发造</v>
      </c>
      <c r="B160" s="201">
        <f>VLOOKUP(A160,'营销计划（活动-更新）'!$B$2:$D$213,1,FALSE)</f>
      </c>
      <c r="C160" s="201" t="str">
        <v>YXHD159</v>
      </c>
      <c r="D160" s="61" t="str">
        <v>否</v>
      </c>
      <c r="I160" s="61" t="str">
        <v>否</v>
      </c>
      <c r="J160" s="61" t="str">
        <v>否</v>
      </c>
      <c r="K160" s="61" t="str">
        <v>是</v>
      </c>
      <c r="L160">
        <f>K160</f>
      </c>
      <c r="M160" t="str">
        <v>直播间运营费</v>
      </c>
      <c r="N160" t="str">
        <v>主播妆发造</v>
      </c>
      <c r="O160" s="34" t="str">
        <v>营销费用</v>
      </c>
      <c r="P160" s="34" t="str">
        <v>内容制作费</v>
      </c>
      <c r="Q160" s="34" t="str">
        <v>服化道费用</v>
      </c>
    </row>
    <row r="161">
      <c r="A161" s="210" t="str">
        <v>明星直播合作</v>
      </c>
      <c r="B161" s="201">
        <f>VLOOKUP(A161,'营销计划（活动-更新）'!$B$2:$D$213,1,FALSE)</f>
      </c>
      <c r="C161" s="208" t="str">
        <v>YXHD160</v>
      </c>
      <c r="D161" s="185" t="str">
        <v>是</v>
      </c>
      <c r="E161" s="185"/>
      <c r="F161" s="185"/>
      <c r="G161" s="185"/>
      <c r="H161" s="185"/>
      <c r="I161" s="185" t="str">
        <v>否</v>
      </c>
      <c r="J161" s="185" t="str">
        <v>否</v>
      </c>
      <c r="K161" s="185" t="str">
        <v>否</v>
      </c>
      <c r="L161" s="185">
        <f>K161</f>
      </c>
      <c r="M161" s="185" t="str">
        <v>达人直播</v>
      </c>
      <c r="N161" s="185" t="str">
        <v>服务费</v>
      </c>
      <c r="O161" s="209" t="str">
        <v>营销费用</v>
      </c>
      <c r="P161" s="209" t="str">
        <v>品牌宣传费</v>
      </c>
      <c r="Q161" s="209" t="str">
        <v>明星合作费</v>
      </c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>
      <c r="A162" s="200" t="str">
        <v>佳琦全案-服务费</v>
      </c>
      <c r="B162" s="201">
        <f>VLOOKUP(A162,'营销计划（活动-更新）'!$B$2:$D$213,1,FALSE)</f>
      </c>
      <c r="C162" s="201" t="str">
        <v>YXHD161</v>
      </c>
      <c r="D162" s="61" t="str">
        <v>否</v>
      </c>
      <c r="I162" s="61" t="str">
        <v>否</v>
      </c>
      <c r="J162" s="61" t="str">
        <v>否</v>
      </c>
      <c r="K162" s="61" t="str">
        <v>否</v>
      </c>
      <c r="L162">
        <f>K162</f>
      </c>
      <c r="M162" t="str">
        <v>品牌营销直播专项</v>
      </c>
      <c r="N162" t="str">
        <v>佳琦全案</v>
      </c>
      <c r="O162" s="34" t="str">
        <v>营销费用</v>
      </c>
      <c r="P162" s="34" t="str">
        <v>内容制作费</v>
      </c>
      <c r="Q162" s="34" t="str">
        <v>拍摄服务费</v>
      </c>
    </row>
    <row r="163">
      <c r="A163" s="200" t="str">
        <v>佳琦全案-设计费</v>
      </c>
      <c r="B163" s="201">
        <f>VLOOKUP(A163,'营销计划（活动-更新）'!$B$2:$D$213,1,FALSE)</f>
      </c>
      <c r="C163" s="201" t="str">
        <v>YXHD162</v>
      </c>
      <c r="D163" s="61" t="str">
        <v>否</v>
      </c>
      <c r="I163" s="61" t="str">
        <v>否</v>
      </c>
      <c r="J163" s="61" t="str">
        <v>否</v>
      </c>
      <c r="K163" s="61" t="str">
        <v>否</v>
      </c>
      <c r="L163">
        <f>K163</f>
      </c>
      <c r="M163" t="str">
        <v>品牌营销直播专项</v>
      </c>
      <c r="N163" t="str">
        <v>佳琦全案</v>
      </c>
      <c r="O163" s="34" t="str">
        <v>营销费用</v>
      </c>
      <c r="P163" s="34" t="str">
        <v>内容制作费</v>
      </c>
      <c r="Q163" s="34" t="str">
        <v>视频制作费</v>
      </c>
    </row>
    <row r="164">
      <c r="A164" s="200" t="str">
        <v>天猫直播服务费-李佳琦</v>
      </c>
      <c r="B164" s="201">
        <f>VLOOKUP(A164,'营销计划（活动-更新）'!$B$2:$D$213,1,FALSE)</f>
      </c>
      <c r="C164" s="201" t="str">
        <v>YXHD163</v>
      </c>
      <c r="D164" s="61" t="str">
        <v>是</v>
      </c>
      <c r="E164" s="34" t="str">
        <v>天猫花西子旗舰店</v>
      </c>
      <c r="F164" s="61" t="str">
        <v>天猫渠道</v>
      </c>
      <c r="G164" s="61" t="str">
        <v>天猫达播</v>
      </c>
      <c r="I164" s="61" t="str">
        <v>是</v>
      </c>
      <c r="J164" s="61" t="str">
        <v>是</v>
      </c>
      <c r="K164" s="61" t="str">
        <v>否</v>
      </c>
      <c r="L164">
        <f>K164</f>
      </c>
      <c r="M164" t="str">
        <v>达人直播</v>
      </c>
      <c r="N164" t="str">
        <v>佣金-佳琦</v>
      </c>
      <c r="O164" s="34" t="str">
        <v>营销费用</v>
      </c>
      <c r="P164" s="34" t="str">
        <v>渠道推广费</v>
      </c>
      <c r="Q164" s="34" t="str">
        <v>直播服务费</v>
      </c>
    </row>
    <row r="165">
      <c r="A165" s="200" t="str">
        <v>天猫直播服务费-其他</v>
      </c>
      <c r="B165" s="201">
        <f>VLOOKUP(A165,'营销计划（活动-更新）'!$B$2:$D$213,1,FALSE)</f>
      </c>
      <c r="C165" s="201" t="str">
        <v>YXHD164</v>
      </c>
      <c r="D165" s="61" t="str">
        <v>是</v>
      </c>
      <c r="E165" s="34" t="str">
        <v>天猫花西子旗舰店</v>
      </c>
      <c r="F165" s="61" t="str">
        <v>天猫渠道</v>
      </c>
      <c r="G165" s="61" t="str">
        <v>天猫达播</v>
      </c>
      <c r="I165" s="61" t="str">
        <v>是</v>
      </c>
      <c r="J165" s="61" t="str">
        <v>是</v>
      </c>
      <c r="K165" s="61" t="str">
        <v>否</v>
      </c>
      <c r="L165">
        <f>K165</f>
      </c>
      <c r="M165" t="str">
        <v>达人直播</v>
      </c>
      <c r="N165" t="str">
        <v>佣金-淘内其他</v>
      </c>
      <c r="O165" s="34" t="str">
        <v>营销费用</v>
      </c>
      <c r="P165" s="34" t="str">
        <v>渠道推广费</v>
      </c>
      <c r="Q165" s="34" t="str">
        <v>直播服务费</v>
      </c>
    </row>
    <row r="166">
      <c r="A166" s="200" t="str">
        <v>抖音直播服务费-田恬</v>
      </c>
      <c r="B166" s="201">
        <f>VLOOKUP(A166,'营销计划（活动-更新）'!$B$2:$D$213,1,FALSE)</f>
      </c>
      <c r="C166" s="201" t="str">
        <v>YXHD165</v>
      </c>
      <c r="D166" s="61" t="str">
        <v>是</v>
      </c>
      <c r="E166" s="34" t="str">
        <v>抖音花西子官方旗舰店</v>
      </c>
      <c r="F166" s="34" t="str">
        <v>抖音渠道</v>
      </c>
      <c r="G166" s="61" t="str">
        <v>抖音达播</v>
      </c>
      <c r="I166" s="61" t="str">
        <v>是</v>
      </c>
      <c r="J166" s="61" t="str">
        <v>是</v>
      </c>
      <c r="K166" s="61" t="str">
        <v>否</v>
      </c>
      <c r="L166">
        <f>K166</f>
      </c>
      <c r="M166" t="str">
        <v>达人直播</v>
      </c>
      <c r="N166" t="str">
        <v>佣金-田恬</v>
      </c>
      <c r="O166" s="34" t="str">
        <v>营销费用</v>
      </c>
      <c r="P166" s="34" t="str">
        <v>渠道推广费</v>
      </c>
      <c r="Q166" s="34" t="str">
        <v>直播服务费</v>
      </c>
    </row>
    <row r="167">
      <c r="A167" s="200" t="str">
        <v>快手直播服务费</v>
      </c>
      <c r="B167" s="201">
        <f>VLOOKUP(A167,'营销计划（活动-更新）'!$B$2:$D$213,1,FALSE)</f>
      </c>
      <c r="C167" s="201" t="str">
        <v>YXHD166</v>
      </c>
      <c r="D167" s="61" t="str">
        <v>是</v>
      </c>
      <c r="E167" s="202" t="str">
        <v>快手花西子旗舰店</v>
      </c>
      <c r="F167" s="202" t="str">
        <v>快手渠道</v>
      </c>
      <c r="G167" s="61" t="str">
        <v>快手达播</v>
      </c>
      <c r="I167" s="61" t="str">
        <v>是</v>
      </c>
      <c r="J167" s="61" t="str">
        <v>是</v>
      </c>
      <c r="K167" s="61" t="str">
        <v>否</v>
      </c>
      <c r="L167">
        <f>K167</f>
      </c>
      <c r="M167" t="str">
        <v>达人直播</v>
      </c>
      <c r="N167" t="str">
        <v>佣金-快手</v>
      </c>
      <c r="O167" s="34" t="str">
        <v>营销费用</v>
      </c>
      <c r="P167" s="34" t="str">
        <v>渠道推广费</v>
      </c>
      <c r="Q167" s="34" t="str">
        <v>直播服务费</v>
      </c>
    </row>
    <row r="168">
      <c r="A168" s="210" t="str">
        <v>其他直播服务费</v>
      </c>
      <c r="B168" s="201">
        <f>VLOOKUP(A168,'营销计划（活动-更新）'!$B$2:$D$213,1,FALSE)</f>
      </c>
      <c r="C168" s="208" t="str">
        <v>YXHD167</v>
      </c>
      <c r="D168" s="185" t="str">
        <v>是</v>
      </c>
      <c r="E168" s="185"/>
      <c r="F168" s="185"/>
      <c r="G168" s="185"/>
      <c r="H168" s="185"/>
      <c r="I168" s="185" t="str">
        <v>是</v>
      </c>
      <c r="J168" s="185" t="str">
        <v>是</v>
      </c>
      <c r="K168" s="185" t="str">
        <v>否</v>
      </c>
      <c r="L168" s="185">
        <f>K168</f>
      </c>
      <c r="M168" s="185" t="str">
        <v>达人直播</v>
      </c>
      <c r="N168" s="185" t="str">
        <v>佣金-其他</v>
      </c>
      <c r="O168" s="209" t="str">
        <v>营销费用</v>
      </c>
      <c r="P168" s="209" t="str">
        <v>渠道推广费</v>
      </c>
      <c r="Q168" s="209" t="str">
        <v>直播服务费</v>
      </c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>
      <c r="A169" s="200" t="str">
        <v>天猫直播坑位费-李佳琦</v>
      </c>
      <c r="B169" s="201">
        <f>VLOOKUP(A169,'营销计划（活动-更新）'!$B$2:$D$213,1,FALSE)</f>
      </c>
      <c r="C169" s="201" t="str">
        <v>YXHD168</v>
      </c>
      <c r="D169" s="61" t="str">
        <v>是</v>
      </c>
      <c r="E169" s="34" t="str">
        <v>天猫花西子旗舰店</v>
      </c>
      <c r="F169" s="61" t="str">
        <v>天猫渠道</v>
      </c>
      <c r="G169" s="61" t="str">
        <v>天猫达播</v>
      </c>
      <c r="I169" s="61" t="str">
        <v>否</v>
      </c>
      <c r="J169" s="61" t="str">
        <v>否</v>
      </c>
      <c r="K169" s="61" t="str">
        <v>否</v>
      </c>
      <c r="L169">
        <f>K169</f>
      </c>
      <c r="M169" t="str">
        <v>达人直播</v>
      </c>
      <c r="N169" t="str">
        <v>服务费-佳琦</v>
      </c>
      <c r="O169" s="34" t="str">
        <v>营销费用</v>
      </c>
      <c r="P169" s="34" t="str">
        <v>渠道推广费</v>
      </c>
      <c r="Q169" s="34" t="str">
        <v>直播坑位费</v>
      </c>
    </row>
    <row r="170">
      <c r="A170" s="200" t="str">
        <v>天猫直播坑位费-其他</v>
      </c>
      <c r="B170" s="201">
        <f>VLOOKUP(A170,'营销计划（活动-更新）'!$B$2:$D$213,1,FALSE)</f>
      </c>
      <c r="C170" s="201" t="str">
        <v>YXHD169</v>
      </c>
      <c r="D170" s="61" t="str">
        <v>是</v>
      </c>
      <c r="E170" s="34" t="str">
        <v>天猫花西子旗舰店</v>
      </c>
      <c r="F170" s="61" t="str">
        <v>天猫渠道</v>
      </c>
      <c r="G170" s="61" t="str">
        <v>天猫达播</v>
      </c>
      <c r="I170" s="61" t="str">
        <v>否</v>
      </c>
      <c r="J170" s="61" t="str">
        <v>否</v>
      </c>
      <c r="K170" s="61" t="str">
        <v>否</v>
      </c>
      <c r="L170">
        <f>K170</f>
      </c>
      <c r="M170" t="str">
        <v>达人直播</v>
      </c>
      <c r="N170" t="str">
        <v>服务费-淘内其他</v>
      </c>
      <c r="O170" s="34" t="str">
        <v>营销费用</v>
      </c>
      <c r="P170" s="34" t="str">
        <v>渠道推广费</v>
      </c>
      <c r="Q170" s="34" t="str">
        <v>直播坑位费</v>
      </c>
    </row>
    <row r="171">
      <c r="A171" s="200" t="str">
        <v>抖音直播坑位费-田恬</v>
      </c>
      <c r="B171" s="201">
        <f>VLOOKUP(A171,'营销计划（活动-更新）'!$B$2:$D$213,1,FALSE)</f>
      </c>
      <c r="C171" s="201" t="str">
        <v>YXHD170</v>
      </c>
      <c r="D171" s="61" t="str">
        <v>是</v>
      </c>
      <c r="E171" s="34" t="str">
        <v>抖音花西子官方旗舰店</v>
      </c>
      <c r="F171" s="34" t="str">
        <v>抖音渠道</v>
      </c>
      <c r="G171" s="61" t="str">
        <v>抖音达播</v>
      </c>
      <c r="I171" s="61" t="str">
        <v>否</v>
      </c>
      <c r="J171" s="61" t="str">
        <v>否</v>
      </c>
      <c r="K171" s="61" t="str">
        <v>否</v>
      </c>
      <c r="L171">
        <f>K171</f>
      </c>
      <c r="M171" t="str">
        <v>达人直播</v>
      </c>
      <c r="N171" t="str">
        <v>服务费-田恬</v>
      </c>
      <c r="O171" s="34" t="str">
        <v>营销费用</v>
      </c>
      <c r="P171" s="34" t="str">
        <v>渠道推广费</v>
      </c>
      <c r="Q171" s="34" t="str">
        <v>直播坑位费</v>
      </c>
    </row>
    <row r="172">
      <c r="A172" s="200" t="str">
        <v>快手直播坑位费</v>
      </c>
      <c r="B172" s="201">
        <f>VLOOKUP(A172,'营销计划（活动-更新）'!$B$2:$D$213,1,FALSE)</f>
      </c>
      <c r="C172" s="201" t="str">
        <v>YXHD171</v>
      </c>
      <c r="D172" s="61" t="str">
        <v>是</v>
      </c>
      <c r="E172" s="202" t="str">
        <v>快手花西子旗舰店</v>
      </c>
      <c r="F172" s="202" t="str">
        <v>快手渠道</v>
      </c>
      <c r="G172" s="61" t="str">
        <v>快手达播</v>
      </c>
      <c r="I172" s="61" t="str">
        <v>否</v>
      </c>
      <c r="J172" s="61" t="str">
        <v>否</v>
      </c>
      <c r="K172" s="61" t="str">
        <v>否</v>
      </c>
      <c r="L172">
        <f>K172</f>
      </c>
      <c r="M172" t="str">
        <v>达人直播</v>
      </c>
      <c r="N172" t="str">
        <v>服务费-快手</v>
      </c>
      <c r="O172" s="34" t="str">
        <v>营销费用</v>
      </c>
      <c r="P172" s="34" t="str">
        <v>渠道推广费</v>
      </c>
      <c r="Q172" s="34" t="str">
        <v>直播坑位费</v>
      </c>
    </row>
    <row r="173">
      <c r="A173" s="210" t="str">
        <v>其他直播坑位费</v>
      </c>
      <c r="B173" s="201">
        <f>VLOOKUP(A173,'营销计划（活动-更新）'!$B$2:$D$213,1,FALSE)</f>
      </c>
      <c r="C173" s="208" t="str">
        <v>YXHD172</v>
      </c>
      <c r="D173" s="185" t="str">
        <v>是</v>
      </c>
      <c r="E173" s="185"/>
      <c r="F173" s="185"/>
      <c r="G173" s="185"/>
      <c r="H173" s="185"/>
      <c r="I173" s="185" t="str">
        <v>否</v>
      </c>
      <c r="J173" s="185" t="str">
        <v>否</v>
      </c>
      <c r="K173" s="185" t="str">
        <v>否</v>
      </c>
      <c r="L173" s="185">
        <f>K173</f>
      </c>
      <c r="M173" s="185" t="str">
        <v>达人直播</v>
      </c>
      <c r="N173" s="185" t="str">
        <v>服务费-其他</v>
      </c>
      <c r="O173" s="209" t="str">
        <v>营销费用</v>
      </c>
      <c r="P173" s="209" t="str">
        <v>渠道推广费</v>
      </c>
      <c r="Q173" s="209" t="str">
        <v>直播坑位费</v>
      </c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>
      <c r="A174" s="200" t="str">
        <v>佳琦直播间场景搭建</v>
      </c>
      <c r="B174" s="201">
        <f>VLOOKUP(A174,'营销计划（活动-更新）'!$B$2:$D$213,1,FALSE)</f>
      </c>
      <c r="C174" s="201" t="str">
        <v>YXHD173</v>
      </c>
      <c r="D174" s="61" t="str">
        <v>是</v>
      </c>
      <c r="E174" s="34" t="str">
        <v>天猫花西子旗舰店</v>
      </c>
      <c r="F174" s="61" t="str">
        <v>天猫渠道</v>
      </c>
      <c r="G174" s="61" t="str">
        <v>天猫达播</v>
      </c>
      <c r="I174" s="61" t="str">
        <v>否</v>
      </c>
      <c r="J174" s="61" t="str">
        <v>否</v>
      </c>
      <c r="K174" s="61" t="str">
        <v>是</v>
      </c>
      <c r="L174">
        <f>K174</f>
      </c>
      <c r="M174" t="str">
        <v>直播间运营费</v>
      </c>
      <c r="N174" t="str">
        <v>佳琦道具及搭建</v>
      </c>
      <c r="O174" s="34" t="str">
        <v>营销费用</v>
      </c>
      <c r="P174" s="34" t="str">
        <v>渠道推广费</v>
      </c>
      <c r="Q174" s="34" t="str">
        <v>直播间物料费</v>
      </c>
    </row>
    <row r="175">
      <c r="A175" s="200" t="str">
        <v>田恬直播间场景搭建</v>
      </c>
      <c r="B175" s="201">
        <f>VLOOKUP(A175,'营销计划（活动-更新）'!$B$2:$D$213,1,FALSE)</f>
      </c>
      <c r="C175" s="201" t="str">
        <v>YXHD174</v>
      </c>
      <c r="D175" s="61" t="str">
        <v>是</v>
      </c>
      <c r="E175" s="34" t="str">
        <v>抖音花西子官方旗舰店</v>
      </c>
      <c r="F175" s="34" t="str">
        <v>抖音渠道</v>
      </c>
      <c r="G175" s="61" t="str">
        <v>抖音达播</v>
      </c>
      <c r="I175" s="61" t="str">
        <v>否</v>
      </c>
      <c r="J175" s="61" t="str">
        <v>否</v>
      </c>
      <c r="K175" s="61" t="str">
        <v>是</v>
      </c>
      <c r="L175">
        <f>K175</f>
      </c>
      <c r="M175" t="str">
        <v>直播间运营费</v>
      </c>
      <c r="N175" t="str">
        <v>达播道具及搭建-田恬</v>
      </c>
      <c r="O175" s="34" t="str">
        <v>营销费用</v>
      </c>
      <c r="P175" s="34" t="str">
        <v>渠道推广费</v>
      </c>
      <c r="Q175" s="34" t="str">
        <v>直播间物料费</v>
      </c>
    </row>
    <row customHeight="true" ht="20" r="176">
      <c r="A176" s="200" t="str">
        <v>抖音其他/快手直播间道具及搭建</v>
      </c>
      <c r="B176" s="201">
        <f>VLOOKUP(A176,'营销计划（活动-更新）'!$B$2:$D$213,1,FALSE)</f>
      </c>
      <c r="C176" s="201" t="str">
        <v>YXHD175</v>
      </c>
      <c r="D176" s="61" t="str">
        <v>是</v>
      </c>
      <c r="E176" s="34" t="str">
        <v>抖音花西子官方旗舰店</v>
      </c>
      <c r="F176" s="34" t="str">
        <v>抖音渠道</v>
      </c>
      <c r="G176" s="61" t="str">
        <v>抖音达播</v>
      </c>
      <c r="I176" s="61" t="str">
        <v>否</v>
      </c>
      <c r="J176" s="61" t="str">
        <v>否</v>
      </c>
      <c r="K176" s="61" t="str">
        <v>是</v>
      </c>
      <c r="L176">
        <f>K176</f>
      </c>
      <c r="M176" t="str">
        <v>直播间运营费</v>
      </c>
      <c r="N176" t="str" xml:space="preserve">
        <v>  
达播道具及搭建 - 抖音其他/快手
</v>
      </c>
      <c r="O176" s="34" t="str">
        <v>营销费用</v>
      </c>
      <c r="P176" s="34" t="str">
        <v>渠道推广费</v>
      </c>
      <c r="Q176" s="34" t="str">
        <v>直播间物料费</v>
      </c>
    </row>
    <row r="177">
      <c r="A177" s="200" t="str">
        <v>直播间场景道具</v>
      </c>
      <c r="B177" s="201">
        <f>VLOOKUP(A177,'营销计划（活动-更新）'!$B$2:$D$213,1,FALSE)</f>
      </c>
      <c r="C177" s="201" t="str">
        <v>YXHD176</v>
      </c>
      <c r="D177" s="195" t="str">
        <v>否</v>
      </c>
      <c r="E177" s="34"/>
      <c r="F177" s="34"/>
      <c r="G177" s="61"/>
      <c r="I177" s="61" t="str">
        <v>否</v>
      </c>
      <c r="J177" s="61" t="str">
        <v>否</v>
      </c>
      <c r="K177" s="61" t="str">
        <v>是</v>
      </c>
      <c r="L177">
        <f>K177</f>
      </c>
      <c r="M177" t="str">
        <v>直播间运营费</v>
      </c>
      <c r="N177" t="str">
        <v>直播间物料</v>
      </c>
      <c r="O177" s="34" t="str">
        <v>营销费用</v>
      </c>
      <c r="P177" s="34" t="str">
        <v>渠道推广费</v>
      </c>
      <c r="Q177" s="34" t="str">
        <v>直播间物料费</v>
      </c>
    </row>
    <row r="178">
      <c r="A178" s="200" t="str">
        <v>直播间奖品-抖音</v>
      </c>
      <c r="B178" s="201">
        <f>VLOOKUP(A178,'营销计划（活动-更新）'!$B$2:$D$213,1,FALSE)</f>
      </c>
      <c r="C178" s="201" t="str">
        <v>YXHD177</v>
      </c>
      <c r="D178" s="61" t="str">
        <v>是</v>
      </c>
      <c r="E178" s="34" t="str">
        <v>抖音花西子官方旗舰店</v>
      </c>
      <c r="F178" s="34" t="str">
        <v>抖音渠道</v>
      </c>
      <c r="G178" s="61" t="str">
        <v>抖音自播</v>
      </c>
      <c r="I178" s="61" t="str">
        <v>否</v>
      </c>
      <c r="J178" s="61" t="str">
        <v>否</v>
      </c>
      <c r="K178" s="61" t="str">
        <v>是</v>
      </c>
      <c r="L178">
        <f>K178</f>
      </c>
      <c r="M178" t="str">
        <v>直播间运营费</v>
      </c>
      <c r="N178" t="str">
        <v>直播间奖品</v>
      </c>
      <c r="O178" s="34" t="str">
        <v>营销费用</v>
      </c>
      <c r="P178" s="34" t="str">
        <v>渠道推广费</v>
      </c>
      <c r="Q178" s="34" t="str">
        <v>直播间活动费</v>
      </c>
    </row>
    <row r="179">
      <c r="A179" s="200" t="str">
        <v>直播间奖品-快手</v>
      </c>
      <c r="B179" s="201">
        <f>VLOOKUP(A179,'营销计划（活动-更新）'!$B$2:$D$213,1,FALSE)</f>
      </c>
      <c r="C179" s="201" t="str">
        <v>YXHD178</v>
      </c>
      <c r="D179" s="61" t="str">
        <v>是</v>
      </c>
      <c r="E179" s="202" t="str">
        <v>快手花西子旗舰店</v>
      </c>
      <c r="F179" s="202" t="str">
        <v>快手渠道</v>
      </c>
      <c r="G179" s="61" t="str">
        <v>快手自播</v>
      </c>
      <c r="I179" s="61" t="str">
        <v>否</v>
      </c>
      <c r="J179" s="61" t="str">
        <v>否</v>
      </c>
      <c r="K179" s="61" t="str">
        <v>是</v>
      </c>
      <c r="L179">
        <f>K179</f>
      </c>
      <c r="M179" t="str">
        <v>直播间运营费</v>
      </c>
      <c r="N179" t="str">
        <v>直播间奖品</v>
      </c>
      <c r="O179" s="34" t="str">
        <v>营销费用</v>
      </c>
      <c r="P179" s="34" t="str">
        <v>渠道推广费</v>
      </c>
      <c r="Q179" s="34" t="str">
        <v>直播间活动费</v>
      </c>
    </row>
    <row customHeight="true" ht="19" r="180">
      <c r="A180" s="200" t="str">
        <v>直播间奖品-天猫</v>
      </c>
      <c r="B180" s="201">
        <f>VLOOKUP(A180,'营销计划（活动-更新）'!$B$2:$D$213,1,FALSE)</f>
      </c>
      <c r="C180" s="201" t="str">
        <v>YXHD179</v>
      </c>
      <c r="D180" s="61" t="str">
        <v>是</v>
      </c>
      <c r="E180" s="34" t="str">
        <v>天猫花西子旗舰店</v>
      </c>
      <c r="F180" s="61" t="str">
        <v>天猫渠道</v>
      </c>
      <c r="G180" s="61" t="str">
        <v>天猫自播</v>
      </c>
      <c r="I180" s="61" t="str">
        <v>否</v>
      </c>
      <c r="J180" s="61" t="str">
        <v>否</v>
      </c>
      <c r="K180" s="61" t="str">
        <v>是</v>
      </c>
      <c r="L180">
        <f>K180</f>
      </c>
      <c r="M180" t="str">
        <v>直播间运营费</v>
      </c>
      <c r="N180" t="str">
        <v>直播间奖品</v>
      </c>
      <c r="O180" s="34" t="str">
        <v>营销费用</v>
      </c>
      <c r="P180" s="34" t="str">
        <v>渠道推广费</v>
      </c>
      <c r="Q180" s="34" t="str">
        <v>直播间活动费</v>
      </c>
    </row>
    <row customHeight="true" ht="19" r="181">
      <c r="A181" s="200" t="str">
        <v>直播间奖品-京东</v>
      </c>
      <c r="B181" s="201">
        <f>VLOOKUP(A181,'营销计划（活动-更新）'!$B$2:$D$213,1,FALSE)</f>
      </c>
      <c r="C181" s="201" t="str">
        <v>YXHD180</v>
      </c>
      <c r="D181" s="61" t="str">
        <v>是</v>
      </c>
      <c r="E181" s="61" t="str">
        <v>京东花西子旗舰店</v>
      </c>
      <c r="F181" s="61" t="str">
        <v>京东渠道</v>
      </c>
      <c r="G181" s="218" t="str">
        <v>京东货架</v>
      </c>
      <c r="I181" s="61" t="str">
        <v>否</v>
      </c>
      <c r="J181" s="61" t="str">
        <v>否</v>
      </c>
      <c r="K181" s="61" t="str">
        <v>是</v>
      </c>
      <c r="L181">
        <f>K181</f>
      </c>
      <c r="M181" t="str">
        <v>直播间运营费</v>
      </c>
      <c r="N181" t="str">
        <v>直播间奖品</v>
      </c>
      <c r="O181" s="34" t="str">
        <v>营销费用</v>
      </c>
      <c r="P181" s="34" t="str">
        <v>渠道推广费</v>
      </c>
      <c r="Q181" s="34" t="str">
        <v>直播间活动费</v>
      </c>
    </row>
    <row customHeight="true" ht="19" r="182">
      <c r="A182" s="200" t="str">
        <v>直播间奖品-唯品</v>
      </c>
      <c r="B182" s="201">
        <f>VLOOKUP(A182,'营销计划（活动-更新）'!$B$2:$D$213,1,FALSE)</f>
      </c>
      <c r="C182" s="201" t="str">
        <v>YXHD181</v>
      </c>
      <c r="D182" s="61" t="str">
        <v>是</v>
      </c>
      <c r="E182" s="61" t="str">
        <v>唯品会自营花西子旗舰店</v>
      </c>
      <c r="F182" s="61" t="str">
        <v>唯品会</v>
      </c>
      <c r="G182" s="61" t="str">
        <v>唯品货架</v>
      </c>
      <c r="I182" s="61" t="str">
        <v>否</v>
      </c>
      <c r="J182" s="61" t="str">
        <v>否</v>
      </c>
      <c r="K182" s="61" t="str">
        <v>是</v>
      </c>
      <c r="L182">
        <f>K182</f>
      </c>
      <c r="M182" t="str">
        <v>直播间运营费</v>
      </c>
      <c r="N182" t="str">
        <v>直播间奖品</v>
      </c>
      <c r="O182" s="34" t="str">
        <v>营销费用</v>
      </c>
      <c r="P182" s="34" t="str">
        <v>渠道推广费</v>
      </c>
      <c r="Q182" s="34" t="str">
        <v>直播间活动费</v>
      </c>
    </row>
    <row customHeight="true" ht="19" r="183">
      <c r="A183" s="200" t="str">
        <v>直播间其他用品</v>
      </c>
      <c r="B183" s="201">
        <f>VLOOKUP(A183,'营销计划（活动-更新）'!$B$2:$D$213,1,FALSE)</f>
      </c>
      <c r="C183" s="201" t="str">
        <v>YXHD182</v>
      </c>
      <c r="D183" s="195" t="str">
        <v>是</v>
      </c>
      <c r="I183" s="61" t="str">
        <v>否</v>
      </c>
      <c r="J183" s="61" t="str">
        <v>否</v>
      </c>
      <c r="K183" s="61" t="str">
        <v>是</v>
      </c>
      <c r="L183">
        <f>K183</f>
      </c>
      <c r="M183" t="str">
        <v>直播间运营费</v>
      </c>
      <c r="N183" t="str">
        <v>直播间奖品</v>
      </c>
      <c r="O183" s="34" t="str">
        <v>营销费用</v>
      </c>
      <c r="P183" s="34" t="str">
        <v>渠道推广费</v>
      </c>
      <c r="Q183" s="34" t="str">
        <v>直播间活动费</v>
      </c>
    </row>
    <row customHeight="true" ht="19" r="184">
      <c r="A184" s="200" t="str">
        <v>直播间活动费--抖币</v>
      </c>
      <c r="B184" s="201">
        <f>VLOOKUP(A184,'营销计划（活动-更新）'!$B$2:$D$213,1,FALSE)</f>
      </c>
      <c r="C184" s="201" t="str">
        <v>YXHD183</v>
      </c>
      <c r="D184" s="61" t="str">
        <v>是</v>
      </c>
      <c r="E184" s="34" t="str">
        <v>抖音花西子官方旗舰店</v>
      </c>
      <c r="F184" s="34" t="str">
        <v>抖音渠道</v>
      </c>
      <c r="G184" s="61" t="str">
        <v>抖音自播</v>
      </c>
      <c r="I184" s="61" t="str">
        <v>否</v>
      </c>
      <c r="J184" s="61" t="str">
        <v>否</v>
      </c>
      <c r="K184" s="61" t="str">
        <v>否</v>
      </c>
      <c r="L184">
        <f>K184</f>
      </c>
      <c r="M184" t="str">
        <v>直播间运营费</v>
      </c>
      <c r="N184" t="str">
        <v>直播间物料</v>
      </c>
      <c r="O184" s="34" t="str">
        <v>营销费用</v>
      </c>
      <c r="P184" s="34" t="str">
        <v>渠道推广费</v>
      </c>
      <c r="Q184" s="34" t="str">
        <v>直播间活动费</v>
      </c>
    </row>
    <row customHeight="true" ht="19" r="185">
      <c r="A185" s="200" t="str">
        <v>主播团队激励</v>
      </c>
      <c r="B185" s="201">
        <f>VLOOKUP(A185,'营销计划（活动-更新）'!$B$2:$D$213,1,FALSE)</f>
      </c>
      <c r="C185" s="201" t="str">
        <v>YXHD184</v>
      </c>
      <c r="D185" s="195" t="str">
        <v>否</v>
      </c>
      <c r="I185" s="61" t="str">
        <v>否</v>
      </c>
      <c r="J185" s="61" t="str">
        <v>否</v>
      </c>
      <c r="K185" s="61" t="str">
        <v>是</v>
      </c>
      <c r="L185">
        <f>K185</f>
      </c>
      <c r="M185" t="str">
        <v>直播间运营费</v>
      </c>
      <c r="N185" t="str">
        <v>主播团队激励</v>
      </c>
      <c r="O185" s="34" t="str">
        <v>营销费用</v>
      </c>
      <c r="P185" s="34" t="str">
        <v>其他费用</v>
      </c>
      <c r="Q185" s="34" t="str">
        <v>主播团队激励</v>
      </c>
    </row>
    <row customHeight="true" ht="19" r="186">
      <c r="A186" s="200" t="str">
        <v>李佳琦公关礼</v>
      </c>
      <c r="B186" s="201">
        <f>VLOOKUP(A186,'营销计划（活动-更新）'!$B$2:$D$213,1,FALSE)</f>
      </c>
      <c r="C186" s="201" t="str">
        <v>YXHD185</v>
      </c>
      <c r="D186" s="61" t="str">
        <v>否</v>
      </c>
      <c r="I186" s="61" t="str">
        <v>否</v>
      </c>
      <c r="J186" s="61" t="str">
        <v>否</v>
      </c>
      <c r="K186" s="61" t="str">
        <v>是</v>
      </c>
      <c r="L186">
        <f>K186</f>
      </c>
      <c r="M186" t="str">
        <v>品牌营销直播专项</v>
      </c>
      <c r="N186" t="str">
        <v>BD公关费-李佳琦专项</v>
      </c>
      <c r="O186" s="34" t="str">
        <v>营销费用</v>
      </c>
      <c r="P186" s="34" t="str">
        <v>其他费用</v>
      </c>
      <c r="Q186" s="34" t="str">
        <v>公关礼品费</v>
      </c>
    </row>
    <row customHeight="true" ht="19" r="187">
      <c r="A187" s="200" t="str">
        <v>抖音直播坑位费-抖音其他</v>
      </c>
      <c r="B187" s="201">
        <f>VLOOKUP(A187,'营销计划（活动-更新）'!$B$2:$D$213,1,FALSE)</f>
      </c>
      <c r="C187" s="201" t="str">
        <v>YXHD186</v>
      </c>
      <c r="D187" s="61" t="str">
        <v>是</v>
      </c>
      <c r="E187" s="34" t="str">
        <v>抖音花西子官方旗舰店</v>
      </c>
      <c r="F187" s="34" t="str">
        <v>抖音渠道</v>
      </c>
      <c r="G187" s="61" t="str">
        <v>抖音达播</v>
      </c>
      <c r="I187" s="61" t="str">
        <v>否</v>
      </c>
      <c r="J187" s="61" t="str">
        <v>否</v>
      </c>
      <c r="K187" s="61" t="str">
        <v>否</v>
      </c>
      <c r="L187">
        <f>K187</f>
      </c>
      <c r="M187" t="str">
        <v>达人直播</v>
      </c>
      <c r="N187" t="str">
        <v>佣金-抖音其他</v>
      </c>
      <c r="O187" s="34" t="str">
        <v>营销费用</v>
      </c>
      <c r="P187" s="34" t="str">
        <v>渠道推广费</v>
      </c>
      <c r="Q187" s="34" t="str">
        <v>直播坑位费</v>
      </c>
    </row>
    <row customHeight="true" ht="19" r="188">
      <c r="A188" s="200" t="str">
        <v>抖音直播服务费-抖音其他</v>
      </c>
      <c r="B188" s="201">
        <f>VLOOKUP(A188,'营销计划（活动-更新）'!$B$2:$D$213,1,FALSE)</f>
      </c>
      <c r="C188" s="201" t="str">
        <v>YXHD187</v>
      </c>
      <c r="D188" s="61" t="str">
        <v>是</v>
      </c>
      <c r="E188" s="34" t="str">
        <v>抖音花西子官方旗舰店</v>
      </c>
      <c r="F188" s="34" t="str">
        <v>抖音渠道</v>
      </c>
      <c r="G188" s="61" t="str">
        <v>抖音达播</v>
      </c>
      <c r="I188" s="61" t="str">
        <v>否</v>
      </c>
      <c r="J188" s="61" t="str">
        <v>否</v>
      </c>
      <c r="K188" s="61" t="str">
        <v>否</v>
      </c>
      <c r="L188">
        <f>K188</f>
      </c>
      <c r="M188" t="str">
        <v>达人直播</v>
      </c>
      <c r="N188" t="str">
        <v>服务费-抖音其他</v>
      </c>
      <c r="O188" s="34" t="str">
        <v>营销费用</v>
      </c>
      <c r="P188" s="34" t="str">
        <v>渠道推广费</v>
      </c>
      <c r="Q188" s="34" t="str">
        <v>直播服务费</v>
      </c>
    </row>
    <row customHeight="true" ht="19" r="189">
      <c r="A189" s="200" t="str">
        <v>抖音直播坑位费-团长计划</v>
      </c>
      <c r="B189" s="201">
        <f>VLOOKUP(A189,'营销计划（活动-更新）'!$B$2:$D$213,1,FALSE)</f>
      </c>
      <c r="C189" s="201" t="str">
        <v>YXHD188</v>
      </c>
      <c r="D189" s="61" t="str">
        <v>是</v>
      </c>
      <c r="E189" s="34" t="str">
        <v>抖音花西子官方旗舰店</v>
      </c>
      <c r="F189" s="34" t="str">
        <v>抖音渠道</v>
      </c>
      <c r="G189" s="61" t="str">
        <v>抖音达播</v>
      </c>
      <c r="I189" s="61" t="str">
        <v>否</v>
      </c>
      <c r="J189" s="61" t="str">
        <v>否</v>
      </c>
      <c r="K189" s="61" t="str">
        <v>否</v>
      </c>
      <c r="L189">
        <f>K189</f>
      </c>
      <c r="M189" t="str">
        <v>达人直播</v>
      </c>
      <c r="N189" t="str">
        <v>佣金-团长计划</v>
      </c>
      <c r="O189" s="34" t="str">
        <v>营销费用</v>
      </c>
      <c r="P189" s="34" t="str">
        <v>渠道推广费</v>
      </c>
      <c r="Q189" s="34" t="str">
        <v>直播坑位费</v>
      </c>
    </row>
    <row customHeight="true" ht="19" r="190">
      <c r="A190" s="200" t="str">
        <v>抖音直播服务费-团长计划</v>
      </c>
      <c r="B190" s="201">
        <f>VLOOKUP(A190,'营销计划（活动-更新）'!$B$2:$D$213,1,FALSE)</f>
      </c>
      <c r="C190" s="201" t="str">
        <v>YXHD189</v>
      </c>
      <c r="D190" s="61" t="str">
        <v>是</v>
      </c>
      <c r="E190" s="34" t="str">
        <v>抖音花西子官方旗舰店</v>
      </c>
      <c r="F190" s="34" t="str">
        <v>抖音渠道</v>
      </c>
      <c r="G190" s="61" t="str">
        <v>抖音达播</v>
      </c>
      <c r="I190" s="61" t="str">
        <v>否</v>
      </c>
      <c r="J190" s="61" t="str">
        <v>否</v>
      </c>
      <c r="K190" s="61" t="str">
        <v>否</v>
      </c>
      <c r="L190">
        <f>K190</f>
      </c>
      <c r="M190" t="str">
        <v>达人直播</v>
      </c>
      <c r="N190" t="str">
        <v>服务费-团长计划</v>
      </c>
      <c r="O190" s="34" t="str">
        <v>营销费用</v>
      </c>
      <c r="P190" s="34" t="str">
        <v>渠道推广费</v>
      </c>
      <c r="Q190" s="34" t="str">
        <v>直播服务费</v>
      </c>
    </row>
    <row r="191">
      <c r="A191" s="200" t="str">
        <v>直播公关礼-外采-达播二部</v>
      </c>
      <c r="B191" s="201">
        <f>VLOOKUP(A191,'营销计划（活动-更新）'!$B$2:$D$213,1,FALSE)</f>
      </c>
      <c r="C191" s="201" t="str">
        <v>YXHD190</v>
      </c>
      <c r="D191" s="61" t="str">
        <v>否</v>
      </c>
      <c r="I191" s="61" t="str">
        <v>否</v>
      </c>
      <c r="J191" s="61" t="str">
        <v>否</v>
      </c>
      <c r="K191" s="61" t="str">
        <v>是</v>
      </c>
      <c r="L191">
        <f>K191</f>
      </c>
      <c r="M191" t="str">
        <v>品牌营销直播专项</v>
      </c>
      <c r="N191" t="str">
        <v>BD公关费-达播二部</v>
      </c>
      <c r="O191" s="34" t="str">
        <v>营销费用</v>
      </c>
      <c r="P191" s="34" t="str">
        <v>其他费用</v>
      </c>
      <c r="Q191" s="34" t="str">
        <v>公关礼品费</v>
      </c>
    </row>
    <row r="192">
      <c r="A192" s="200" t="str">
        <v>直播公关礼-自有-达播二部</v>
      </c>
      <c r="B192" s="201">
        <f>VLOOKUP(A192,'营销计划（活动-更新）'!$B$2:$D$213,1,FALSE)</f>
      </c>
      <c r="C192" s="201" t="str">
        <v>YXHD191</v>
      </c>
      <c r="D192" s="61" t="str">
        <v>否</v>
      </c>
      <c r="I192" s="61" t="str">
        <v>否</v>
      </c>
      <c r="J192" s="61" t="str">
        <v>否</v>
      </c>
      <c r="K192" s="61" t="str">
        <v>是</v>
      </c>
      <c r="L192">
        <f>K192</f>
      </c>
      <c r="M192" t="str">
        <v>品牌营销直播专项</v>
      </c>
      <c r="N192" t="str">
        <v>BD公关费-达播二部</v>
      </c>
      <c r="O192" s="34" t="str">
        <v>营销费用</v>
      </c>
      <c r="P192" s="34" t="str">
        <v>其他费用</v>
      </c>
      <c r="Q192" s="34" t="str">
        <v>公关礼品费</v>
      </c>
    </row>
    <row r="193">
      <c r="A193" s="200" t="str">
        <v>直播公关礼-外采-淘宝其他</v>
      </c>
      <c r="B193" s="201">
        <f>VLOOKUP(A193,'营销计划（活动-更新）'!$B$2:$D$213,1,FALSE)</f>
      </c>
      <c r="C193" s="201" t="str">
        <v>YXHD192</v>
      </c>
      <c r="D193" s="61" t="str">
        <v>否</v>
      </c>
      <c r="I193" s="61" t="str">
        <v>否</v>
      </c>
      <c r="J193" s="61" t="str">
        <v>否</v>
      </c>
      <c r="K193" s="61" t="str">
        <v>是</v>
      </c>
      <c r="L193">
        <f>K193</f>
      </c>
      <c r="M193" t="str">
        <v>品牌营销直播专项</v>
      </c>
      <c r="N193" t="str">
        <v>BD公关费-淘宝其他</v>
      </c>
      <c r="O193" s="34" t="str">
        <v>营销费用</v>
      </c>
      <c r="P193" s="34" t="str">
        <v>其他费用</v>
      </c>
      <c r="Q193" s="34" t="str">
        <v>公关礼品费</v>
      </c>
    </row>
    <row r="194">
      <c r="A194" s="200" t="str">
        <v>直播公关礼-自有-淘宝其他</v>
      </c>
      <c r="B194" s="201">
        <f>VLOOKUP(A194,'营销计划（活动-更新）'!$B$2:$D$213,1,FALSE)</f>
      </c>
      <c r="C194" s="201" t="str">
        <v>YXHD193</v>
      </c>
      <c r="D194" s="61" t="str">
        <v>否</v>
      </c>
      <c r="I194" s="61" t="str">
        <v>否</v>
      </c>
      <c r="J194" s="61" t="str">
        <v>否</v>
      </c>
      <c r="K194" s="61" t="str">
        <v>是</v>
      </c>
      <c r="L194">
        <f>K194</f>
      </c>
      <c r="M194" t="str">
        <v>品牌营销直播专项</v>
      </c>
      <c r="N194" t="str">
        <v>BD公关费-淘宝其他</v>
      </c>
      <c r="O194" s="34" t="str">
        <v>营销费用</v>
      </c>
      <c r="P194" s="34" t="str">
        <v>其他费用</v>
      </c>
      <c r="Q194" s="34" t="str">
        <v>公关礼品费</v>
      </c>
    </row>
    <row r="195">
      <c r="A195" s="200" t="str">
        <v>直播公关礼-外采-田恬</v>
      </c>
      <c r="B195" s="201">
        <f>VLOOKUP(A195,'营销计划（活动-更新）'!$B$2:$D$213,1,FALSE)</f>
      </c>
      <c r="C195" s="201" t="str">
        <v>YXHD194</v>
      </c>
      <c r="D195" s="61" t="str">
        <v>否</v>
      </c>
      <c r="I195" s="61" t="str">
        <v>否</v>
      </c>
      <c r="J195" s="61" t="str">
        <v>否</v>
      </c>
      <c r="K195" s="61" t="str">
        <v>是</v>
      </c>
      <c r="L195">
        <f>K195</f>
      </c>
      <c r="M195" t="str">
        <v>品牌营销直播专项</v>
      </c>
      <c r="N195" t="str">
        <v>BD公关费-田恬</v>
      </c>
      <c r="O195" s="34" t="str">
        <v>营销费用</v>
      </c>
      <c r="P195" s="34" t="str">
        <v>其他费用</v>
      </c>
      <c r="Q195" s="34" t="str">
        <v>公关礼品费</v>
      </c>
    </row>
    <row r="196">
      <c r="A196" s="200" t="str">
        <v>直播公关礼-自有-田恬</v>
      </c>
      <c r="B196" s="201">
        <f>VLOOKUP(A196,'营销计划（活动-更新）'!$B$2:$D$213,1,FALSE)</f>
      </c>
      <c r="C196" s="201" t="str">
        <v>YXHD195</v>
      </c>
      <c r="D196" s="61" t="str">
        <v>否</v>
      </c>
      <c r="I196" s="61" t="str">
        <v>否</v>
      </c>
      <c r="J196" s="61" t="str">
        <v>否</v>
      </c>
      <c r="K196" s="61" t="str">
        <v>是</v>
      </c>
      <c r="L196">
        <f>K196</f>
      </c>
      <c r="M196" t="str">
        <v>品牌营销直播专项</v>
      </c>
      <c r="N196" t="str">
        <v>BD公关费-田恬</v>
      </c>
      <c r="O196" s="34" t="str">
        <v>营销费用</v>
      </c>
      <c r="P196" s="34" t="str">
        <v>其他费用</v>
      </c>
      <c r="Q196" s="34" t="str">
        <v>公关礼品费</v>
      </c>
    </row>
    <row r="197">
      <c r="A197" s="214" t="str">
        <v>项目推广协同</v>
      </c>
      <c r="B197" s="201">
        <f>VLOOKUP(A197,'营销计划（活动-更新）'!$B$2:$D$213,1,FALSE)</f>
      </c>
      <c r="C197" s="201" t="str">
        <v>YXHD196</v>
      </c>
      <c r="D197" s="213"/>
      <c r="E197" s="213"/>
      <c r="F197" s="213"/>
      <c r="G197" s="213"/>
      <c r="H197" s="213"/>
      <c r="I197" s="213"/>
      <c r="J197" s="213"/>
      <c r="K197" s="213"/>
      <c r="L197" s="213"/>
      <c r="M197" s="30" t="str">
        <v>市场公关</v>
      </c>
      <c r="N197" s="27" t="str">
        <v>市场价值营销</v>
      </c>
      <c r="O197" s="22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</row>
    <row r="198">
      <c r="A198" s="214" t="str">
        <v>天猫-万相台-常规投放</v>
      </c>
      <c r="B198" s="201">
        <f>VLOOKUP(A198,'营销计划（活动-更新）'!$B$2:$D$213,1,FALSE)</f>
      </c>
      <c r="C198" s="201" t="str">
        <v>YXHD61</v>
      </c>
      <c r="D198" s="213"/>
      <c r="E198" s="213"/>
      <c r="F198" s="213"/>
      <c r="G198" s="213"/>
      <c r="H198" s="213"/>
      <c r="I198" s="213"/>
      <c r="J198" s="213"/>
      <c r="K198" s="213"/>
      <c r="L198" s="213"/>
      <c r="M198" s="100" t="str">
        <v>平台电商推广</v>
      </c>
      <c r="N198" s="100" t="str">
        <v>淘内-推广</v>
      </c>
      <c r="O198" s="95" t="str">
        <v>营销费用</v>
      </c>
      <c r="P198" s="96" t="str">
        <v>渠道推广费</v>
      </c>
      <c r="Q198" s="101" t="str">
        <v>站内推广费</v>
      </c>
      <c r="T198" s="213"/>
      <c r="U198" s="213"/>
      <c r="V198" s="213"/>
      <c r="W198" s="213"/>
      <c r="X198" s="213"/>
      <c r="Y198" s="213"/>
      <c r="Z198" s="213"/>
    </row>
    <row customHeight="true" ht="19" r="199">
      <c r="A199" s="212" t="str">
        <v>拼多多-常规投放</v>
      </c>
      <c r="B199" s="201">
        <f>VLOOKUP(A199,'营销计划（活动-更新）'!$B$2:$D$213,1,FALSE)</f>
      </c>
      <c r="C199" s="201" t="str">
        <v>YXHD197</v>
      </c>
      <c r="D199" s="150"/>
      <c r="E199" s="150"/>
      <c r="F199" s="150"/>
      <c r="G199" s="150"/>
      <c r="H199" s="150"/>
      <c r="I199" s="150"/>
      <c r="J199" s="150"/>
      <c r="K199" s="150"/>
      <c r="L199" s="150"/>
      <c r="M199" s="107" t="str">
        <v>平台电商推广</v>
      </c>
      <c r="N199" s="107" t="str">
        <v>拼多多渠道推广</v>
      </c>
      <c r="O199" s="95" t="str">
        <v>营销费用</v>
      </c>
      <c r="P199" s="102" t="str">
        <v>渠道推广费</v>
      </c>
      <c r="Q199" s="211" t="str">
        <v>站内推广费</v>
      </c>
      <c r="R199" s="150"/>
      <c r="S199" s="150"/>
      <c r="T199" s="150"/>
      <c r="U199" s="150"/>
      <c r="V199" s="150"/>
      <c r="W199" s="150"/>
      <c r="X199" s="150"/>
      <c r="Y199" s="150"/>
      <c r="Z199" s="150"/>
    </row>
    <row customHeight="true" ht="19" r="200">
      <c r="A200" s="212" t="str">
        <v>拼多多-联合投放</v>
      </c>
      <c r="B200" s="201">
        <f>VLOOKUP(A200,'营销计划（活动-更新）'!$B$2:$D$213,1,FALSE)</f>
      </c>
      <c r="C200" s="201" t="str">
        <v>YXHD198</v>
      </c>
      <c r="D200" s="150"/>
      <c r="E200" s="150"/>
      <c r="F200" s="150"/>
      <c r="G200" s="150"/>
      <c r="H200" s="150"/>
      <c r="I200" s="150"/>
      <c r="J200" s="150"/>
      <c r="K200" s="150"/>
      <c r="L200" s="150"/>
      <c r="M200" s="107" t="str">
        <v>平台电商推广</v>
      </c>
      <c r="N200" s="107" t="str">
        <v>拼多多渠道推广</v>
      </c>
      <c r="O200" s="95" t="str">
        <v>营销费用</v>
      </c>
      <c r="P200" s="102" t="str">
        <v>渠道推广费</v>
      </c>
      <c r="Q200" s="211" t="str">
        <v>站内推广费</v>
      </c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212" t="str">
        <v>微信ADQ投放</v>
      </c>
      <c r="B201" s="201">
        <f>VLOOKUP(A201,'营销计划（活动-更新）'!$B$2:$D$213,1,FALSE)</f>
      </c>
      <c r="C201" s="201"/>
      <c r="D201" s="150"/>
      <c r="E201" s="150"/>
      <c r="F201" s="150"/>
      <c r="G201" s="150"/>
      <c r="H201" s="150"/>
      <c r="I201" s="150"/>
      <c r="J201" s="150"/>
      <c r="K201" s="150"/>
      <c r="L201" s="150"/>
      <c r="M201" s="107"/>
      <c r="N201" s="107"/>
      <c r="O201" s="95"/>
      <c r="P201" s="102"/>
      <c r="Q201" s="211"/>
      <c r="R201" s="150"/>
      <c r="S201" s="150"/>
      <c r="T201" s="150"/>
      <c r="U201" s="150"/>
      <c r="V201" s="150"/>
      <c r="W201" s="150"/>
      <c r="X201" s="150"/>
      <c r="Y201" s="150"/>
      <c r="Z201" s="150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12"/>
    <col collapsed="false" customWidth="true" hidden="false" max="6" min="6" style="0" width="13"/>
    <col collapsed="false" customWidth="true" hidden="false" max="7" min="7" style="0" width="14"/>
    <col collapsed="false" customWidth="true" hidden="false" max="8" min="8" style="0" width="16"/>
    <col collapsed="false" customWidth="true" hidden="false" max="9" min="9" style="0" width="7"/>
    <col collapsed="false" customWidth="true" hidden="false" max="10" min="10" style="0" width="37"/>
  </cols>
  <sheetData>
    <row r="1">
      <c r="A1" s="71" t="str">
        <v>营销活动分类</v>
      </c>
      <c r="B1" s="69"/>
      <c r="C1" s="69" t="str">
        <v>一级部门</v>
      </c>
      <c r="D1" s="69" t="str">
        <v>二级部门</v>
      </c>
      <c r="E1" s="69" t="str">
        <v>三级部门</v>
      </c>
      <c r="F1" s="73" t="str">
        <v>四级部门</v>
      </c>
      <c r="G1" s="70"/>
      <c r="H1" s="9" t="str">
        <v>YSZZ01030205</v>
      </c>
      <c r="I1" s="76" t="str">
        <v>HDFL01</v>
      </c>
      <c r="J1" s="76" t="str">
        <v>HDFL01</v>
      </c>
    </row>
    <row r="2">
      <c r="A2" s="7" t="str">
        <v>IP明星内容合作</v>
      </c>
      <c r="B2" s="5">
        <f>VLOOKUP(A2,'营销活动计划分类'!$A$1:$B$43,2,FALSE)</f>
      </c>
      <c r="C2" s="5" t="str">
        <v>品牌运营中心</v>
      </c>
      <c r="D2" s="5" t="str">
        <v>市场广告推广部</v>
      </c>
      <c r="E2" s="5" t="str">
        <v>市场推广部</v>
      </c>
      <c r="F2" s="32" t="str">
        <v>市场PR组</v>
      </c>
      <c r="G2" s="2"/>
      <c r="H2" s="9" t="str">
        <v>YSZZ0102</v>
      </c>
      <c r="I2" s="30" t="str">
        <v>HDFL39</v>
      </c>
      <c r="J2" s="30" t="str">
        <v>HDFL39</v>
      </c>
    </row>
    <row r="3">
      <c r="A3" s="7" t="str">
        <v>IP明星内容合作</v>
      </c>
      <c r="B3" s="5">
        <f>VLOOKUP(A3,'营销活动计划分类'!$A$1:$B$43,2,FALSE)</f>
      </c>
      <c r="C3" s="1" t="str">
        <v>品牌运营中心</v>
      </c>
      <c r="D3" s="1" t="str">
        <v>市场广告推广部</v>
      </c>
      <c r="E3" s="1" t="str">
        <v>市场推广部</v>
      </c>
      <c r="F3" s="17" t="str">
        <v>娱乐营销组</v>
      </c>
      <c r="G3" s="2"/>
      <c r="H3" s="9" t="str">
        <v>YSZZ010201</v>
      </c>
      <c r="I3" s="30" t="str">
        <v>HDFL38</v>
      </c>
      <c r="J3" s="30" t="str">
        <v>HDFL38</v>
      </c>
    </row>
    <row r="4">
      <c r="A4" s="7" t="str">
        <v>IP明星内容合作</v>
      </c>
      <c r="B4" s="5">
        <f>VLOOKUP(A4,'营销活动计划分类'!$A$1:$B$43,2,FALSE)</f>
      </c>
      <c r="C4" s="1" t="str">
        <v>品牌运营中心</v>
      </c>
      <c r="D4" s="1" t="str">
        <v>市场广告推广部</v>
      </c>
      <c r="E4" s="1" t="str">
        <v>市场推广部</v>
      </c>
      <c r="F4" s="17" t="str">
        <v>娱乐营销组</v>
      </c>
      <c r="G4" s="2"/>
      <c r="H4" s="9" t="str">
        <v>YSZZ010202</v>
      </c>
      <c r="I4" s="30" t="str">
        <v>HDFL04</v>
      </c>
      <c r="J4" s="30" t="str">
        <v>HDFL04；HDFL05；HDFL16；HDFL17</v>
      </c>
    </row>
    <row r="5">
      <c r="A5" s="7" t="str">
        <v>IP明星内容合作</v>
      </c>
      <c r="B5" s="5">
        <f>VLOOKUP(A5,'营销活动计划分类'!$A$1:$B$43,2,FALSE)</f>
      </c>
      <c r="C5" s="1" t="str">
        <v>品牌运营中心</v>
      </c>
      <c r="D5" s="1" t="str">
        <v>市场广告推广部</v>
      </c>
      <c r="E5" s="1" t="str">
        <v>市场推广部</v>
      </c>
      <c r="F5" s="17" t="str">
        <v>娱乐营销组</v>
      </c>
      <c r="G5" s="2"/>
      <c r="H5" s="9" t="str">
        <v>YSZZ010202</v>
      </c>
      <c r="I5" s="30" t="str">
        <v>HDFL05</v>
      </c>
      <c r="J5" s="30"/>
    </row>
    <row r="6">
      <c r="A6" s="7" t="str">
        <v>IP明星内容合作</v>
      </c>
      <c r="B6" s="5">
        <f>VLOOKUP(A6,'营销活动计划分类'!$A$1:$B$43,2,FALSE)</f>
      </c>
      <c r="C6" s="1" t="str">
        <v>品牌运营中心</v>
      </c>
      <c r="D6" s="1" t="str">
        <v>市场广告推广部</v>
      </c>
      <c r="E6" s="1" t="str">
        <v>市场推广部</v>
      </c>
      <c r="F6" s="17" t="str">
        <v>娱乐营销组</v>
      </c>
      <c r="G6" s="2"/>
      <c r="H6" s="9" t="str">
        <v>YSZZ010202</v>
      </c>
      <c r="I6" s="30" t="str">
        <v>HDFL16</v>
      </c>
      <c r="J6" s="30"/>
    </row>
    <row r="7">
      <c r="A7" s="7" t="str">
        <v>IP明星内容合作</v>
      </c>
      <c r="B7" s="5">
        <f>VLOOKUP(A7,'营销活动计划分类'!$A$1:$B$43,2,FALSE)</f>
      </c>
      <c r="C7" s="1" t="str">
        <v>品牌运营中心</v>
      </c>
      <c r="D7" s="1" t="str">
        <v>市场广告推广部</v>
      </c>
      <c r="E7" s="1" t="str">
        <v>市场推广部</v>
      </c>
      <c r="F7" s="17" t="str">
        <v>娱乐营销组</v>
      </c>
      <c r="G7" s="2"/>
      <c r="H7" s="9" t="str">
        <v>YSZZ010202</v>
      </c>
      <c r="I7" s="30" t="str">
        <v>HDFL17</v>
      </c>
      <c r="J7" s="30"/>
    </row>
    <row r="8">
      <c r="A8" s="7" t="str">
        <v>IP明星内容合作</v>
      </c>
      <c r="B8" s="5">
        <f>VLOOKUP(A8,'营销活动计划分类'!$A$1:$B$43,2,FALSE)</f>
      </c>
      <c r="C8" s="1" t="str">
        <v>品牌运营中心</v>
      </c>
      <c r="D8" s="1" t="str">
        <v>市场广告推广部</v>
      </c>
      <c r="E8" s="1" t="str">
        <v>市场推广部</v>
      </c>
      <c r="F8" s="17" t="str">
        <v>娱乐营销组</v>
      </c>
      <c r="G8" s="2"/>
      <c r="H8" s="9" t="str">
        <v>YSZZ010204</v>
      </c>
      <c r="I8" s="30" t="str">
        <v>HDFL38</v>
      </c>
      <c r="J8" s="30" t="str">
        <v>HDFL38；HDFL41</v>
      </c>
    </row>
    <row r="9">
      <c r="A9" s="7" t="str">
        <v>IP明星内容合作</v>
      </c>
      <c r="B9" s="5">
        <f>VLOOKUP(A9,'营销活动计划分类'!$A$1:$B$43,2,FALSE)</f>
      </c>
      <c r="C9" s="1" t="str">
        <v>品牌运营中心</v>
      </c>
      <c r="D9" s="1" t="str">
        <v>市场广告推广部</v>
      </c>
      <c r="E9" s="1" t="str">
        <v>市场推广部</v>
      </c>
      <c r="F9" s="17" t="str">
        <v>娱乐营销组</v>
      </c>
      <c r="G9" s="2"/>
      <c r="H9" s="9" t="str">
        <v>YSZZ010204</v>
      </c>
      <c r="I9" s="30" t="str">
        <v>HDFL41</v>
      </c>
      <c r="J9" s="30"/>
    </row>
    <row r="10">
      <c r="A10" s="7" t="str">
        <v>IP明星内容合作</v>
      </c>
      <c r="B10" s="5">
        <f>VLOOKUP(A10,'营销活动计划分类'!$A$1:$B$43,2,FALSE)</f>
      </c>
      <c r="C10" s="1" t="str">
        <v>品牌运营中心</v>
      </c>
      <c r="D10" s="1" t="str">
        <v>市场广告推广部</v>
      </c>
      <c r="E10" s="1" t="str">
        <v>市场推广部</v>
      </c>
      <c r="F10" s="17" t="str">
        <v>娱乐营销组</v>
      </c>
      <c r="G10" s="2"/>
      <c r="H10" s="9" t="str">
        <v>YSZZ01030101</v>
      </c>
      <c r="I10" s="30" t="str">
        <v>HDFL06</v>
      </c>
      <c r="J10" s="30" t="str">
        <v>HDFL06</v>
      </c>
    </row>
    <row r="11">
      <c r="A11" s="7" t="str">
        <v>其他达人直播</v>
      </c>
      <c r="B11" s="5">
        <f>VLOOKUP(A11,'营销活动计划分类'!$A$1:$B$43,2,FALSE)</f>
      </c>
      <c r="C11" s="1" t="str">
        <v>品牌运营中心</v>
      </c>
      <c r="D11" s="1" t="str">
        <v>市场广告推广部</v>
      </c>
      <c r="E11" s="1" t="str">
        <v>达播2部</v>
      </c>
      <c r="F11" s="3"/>
      <c r="G11" s="2"/>
      <c r="H11" s="9" t="str">
        <v>YSZZ01030102</v>
      </c>
      <c r="I11" s="30" t="str">
        <v>HDFL08</v>
      </c>
      <c r="J11" s="30" t="str">
        <v>HDFL08；HDFL09</v>
      </c>
    </row>
    <row r="12">
      <c r="A12" s="7" t="str">
        <v>田恬</v>
      </c>
      <c r="B12" s="5">
        <f>VLOOKUP(A12,'营销活动计划分类'!$A$1:$B$43,2,FALSE)</f>
      </c>
      <c r="C12" s="1" t="str">
        <v>品牌运营中心</v>
      </c>
      <c r="D12" s="1" t="str">
        <v>直播运营部</v>
      </c>
      <c r="E12" s="1" t="str">
        <v>SKA达播部</v>
      </c>
      <c r="F12" s="3"/>
      <c r="G12" s="2"/>
      <c r="H12" s="9" t="str">
        <v>YSZZ01030102</v>
      </c>
      <c r="I12" s="30" t="str">
        <v>HDFL09</v>
      </c>
      <c r="J12" s="30"/>
    </row>
    <row r="13">
      <c r="A13" s="7" t="str">
        <v>其他达人直播</v>
      </c>
      <c r="B13" s="5">
        <f>VLOOKUP(A13,'营销活动计划分类'!$A$1:$B$43,2,FALSE)</f>
      </c>
      <c r="C13" s="1" t="str">
        <v>品牌运营中心</v>
      </c>
      <c r="D13" s="1" t="str">
        <v>市场广告推广部</v>
      </c>
      <c r="E13" s="1" t="str">
        <v>达播2部</v>
      </c>
      <c r="F13" s="3"/>
      <c r="G13" s="2"/>
      <c r="H13" s="9" t="str">
        <v>YSZZ010302</v>
      </c>
      <c r="I13" s="30" t="str">
        <v>HDFL18</v>
      </c>
      <c r="J13" s="30" t="str">
        <v>HDFL18；HDFL30；HDFL31</v>
      </c>
    </row>
    <row r="14">
      <c r="A14" s="7" t="str">
        <v>其他达人直播</v>
      </c>
      <c r="B14" s="5">
        <f>VLOOKUP(A14,'营销活动计划分类'!$A$1:$B$43,2,FALSE)</f>
      </c>
      <c r="C14" s="1" t="str">
        <v>品牌运营中心</v>
      </c>
      <c r="D14" s="1" t="str">
        <v>市场广告推广部</v>
      </c>
      <c r="E14" s="1" t="str">
        <v>达播2部</v>
      </c>
      <c r="F14" s="3"/>
      <c r="G14" s="2"/>
      <c r="H14" s="9" t="str">
        <v>YSZZ010302</v>
      </c>
      <c r="I14" s="30" t="str">
        <v>HDFL30</v>
      </c>
      <c r="J14" s="30"/>
    </row>
    <row r="15">
      <c r="A15" s="7" t="str">
        <v>田恬</v>
      </c>
      <c r="B15" s="5">
        <f>VLOOKUP(A15,'营销活动计划分类'!$A$1:$B$43,2,FALSE)</f>
      </c>
      <c r="C15" s="1" t="str">
        <v>品牌运营中心</v>
      </c>
      <c r="D15" s="1" t="str">
        <v>直播运营部</v>
      </c>
      <c r="E15" s="1" t="str">
        <v>SKA达播部</v>
      </c>
      <c r="F15" s="3"/>
      <c r="G15" s="2"/>
      <c r="H15" s="9" t="str">
        <v>YSZZ010302</v>
      </c>
      <c r="I15" s="30" t="str">
        <v>HDFL31</v>
      </c>
      <c r="J15" s="30"/>
    </row>
    <row r="16">
      <c r="A16" s="7" t="str">
        <v>其他达人直播</v>
      </c>
      <c r="B16" s="5">
        <f>VLOOKUP(A16,'营销活动计划分类'!$A$1:$B$43,2,FALSE)</f>
      </c>
      <c r="C16" s="1" t="str">
        <v>品牌运营中心</v>
      </c>
      <c r="D16" s="1" t="str">
        <v>市场广告推广部</v>
      </c>
      <c r="E16" s="1" t="str">
        <v>达播2部</v>
      </c>
      <c r="F16" s="3"/>
      <c r="G16" s="2"/>
      <c r="H16" s="9" t="str">
        <v>YSZZ01030204</v>
      </c>
      <c r="I16" s="30" t="str">
        <v>HDFL01</v>
      </c>
      <c r="J16" s="30" t="str">
        <v>HDFL01</v>
      </c>
    </row>
    <row r="17">
      <c r="A17" s="7" t="str">
        <v>其他达人直播</v>
      </c>
      <c r="B17" s="5">
        <f>VLOOKUP(A17,'营销活动计划分类'!$A$1:$B$43,2,FALSE)</f>
      </c>
      <c r="C17" s="1" t="str">
        <v>品牌运营中心</v>
      </c>
      <c r="D17" s="1" t="str">
        <v>市场广告推广部</v>
      </c>
      <c r="E17" s="1" t="str">
        <v>达播2部</v>
      </c>
      <c r="F17" s="3"/>
      <c r="G17" s="2"/>
      <c r="H17" s="9" t="str">
        <v>YSZZ01030205</v>
      </c>
      <c r="I17" s="30" t="str">
        <v>HDFL31</v>
      </c>
      <c r="J17" s="30" t="str">
        <v>HDFL31</v>
      </c>
    </row>
    <row r="18">
      <c r="A18" s="7" t="str">
        <v>其他达人直播</v>
      </c>
      <c r="B18" s="5">
        <f>VLOOKUP(A18,'营销活动计划分类'!$A$1:$B$43,2,FALSE)</f>
      </c>
      <c r="C18" s="1" t="str">
        <v>品牌运营中心</v>
      </c>
      <c r="D18" s="1" t="str">
        <v>市场广告推广部</v>
      </c>
      <c r="E18" s="1" t="str">
        <v>达播2部</v>
      </c>
      <c r="F18" s="3"/>
      <c r="G18" s="2"/>
      <c r="H18" s="9" t="str">
        <v>YSZZ01030206</v>
      </c>
      <c r="I18" s="30" t="str">
        <v>HDFL07</v>
      </c>
      <c r="J18" s="30" t="str">
        <v>HDFL07</v>
      </c>
    </row>
    <row r="19">
      <c r="A19" s="7" t="str">
        <v>李佳琦</v>
      </c>
      <c r="B19" s="5">
        <f>VLOOKUP(A19,'营销活动计划分类'!$A$1:$B$43,2,FALSE)</f>
      </c>
      <c r="C19" s="1" t="str">
        <v>品牌运营中心</v>
      </c>
      <c r="D19" s="1" t="str">
        <v>直播运营部</v>
      </c>
      <c r="E19" s="1" t="str">
        <v>SKA达播部</v>
      </c>
      <c r="F19" s="3"/>
      <c r="G19" s="2"/>
      <c r="H19" s="9" t="str">
        <v>YSZZ010303</v>
      </c>
      <c r="I19" s="30" t="str">
        <v>HDFL08</v>
      </c>
      <c r="J19" s="30" t="str">
        <v>HDFL08</v>
      </c>
    </row>
    <row r="20">
      <c r="A20" s="7" t="str">
        <v>其他达人直播</v>
      </c>
      <c r="B20" s="5">
        <f>VLOOKUP(A20,'营销活动计划分类'!$A$1:$B$43,2,FALSE)</f>
      </c>
      <c r="C20" s="1" t="str">
        <v>品牌运营中心</v>
      </c>
      <c r="D20" s="1" t="str">
        <v>市场广告推广部</v>
      </c>
      <c r="E20" s="1" t="str">
        <v>达播2部</v>
      </c>
      <c r="F20" s="3"/>
      <c r="G20" s="2"/>
      <c r="H20" s="9" t="str">
        <v>YSZZ010304</v>
      </c>
      <c r="I20" s="30" t="str">
        <v>HDFL02</v>
      </c>
      <c r="J20" s="30" t="str">
        <v>HDFL02；HDFL06；HDFL17；HDFL38</v>
      </c>
    </row>
    <row r="21">
      <c r="A21" s="7" t="str">
        <v>李佳琦</v>
      </c>
      <c r="B21" s="5">
        <f>VLOOKUP(A21,'营销活动计划分类'!$A$1:$B$43,2,FALSE)</f>
      </c>
      <c r="C21" s="1" t="str">
        <v>品牌运营中心</v>
      </c>
      <c r="D21" s="1" t="str">
        <v>直播运营部</v>
      </c>
      <c r="E21" s="1" t="str">
        <v>SKA达播部</v>
      </c>
      <c r="F21" s="3"/>
      <c r="G21" s="2"/>
      <c r="H21" s="9" t="str">
        <v>YSZZ010304</v>
      </c>
      <c r="I21" s="30" t="str">
        <v>HDFL06</v>
      </c>
      <c r="J21" s="30"/>
    </row>
    <row r="22">
      <c r="A22" s="7" t="str">
        <v>其他达人直播</v>
      </c>
      <c r="B22" s="5">
        <f>VLOOKUP(A22,'营销活动计划分类'!$A$1:$B$43,2,FALSE)</f>
      </c>
      <c r="C22" s="1" t="str">
        <v>品牌运营中心</v>
      </c>
      <c r="D22" s="1" t="str">
        <v>市场广告推广部</v>
      </c>
      <c r="E22" s="1" t="str">
        <v>达播2部</v>
      </c>
      <c r="F22" s="3"/>
      <c r="G22" s="2"/>
      <c r="H22" s="9" t="str">
        <v>YSZZ010304</v>
      </c>
      <c r="I22" s="30" t="str">
        <v>HDFL17</v>
      </c>
      <c r="J22" s="30"/>
    </row>
    <row r="23">
      <c r="A23" s="7" t="str">
        <v>素材创意制作</v>
      </c>
      <c r="B23" s="5">
        <f>VLOOKUP(A23,'营销活动计划分类'!$A$1:$B$43,2,FALSE)</f>
      </c>
      <c r="C23" s="1" t="str">
        <v>品牌运营中心</v>
      </c>
      <c r="D23" s="1" t="str">
        <v>市场广告推广部</v>
      </c>
      <c r="E23" s="1" t="str">
        <v>广告投放部</v>
      </c>
      <c r="F23" s="3" t="str">
        <v>内容策划组</v>
      </c>
      <c r="G23" s="2"/>
      <c r="H23" s="9" t="str">
        <v>YSZZ010304</v>
      </c>
      <c r="I23" s="30" t="str">
        <v>HDFL38</v>
      </c>
      <c r="J23" s="30"/>
    </row>
    <row r="24">
      <c r="A24" s="7" t="str">
        <v>素材创意制作</v>
      </c>
      <c r="B24" s="5">
        <f>VLOOKUP(A24,'营销活动计划分类'!$A$1:$B$43,2,FALSE)</f>
      </c>
      <c r="C24" s="1" t="str">
        <v>品牌运营中心</v>
      </c>
      <c r="D24" s="1" t="str">
        <v>市场广告推广部</v>
      </c>
      <c r="E24" s="1" t="str">
        <v>广告投放部</v>
      </c>
      <c r="F24" s="3" t="str">
        <v>内容策划组</v>
      </c>
      <c r="G24" s="2"/>
      <c r="H24" s="9" t="str">
        <v>YSZZ010401</v>
      </c>
      <c r="I24" s="30" t="str">
        <v>HDFL36</v>
      </c>
      <c r="J24" s="30" t="str">
        <v>HDFL36</v>
      </c>
    </row>
    <row r="25">
      <c r="A25" s="7" t="str">
        <v>素材创意制作</v>
      </c>
      <c r="B25" s="5">
        <f>VLOOKUP(A25,'营销活动计划分类'!$A$1:$B$43,2,FALSE)</f>
      </c>
      <c r="C25" s="1" t="str">
        <v>品牌运营中心</v>
      </c>
      <c r="D25" s="1" t="str">
        <v>市场广告推广部</v>
      </c>
      <c r="E25" s="1" t="str">
        <v>广告投放部</v>
      </c>
      <c r="F25" s="3" t="str">
        <v>内容策划组</v>
      </c>
      <c r="G25" s="2"/>
      <c r="H25" s="9" t="str">
        <v>YSZZ01040101</v>
      </c>
      <c r="I25" s="30" t="str">
        <v>HDFL33</v>
      </c>
      <c r="J25" s="30" t="str">
        <v>HDFL33</v>
      </c>
    </row>
    <row r="26">
      <c r="A26" s="7" t="str">
        <v>素材创意制作</v>
      </c>
      <c r="B26" s="5">
        <f>VLOOKUP(A26,'营销活动计划分类'!$A$1:$B$43,2,FALSE)</f>
      </c>
      <c r="C26" s="1" t="str">
        <v>品牌运营中心</v>
      </c>
      <c r="D26" s="1" t="str">
        <v>市场广告推广部</v>
      </c>
      <c r="E26" s="1" t="str">
        <v>广告投放部</v>
      </c>
      <c r="F26" s="3" t="str">
        <v>内容策划组</v>
      </c>
      <c r="G26" s="2"/>
      <c r="H26" s="9" t="str">
        <v>YSZZ010402</v>
      </c>
      <c r="I26" s="30" t="str">
        <v>HDFL29</v>
      </c>
      <c r="J26" s="30" t="str">
        <v>HDFL29</v>
      </c>
    </row>
    <row r="27">
      <c r="A27" s="7" t="str">
        <v>素材创意制作</v>
      </c>
      <c r="B27" s="5">
        <f>VLOOKUP(A27,'营销活动计划分类'!$A$1:$B$43,2,FALSE)</f>
      </c>
      <c r="C27" s="1" t="str">
        <v>品牌运营中心</v>
      </c>
      <c r="D27" s="1" t="str">
        <v>市场广告推广部</v>
      </c>
      <c r="E27" s="1" t="str">
        <v>广告投放部</v>
      </c>
      <c r="F27" s="3" t="str">
        <v>内容策划组</v>
      </c>
      <c r="G27" s="2"/>
      <c r="H27" s="9" t="str">
        <v>YSZZ01040301</v>
      </c>
      <c r="I27" s="30" t="str">
        <v>HDFL06</v>
      </c>
      <c r="J27" s="30" t="str">
        <v>HDFL06</v>
      </c>
    </row>
    <row r="28">
      <c r="A28" s="7" t="str">
        <v>素材创意制作</v>
      </c>
      <c r="B28" s="5">
        <f>VLOOKUP(A28,'营销活动计划分类'!$A$1:$B$43,2,FALSE)</f>
      </c>
      <c r="C28" s="1" t="str">
        <v>品牌运营中心</v>
      </c>
      <c r="D28" s="1" t="str">
        <v>市场广告推广部</v>
      </c>
      <c r="E28" s="1" t="str">
        <v>广告投放部</v>
      </c>
      <c r="F28" s="3" t="str">
        <v>内容策划组</v>
      </c>
      <c r="G28" s="2"/>
      <c r="H28" s="9" t="str">
        <v>YSZZ01040302</v>
      </c>
      <c r="I28" s="30" t="str">
        <v>HDFL06</v>
      </c>
      <c r="J28" s="30" t="str">
        <v>HDFL06；HDFL07；HDFL34；HDFL35</v>
      </c>
    </row>
    <row r="29">
      <c r="A29" s="7" t="str">
        <v>素材创意制作</v>
      </c>
      <c r="B29" s="5">
        <f>VLOOKUP(A29,'营销活动计划分类'!$A$1:$B$43,2,FALSE)</f>
      </c>
      <c r="C29" s="1" t="str">
        <v>品牌运营中心</v>
      </c>
      <c r="D29" s="1" t="str">
        <v>市场广告推广部</v>
      </c>
      <c r="E29" s="1" t="str">
        <v>广告投放部</v>
      </c>
      <c r="F29" s="3" t="str">
        <v>内容策划组</v>
      </c>
      <c r="G29" s="2"/>
      <c r="H29" s="9" t="str">
        <v>YSZZ01040302</v>
      </c>
      <c r="I29" s="30" t="str">
        <v>HDFL07</v>
      </c>
      <c r="J29" s="30"/>
    </row>
    <row r="30">
      <c r="A30" s="7" t="str">
        <v>素材创意制作</v>
      </c>
      <c r="B30" s="5">
        <f>VLOOKUP(A30,'营销活动计划分类'!$A$1:$B$43,2,FALSE)</f>
      </c>
      <c r="C30" s="1" t="str">
        <v>品牌运营中心</v>
      </c>
      <c r="D30" s="1" t="str">
        <v>市场广告推广部</v>
      </c>
      <c r="E30" s="1" t="str">
        <v>广告投放部</v>
      </c>
      <c r="F30" s="3" t="str">
        <v>内容策划组</v>
      </c>
      <c r="G30" s="2"/>
      <c r="H30" s="9" t="str">
        <v>YSZZ01040302</v>
      </c>
      <c r="I30" s="30" t="str">
        <v>HDFL34</v>
      </c>
      <c r="J30" s="30"/>
    </row>
    <row r="31">
      <c r="A31" s="7" t="str">
        <v>素材创意制作</v>
      </c>
      <c r="B31" s="5">
        <f>VLOOKUP(A31,'营销活动计划分类'!$A$1:$B$43,2,FALSE)</f>
      </c>
      <c r="C31" s="1" t="str">
        <v>品牌运营中心</v>
      </c>
      <c r="D31" s="1" t="str">
        <v>市场广告推广部</v>
      </c>
      <c r="E31" s="1" t="str">
        <v>广告投放部</v>
      </c>
      <c r="F31" s="3" t="str">
        <v>内容策划组</v>
      </c>
      <c r="G31" s="2"/>
      <c r="H31" s="9" t="str">
        <v>YSZZ01040302</v>
      </c>
      <c r="I31" s="30" t="str">
        <v>HDFL35</v>
      </c>
      <c r="J31" s="30"/>
    </row>
    <row r="32">
      <c r="A32" s="7" t="str">
        <v>素材创意制作</v>
      </c>
      <c r="B32" s="5">
        <f>VLOOKUP(A32,'营销活动计划分类'!$A$1:$B$43,2,FALSE)</f>
      </c>
      <c r="C32" s="1" t="str">
        <v>品牌运营中心</v>
      </c>
      <c r="D32" s="1" t="str">
        <v>市场广告推广部</v>
      </c>
      <c r="E32" s="1" t="str">
        <v>广告投放部</v>
      </c>
      <c r="F32" s="3" t="str">
        <v>内容策划组</v>
      </c>
      <c r="G32" s="2"/>
      <c r="H32" s="9" t="str">
        <v>YSZZ01040306</v>
      </c>
      <c r="I32" s="30" t="str">
        <v>HDFL07</v>
      </c>
      <c r="J32" s="30" t="str">
        <v>HDFL07；HDFL37</v>
      </c>
    </row>
    <row r="33">
      <c r="A33" s="7" t="str">
        <v>素材创意制作</v>
      </c>
      <c r="B33" s="5">
        <f>VLOOKUP(A33,'营销活动计划分类'!$A$1:$B$43,2,FALSE)</f>
      </c>
      <c r="C33" s="1" t="str">
        <v>品牌运营中心</v>
      </c>
      <c r="D33" s="1" t="str">
        <v>市场广告推广部</v>
      </c>
      <c r="E33" s="1" t="str">
        <v>广告投放部</v>
      </c>
      <c r="F33" s="3" t="str">
        <v>内容策划组</v>
      </c>
      <c r="G33" s="2"/>
      <c r="H33" s="9" t="str">
        <v>YSZZ01040306</v>
      </c>
      <c r="I33" s="30" t="str">
        <v>HDFL37</v>
      </c>
      <c r="J33" s="30"/>
    </row>
    <row r="34">
      <c r="A34" s="7" t="str">
        <v>素材创意制作</v>
      </c>
      <c r="B34" s="5">
        <f>VLOOKUP(A34,'营销活动计划分类'!$A$1:$B$43,2,FALSE)</f>
      </c>
      <c r="C34" s="1" t="str">
        <v>品牌运营中心</v>
      </c>
      <c r="D34" s="1" t="str">
        <v>市场广告推广部</v>
      </c>
      <c r="E34" s="1" t="str">
        <v>广告投放部</v>
      </c>
      <c r="F34" s="3" t="str">
        <v>内容策划组</v>
      </c>
      <c r="G34" s="2"/>
      <c r="H34" s="9" t="str">
        <v>YSZZ010501</v>
      </c>
      <c r="I34" s="30" t="str">
        <v>HDFL19</v>
      </c>
      <c r="J34" s="30" t="str">
        <v>HDFL19；HDFL24</v>
      </c>
    </row>
    <row r="35">
      <c r="A35" s="7" t="str">
        <v>素材创意制作</v>
      </c>
      <c r="B35" s="5">
        <f>VLOOKUP(A35,'营销活动计划分类'!$A$1:$B$43,2,FALSE)</f>
      </c>
      <c r="C35" s="1" t="str">
        <v>品牌运营中心</v>
      </c>
      <c r="D35" s="1" t="str">
        <v>市场广告推广部</v>
      </c>
      <c r="E35" s="1" t="str">
        <v>广告投放部</v>
      </c>
      <c r="F35" s="3" t="str">
        <v>内容策划组</v>
      </c>
      <c r="G35" s="2"/>
      <c r="H35" s="9" t="str">
        <v>YSZZ010501</v>
      </c>
      <c r="I35" s="30" t="str">
        <v>HDFL24</v>
      </c>
      <c r="J35" s="30"/>
    </row>
    <row r="36">
      <c r="A36" s="7" t="str">
        <v>素材创意制作</v>
      </c>
      <c r="B36" s="5">
        <f>VLOOKUP(A36,'营销活动计划分类'!$A$1:$B$43,2,FALSE)</f>
      </c>
      <c r="C36" s="1" t="str">
        <v>品牌运营中心</v>
      </c>
      <c r="D36" s="1" t="str">
        <v>市场广告推广部</v>
      </c>
      <c r="E36" s="1" t="str">
        <v>广告投放部</v>
      </c>
      <c r="F36" s="3" t="str">
        <v>内容策划组</v>
      </c>
      <c r="G36" s="2"/>
      <c r="H36" s="9" t="str">
        <v>YSZZ0106</v>
      </c>
      <c r="I36" s="30" t="str">
        <v>HDFL25</v>
      </c>
      <c r="J36" s="30" t="str">
        <v>HDFL25</v>
      </c>
    </row>
    <row r="37">
      <c r="A37" s="7" t="str">
        <v>内容加热</v>
      </c>
      <c r="B37" s="5">
        <f>VLOOKUP(A37,'营销活动计划分类'!$A$1:$B$43,2,FALSE)</f>
      </c>
      <c r="C37" s="1" t="str">
        <v>品牌运营中心</v>
      </c>
      <c r="D37" s="1" t="str">
        <v>市场广告推广部</v>
      </c>
      <c r="E37" s="1" t="str">
        <v>市场推广部</v>
      </c>
      <c r="F37" s="3" t="str">
        <v>内容投放组</v>
      </c>
      <c r="G37" s="2"/>
      <c r="H37" s="9" t="str">
        <v>YSZZ010801</v>
      </c>
      <c r="I37" s="30" t="str">
        <v>HDFL40</v>
      </c>
      <c r="J37" s="30" t="str">
        <v>HDFL40；HDFL42</v>
      </c>
    </row>
    <row r="38">
      <c r="A38" s="7" t="str">
        <v>内容加热</v>
      </c>
      <c r="B38" s="5">
        <f>VLOOKUP(A38,'营销活动计划分类'!$A$1:$B$43,2,FALSE)</f>
      </c>
      <c r="C38" s="1" t="str">
        <v>品牌运营中心</v>
      </c>
      <c r="D38" s="1" t="str">
        <v>市场广告推广部</v>
      </c>
      <c r="E38" s="1" t="str">
        <v>市场推广部</v>
      </c>
      <c r="F38" s="3" t="str">
        <v>内容投放组</v>
      </c>
      <c r="G38" s="2"/>
      <c r="H38" s="9" t="str">
        <v>YSZZ010801</v>
      </c>
      <c r="I38" s="30" t="str">
        <v>HDFL42</v>
      </c>
      <c r="J38" s="30"/>
    </row>
    <row r="39">
      <c r="A39" s="7" t="str">
        <v>素材创意制作</v>
      </c>
      <c r="B39" s="5">
        <f>VLOOKUP(A39,'营销活动计划分类'!$A$1:$B$43,2,FALSE)</f>
      </c>
      <c r="C39" s="1" t="str">
        <v>品牌运营中心</v>
      </c>
      <c r="D39" s="1" t="str">
        <v>内容电商部</v>
      </c>
      <c r="E39" s="1" t="str">
        <v>抖音部</v>
      </c>
      <c r="F39" s="3" t="str">
        <v>内容部</v>
      </c>
      <c r="G39" s="2"/>
      <c r="H39" s="9" t="str">
        <v>YSZZ010802</v>
      </c>
      <c r="I39" s="30" t="str">
        <v>HDFL22</v>
      </c>
      <c r="J39" s="30" t="str">
        <v>HDFL22</v>
      </c>
    </row>
    <row r="40">
      <c r="A40" s="7" t="str">
        <v>素材创意制作</v>
      </c>
      <c r="B40" s="5">
        <f>VLOOKUP(A40,'营销活动计划分类'!$A$1:$B$43,2,FALSE)</f>
      </c>
      <c r="C40" s="1" t="str">
        <v>品牌运营中心</v>
      </c>
      <c r="D40" s="1" t="str">
        <v>内容电商部</v>
      </c>
      <c r="E40" s="1" t="str">
        <v>抖音部</v>
      </c>
      <c r="F40" s="3" t="str">
        <v>内容部</v>
      </c>
      <c r="G40" s="2"/>
      <c r="H40" s="9" t="str">
        <v>YSZZ010902</v>
      </c>
      <c r="I40" s="30" t="str">
        <v>HDFL20</v>
      </c>
      <c r="J40" s="30" t="str">
        <v>HDFL20；HDFL21；HDFL28</v>
      </c>
    </row>
    <row r="41">
      <c r="A41" s="7" t="str">
        <v>素材创意制作</v>
      </c>
      <c r="B41" s="5">
        <f>VLOOKUP(A41,'营销活动计划分类'!$A$1:$B$43,2,FALSE)</f>
      </c>
      <c r="C41" s="1" t="str">
        <v>品牌运营中心</v>
      </c>
      <c r="D41" s="1" t="str">
        <v>内容电商部</v>
      </c>
      <c r="E41" s="1" t="str">
        <v>抖音部</v>
      </c>
      <c r="F41" s="3" t="str">
        <v>内容部</v>
      </c>
      <c r="G41" s="2"/>
      <c r="H41" s="9" t="str">
        <v>YSZZ010902</v>
      </c>
      <c r="I41" s="30" t="str">
        <v>HDFL21</v>
      </c>
      <c r="J41" s="30"/>
    </row>
    <row r="42">
      <c r="A42" s="7" t="str">
        <v>素材创意制作</v>
      </c>
      <c r="B42" s="5">
        <f>VLOOKUP(A42,'营销活动计划分类'!$A$1:$B$43,2,FALSE)</f>
      </c>
      <c r="C42" s="1" t="str">
        <v>品牌运营中心</v>
      </c>
      <c r="D42" s="1" t="str">
        <v>内容电商部</v>
      </c>
      <c r="E42" s="1" t="str">
        <v>抖音部</v>
      </c>
      <c r="F42" s="3" t="str">
        <v>内容部</v>
      </c>
      <c r="G42" s="2"/>
      <c r="H42" s="9" t="str">
        <v>YSZZ010902</v>
      </c>
      <c r="I42" s="30" t="str">
        <v>HDFL28</v>
      </c>
      <c r="J42" s="30"/>
    </row>
    <row r="43">
      <c r="A43" s="7" t="str">
        <v>素材创意制作</v>
      </c>
      <c r="B43" s="5">
        <f>VLOOKUP(A43,'营销活动计划分类'!$A$1:$B$43,2,FALSE)</f>
      </c>
      <c r="C43" s="1" t="str">
        <v>品牌运营中心</v>
      </c>
      <c r="D43" s="1" t="str">
        <v>内容电商部</v>
      </c>
      <c r="E43" s="1" t="str">
        <v>抖音部</v>
      </c>
      <c r="F43" s="3" t="str">
        <v>内容部</v>
      </c>
      <c r="G43" s="2"/>
      <c r="H43" s="9" t="str">
        <v>YSZZ0110</v>
      </c>
      <c r="I43" s="30" t="str">
        <v>HDFL10</v>
      </c>
      <c r="J43" s="30" t="str">
        <v>HDFL10；HDFL11；HDFL12；HDFL13；HDFL14；HDFL15</v>
      </c>
    </row>
    <row r="44">
      <c r="A44" s="7" t="str">
        <v>素材创意制作</v>
      </c>
      <c r="B44" s="5">
        <f>VLOOKUP(A44,'营销活动计划分类'!$A$1:$B$43,2,FALSE)</f>
      </c>
      <c r="C44" s="1" t="str">
        <v>品牌运营中心</v>
      </c>
      <c r="D44" s="1" t="str">
        <v>内容电商部</v>
      </c>
      <c r="E44" s="1" t="str">
        <v>抖音部</v>
      </c>
      <c r="F44" s="3" t="str">
        <v>内容部</v>
      </c>
      <c r="G44" s="2"/>
      <c r="H44" s="9" t="str">
        <v>YSZZ0110</v>
      </c>
      <c r="I44" s="30" t="str">
        <v>HDFL11</v>
      </c>
      <c r="J44" s="30"/>
    </row>
    <row r="45">
      <c r="A45" s="7" t="str">
        <v>素材创意制作</v>
      </c>
      <c r="B45" s="5">
        <f>VLOOKUP(A45,'营销活动计划分类'!$A$1:$B$43,2,FALSE)</f>
      </c>
      <c r="C45" s="1" t="str">
        <v>品牌运营中心</v>
      </c>
      <c r="D45" s="1" t="str">
        <v>内容电商部</v>
      </c>
      <c r="E45" s="1" t="str">
        <v>抖音部</v>
      </c>
      <c r="F45" s="3" t="str">
        <v>内容部</v>
      </c>
      <c r="G45" s="2"/>
      <c r="H45" s="9" t="str">
        <v>YSZZ0110</v>
      </c>
      <c r="I45" s="30" t="str">
        <v>HDFL12</v>
      </c>
      <c r="J45" s="30"/>
    </row>
    <row r="46">
      <c r="A46" s="7" t="str">
        <v>素材创意制作</v>
      </c>
      <c r="B46" s="5">
        <f>VLOOKUP(A46,'营销活动计划分类'!$A$1:$B$43,2,FALSE)</f>
      </c>
      <c r="C46" s="1" t="str">
        <v>品牌运营中心</v>
      </c>
      <c r="D46" s="1" t="str">
        <v>内容电商部</v>
      </c>
      <c r="E46" s="1" t="str">
        <v>抖音部</v>
      </c>
      <c r="F46" s="3" t="str">
        <v>内容部</v>
      </c>
      <c r="G46" s="2"/>
      <c r="H46" s="9" t="str">
        <v>YSZZ0110</v>
      </c>
      <c r="I46" s="30" t="str">
        <v>HDFL13</v>
      </c>
      <c r="J46" s="30"/>
    </row>
    <row r="47">
      <c r="A47" s="7" t="str">
        <v>素材创意制作</v>
      </c>
      <c r="B47" s="5">
        <f>VLOOKUP(A47,'营销活动计划分类'!$A$1:$B$43,2,FALSE)</f>
      </c>
      <c r="C47" s="1" t="str">
        <v>品牌运营中心</v>
      </c>
      <c r="D47" s="1" t="str">
        <v>内容电商部</v>
      </c>
      <c r="E47" s="1" t="str">
        <v>抖音部</v>
      </c>
      <c r="F47" s="3" t="str">
        <v>内容部</v>
      </c>
      <c r="G47" s="2"/>
      <c r="H47" s="9" t="str">
        <v>YSZZ0110</v>
      </c>
      <c r="I47" s="30" t="str">
        <v>HDFL14</v>
      </c>
      <c r="J47" s="30"/>
    </row>
    <row r="48">
      <c r="A48" s="7" t="str">
        <v>素材创意制作</v>
      </c>
      <c r="B48" s="5">
        <f>VLOOKUP(A48,'营销活动计划分类'!$A$1:$B$43,2,FALSE)</f>
      </c>
      <c r="C48" s="1" t="str">
        <v>品牌运营中心</v>
      </c>
      <c r="D48" s="1" t="str">
        <v>内容电商部</v>
      </c>
      <c r="E48" s="1" t="str">
        <v>抖音部</v>
      </c>
      <c r="F48" s="3" t="str">
        <v>内容部</v>
      </c>
      <c r="G48" s="2"/>
      <c r="H48" s="9" t="str">
        <v>YSZZ0110</v>
      </c>
      <c r="I48" s="30" t="str">
        <v>HDFL15</v>
      </c>
      <c r="J48" s="30"/>
    </row>
    <row r="49">
      <c r="A49" s="7" t="str">
        <v>素材创意制作</v>
      </c>
      <c r="B49" s="5">
        <f>VLOOKUP(A49,'营销活动计划分类'!$A$1:$B$43,2,FALSE)</f>
      </c>
      <c r="C49" s="1" t="str">
        <v>品牌运营中心</v>
      </c>
      <c r="D49" s="1" t="str">
        <v>内容电商部</v>
      </c>
      <c r="E49" s="1" t="str">
        <v>抖音部</v>
      </c>
      <c r="F49" s="3" t="str">
        <v>内容部</v>
      </c>
      <c r="G49" s="2"/>
      <c r="H49" s="9"/>
      <c r="I49" s="30"/>
      <c r="J49" s="30"/>
    </row>
    <row r="50">
      <c r="A50" s="7" t="str">
        <v>素材创意制作</v>
      </c>
      <c r="B50" s="5">
        <f>VLOOKUP(A50,'营销活动计划分类'!$A$1:$B$43,2,FALSE)</f>
      </c>
      <c r="C50" s="1" t="str">
        <v>品牌运营中心</v>
      </c>
      <c r="D50" s="1" t="str">
        <v>内容电商部</v>
      </c>
      <c r="E50" s="1" t="str">
        <v>抖音部</v>
      </c>
      <c r="F50" s="3" t="str">
        <v>内容部</v>
      </c>
      <c r="G50" s="2"/>
      <c r="H50" s="2"/>
    </row>
    <row r="51">
      <c r="A51" s="7" t="str">
        <v>素材创意制作</v>
      </c>
      <c r="B51" s="5">
        <f>VLOOKUP(A51,'营销活动计划分类'!$A$1:$B$43,2,FALSE)</f>
      </c>
      <c r="C51" s="1" t="str">
        <v>品牌运营中心</v>
      </c>
      <c r="D51" s="1" t="str">
        <v>内容电商部</v>
      </c>
      <c r="E51" s="1" t="str">
        <v>抖音部</v>
      </c>
      <c r="F51" s="3" t="str">
        <v>内容部</v>
      </c>
      <c r="G51" s="2"/>
      <c r="H51" s="2"/>
    </row>
    <row r="52">
      <c r="A52" s="7" t="str">
        <v>素材创意制作</v>
      </c>
      <c r="B52" s="5">
        <f>VLOOKUP(A52,'营销活动计划分类'!$A$1:$B$43,2,FALSE)</f>
      </c>
      <c r="C52" s="1" t="str">
        <v>品牌运营中心</v>
      </c>
      <c r="D52" s="1" t="str">
        <v>内容电商部</v>
      </c>
      <c r="E52" s="1" t="str">
        <v>抖音部</v>
      </c>
      <c r="F52" s="3" t="str">
        <v>内容部</v>
      </c>
      <c r="G52" s="2"/>
      <c r="H52" s="2"/>
    </row>
    <row r="53">
      <c r="A53" s="7" t="str">
        <v>素材创意制作</v>
      </c>
      <c r="B53" s="5">
        <f>VLOOKUP(A53,'营销活动计划分类'!$A$1:$B$43,2,FALSE)</f>
      </c>
      <c r="C53" s="1" t="str">
        <v>品牌运营中心</v>
      </c>
      <c r="D53" s="1" t="str">
        <v>内容电商部</v>
      </c>
      <c r="E53" s="1" t="str">
        <v>抖音部</v>
      </c>
      <c r="F53" s="17" t="str">
        <v>矩阵运营部</v>
      </c>
      <c r="G53" s="2"/>
      <c r="H53" s="2"/>
    </row>
    <row r="54">
      <c r="A54" s="7" t="str">
        <v>素材创意制作</v>
      </c>
      <c r="B54" s="5">
        <f>VLOOKUP(A54,'营销活动计划分类'!$A$1:$B$43,2,FALSE)</f>
      </c>
      <c r="C54" s="1" t="str">
        <v>品牌运营中心</v>
      </c>
      <c r="D54" s="1" t="str">
        <v>内容电商部</v>
      </c>
      <c r="E54" s="1" t="str">
        <v>抖音部</v>
      </c>
      <c r="F54" s="17" t="str">
        <v>矩阵运营部</v>
      </c>
      <c r="G54" s="2"/>
      <c r="H54" s="2"/>
    </row>
    <row r="55">
      <c r="A55" s="7" t="str">
        <v>素材创意制作</v>
      </c>
      <c r="B55" s="5">
        <f>VLOOKUP(A55,'营销活动计划分类'!$A$1:$B$43,2,FALSE)</f>
      </c>
      <c r="C55" s="1" t="str">
        <v>品牌运营中心</v>
      </c>
      <c r="D55" s="1" t="str">
        <v>内容电商部</v>
      </c>
      <c r="E55" s="1" t="str">
        <v>抖音部</v>
      </c>
      <c r="F55" s="17" t="str">
        <v>矩阵运营部</v>
      </c>
      <c r="G55" s="2"/>
      <c r="H55" s="2"/>
    </row>
    <row r="56">
      <c r="A56" s="7" t="str">
        <v>素材创意制作</v>
      </c>
      <c r="B56" s="5">
        <f>VLOOKUP(A56,'营销活动计划分类'!$A$1:$B$43,2,FALSE)</f>
      </c>
      <c r="C56" s="1" t="str">
        <v>品牌运营中心</v>
      </c>
      <c r="D56" s="1" t="str">
        <v>内容电商部</v>
      </c>
      <c r="E56" s="1" t="str">
        <v>抖音部</v>
      </c>
      <c r="F56" s="17" t="str">
        <v>矩阵运营部</v>
      </c>
      <c r="G56" s="2"/>
      <c r="H56" s="2"/>
    </row>
    <row r="57">
      <c r="A57" s="7" t="str">
        <v>素材创意制作</v>
      </c>
      <c r="B57" s="5">
        <f>VLOOKUP(A57,'营销活动计划分类'!$A$1:$B$43,2,FALSE)</f>
      </c>
      <c r="C57" s="1" t="str">
        <v>品牌运营中心</v>
      </c>
      <c r="D57" s="1" t="str">
        <v>内容电商部</v>
      </c>
      <c r="E57" s="1" t="str">
        <v>抖音部</v>
      </c>
      <c r="F57" s="17" t="str">
        <v>矩阵运营部</v>
      </c>
      <c r="G57" s="2"/>
      <c r="H57" s="2"/>
    </row>
    <row r="58">
      <c r="A58" s="7" t="str">
        <v>素材创意制作</v>
      </c>
      <c r="B58" s="5">
        <f>VLOOKUP(A58,'营销活动计划分类'!$A$1:$B$43,2,FALSE)</f>
      </c>
      <c r="C58" s="1" t="str">
        <v>品牌运营中心</v>
      </c>
      <c r="D58" s="1" t="str">
        <v>内容电商部</v>
      </c>
      <c r="E58" s="1" t="str">
        <v>抖音部</v>
      </c>
      <c r="F58" s="17" t="str">
        <v>矩阵运营部</v>
      </c>
      <c r="G58" s="2"/>
      <c r="H58" s="2"/>
    </row>
    <row r="59">
      <c r="A59" s="7" t="str">
        <v>素材创意制作</v>
      </c>
      <c r="B59" s="5">
        <f>VLOOKUP(A59,'营销活动计划分类'!$A$1:$B$43,2,FALSE)</f>
      </c>
      <c r="C59" s="1" t="str">
        <v>品牌运营中心</v>
      </c>
      <c r="D59" s="1" t="str">
        <v>内容电商部</v>
      </c>
      <c r="E59" s="1" t="str">
        <v>抖音部</v>
      </c>
      <c r="F59" s="17" t="str">
        <v>矩阵运营部</v>
      </c>
      <c r="G59" s="2"/>
      <c r="H59" s="2"/>
    </row>
    <row r="60">
      <c r="A60" s="7" t="str">
        <v>素材创意制作</v>
      </c>
      <c r="B60" s="5">
        <f>VLOOKUP(A60,'营销活动计划分类'!$A$1:$B$43,2,FALSE)</f>
      </c>
      <c r="C60" s="1" t="str">
        <v>品牌运营中心</v>
      </c>
      <c r="D60" s="1" t="str">
        <v>内容电商部</v>
      </c>
      <c r="E60" s="1" t="str">
        <v>抖音部</v>
      </c>
      <c r="F60" s="17" t="str">
        <v>矩阵运营部</v>
      </c>
      <c r="G60" s="2"/>
      <c r="H60" s="2"/>
    </row>
    <row r="61">
      <c r="A61" s="7" t="str">
        <v>素材创意制作</v>
      </c>
      <c r="B61" s="5">
        <f>VLOOKUP(A61,'营销活动计划分类'!$A$1:$B$43,2,FALSE)</f>
      </c>
      <c r="C61" s="1" t="str">
        <v>品牌运营中心</v>
      </c>
      <c r="D61" s="1" t="str">
        <v>内容电商部</v>
      </c>
      <c r="E61" s="1" t="str">
        <v>抖音部</v>
      </c>
      <c r="F61" s="17" t="str">
        <v>矩阵运营部</v>
      </c>
      <c r="G61" s="2"/>
      <c r="H61" s="2"/>
    </row>
    <row r="62">
      <c r="A62" s="7" t="str">
        <v>素材创意制作</v>
      </c>
      <c r="B62" s="5">
        <f>VLOOKUP(A62,'营销活动计划分类'!$A$1:$B$43,2,FALSE)</f>
      </c>
      <c r="C62" s="1" t="str">
        <v>品牌运营中心</v>
      </c>
      <c r="D62" s="1" t="str">
        <v>内容电商部</v>
      </c>
      <c r="E62" s="1" t="str">
        <v>抖音部</v>
      </c>
      <c r="F62" s="17" t="str">
        <v>矩阵运营部</v>
      </c>
      <c r="G62" s="2"/>
      <c r="H62" s="2"/>
    </row>
    <row r="63">
      <c r="A63" s="7" t="str">
        <v>素材创意制作</v>
      </c>
      <c r="B63" s="5">
        <f>VLOOKUP(A63,'营销活动计划分类'!$A$1:$B$43,2,FALSE)</f>
      </c>
      <c r="C63" s="1" t="str">
        <v>品牌运营中心</v>
      </c>
      <c r="D63" s="1" t="str">
        <v>内容电商部</v>
      </c>
      <c r="E63" s="1" t="str">
        <v>抖音部</v>
      </c>
      <c r="F63" s="17" t="str">
        <v>矩阵运营部</v>
      </c>
      <c r="G63" s="2"/>
      <c r="H63" s="2"/>
    </row>
    <row r="64">
      <c r="A64" s="7" t="str">
        <v>素材创意制作</v>
      </c>
      <c r="B64" s="5">
        <f>VLOOKUP(A64,'营销活动计划分类'!$A$1:$B$43,2,FALSE)</f>
      </c>
      <c r="C64" s="1" t="str">
        <v>品牌运营中心</v>
      </c>
      <c r="D64" s="1" t="str">
        <v>内容电商部</v>
      </c>
      <c r="E64" s="1" t="str">
        <v>抖音部</v>
      </c>
      <c r="F64" s="17" t="str">
        <v>矩阵运营部</v>
      </c>
      <c r="G64" s="2"/>
      <c r="H64" s="2"/>
    </row>
    <row r="65">
      <c r="A65" s="7" t="str">
        <v>素材创意制作</v>
      </c>
      <c r="B65" s="5">
        <f>VLOOKUP(A65,'营销活动计划分类'!$A$1:$B$43,2,FALSE)</f>
      </c>
      <c r="C65" s="1" t="str">
        <v>品牌运营中心</v>
      </c>
      <c r="D65" s="1" t="str">
        <v>内容电商部</v>
      </c>
      <c r="E65" s="1" t="str">
        <v>抖音部</v>
      </c>
      <c r="F65" s="17" t="str">
        <v>矩阵运营部</v>
      </c>
      <c r="G65" s="2"/>
      <c r="H65" s="2"/>
    </row>
    <row r="66">
      <c r="A66" s="7" t="str">
        <v>素材创意制作</v>
      </c>
      <c r="B66" s="5">
        <f>VLOOKUP(A66,'营销活动计划分类'!$A$1:$B$43,2,FALSE)</f>
      </c>
      <c r="C66" s="1" t="str">
        <v>品牌运营中心</v>
      </c>
      <c r="D66" s="1" t="str">
        <v>内容电商部</v>
      </c>
      <c r="E66" s="1" t="str">
        <v>抖音部</v>
      </c>
      <c r="F66" s="17" t="str">
        <v>矩阵运营部</v>
      </c>
      <c r="G66" s="2"/>
      <c r="H66" s="2"/>
    </row>
    <row r="67">
      <c r="A67" s="7" t="str">
        <v>内容加热</v>
      </c>
      <c r="B67" s="5">
        <f>VLOOKUP(A67,'营销活动计划分类'!$A$1:$B$43,2,FALSE)</f>
      </c>
      <c r="C67" s="1" t="str">
        <v>品牌运营中心</v>
      </c>
      <c r="D67" s="1" t="str">
        <v>市场广告推广部</v>
      </c>
      <c r="E67" s="1" t="str">
        <v>市场推广部</v>
      </c>
      <c r="F67" s="3" t="str">
        <v>内容投放组</v>
      </c>
      <c r="G67" s="2"/>
      <c r="H67" s="2"/>
    </row>
    <row r="68">
      <c r="A68" s="7" t="str">
        <v>内容加热</v>
      </c>
      <c r="B68" s="5">
        <f>VLOOKUP(A68,'营销活动计划分类'!$A$1:$B$43,2,FALSE)</f>
      </c>
      <c r="C68" s="1" t="str">
        <v>品牌运营中心</v>
      </c>
      <c r="D68" s="1" t="str">
        <v>内容电商部</v>
      </c>
      <c r="E68" s="1" t="str">
        <v>抖音部</v>
      </c>
      <c r="F68" s="17" t="str">
        <v>矩阵运营部</v>
      </c>
      <c r="G68" s="2"/>
      <c r="H68" s="2"/>
    </row>
    <row r="69">
      <c r="A69" s="7" t="str">
        <v>内容加热</v>
      </c>
      <c r="B69" s="5">
        <f>VLOOKUP(A69,'营销活动计划分类'!$A$1:$B$43,2,FALSE)</f>
      </c>
      <c r="C69" s="1" t="str">
        <v>品牌运营中心</v>
      </c>
      <c r="D69" s="1" t="str">
        <v>市场广告推广部</v>
      </c>
      <c r="E69" s="1" t="str">
        <v>市场推广部</v>
      </c>
      <c r="F69" s="3" t="str">
        <v>内容投放组</v>
      </c>
      <c r="G69" s="2"/>
      <c r="H69" s="2"/>
    </row>
    <row r="70">
      <c r="A70" s="7" t="str">
        <v>内容加热</v>
      </c>
      <c r="B70" s="5">
        <f>VLOOKUP(A70,'营销活动计划分类'!$A$1:$B$43,2,FALSE)</f>
      </c>
      <c r="C70" s="1" t="str">
        <v>品牌运营中心</v>
      </c>
      <c r="D70" s="1" t="str">
        <v>市场广告推广部</v>
      </c>
      <c r="E70" s="1" t="str">
        <v>市场推广部</v>
      </c>
      <c r="F70" s="3" t="str">
        <v>内容投放组</v>
      </c>
      <c r="G70" s="2"/>
      <c r="H70" s="2"/>
    </row>
    <row r="71">
      <c r="A71" s="7" t="str">
        <v>内容加热</v>
      </c>
      <c r="B71" s="5">
        <f>VLOOKUP(A71,'营销活动计划分类'!$A$1:$B$43,2,FALSE)</f>
      </c>
      <c r="C71" s="1" t="str">
        <v>品牌运营中心</v>
      </c>
      <c r="D71" s="1" t="str">
        <v>市场广告推广部</v>
      </c>
      <c r="E71" s="1" t="str">
        <v>市场推广部</v>
      </c>
      <c r="F71" s="3" t="str">
        <v>内容投放组</v>
      </c>
      <c r="G71" s="2"/>
      <c r="H71" s="2"/>
    </row>
    <row r="72">
      <c r="A72" s="7" t="str">
        <v>素材创意制作</v>
      </c>
      <c r="B72" s="5">
        <f>VLOOKUP(A72,'营销活动计划分类'!$A$1:$B$43,2,FALSE)</f>
      </c>
      <c r="C72" s="1" t="str">
        <v>品牌运营中心</v>
      </c>
      <c r="D72" s="1" t="str">
        <v>市场广告推广部</v>
      </c>
      <c r="E72" s="1" t="str">
        <v>达播2部</v>
      </c>
      <c r="F72" s="3"/>
      <c r="G72" s="2"/>
      <c r="H72" s="2"/>
    </row>
    <row r="73">
      <c r="A73" s="7" t="str">
        <v>内容加热</v>
      </c>
      <c r="B73" s="5">
        <f>VLOOKUP(A73,'营销活动计划分类'!$A$1:$B$43,2,FALSE)</f>
      </c>
      <c r="C73" s="1" t="str">
        <v>品牌运营中心</v>
      </c>
      <c r="D73" s="1" t="str">
        <v>市场广告推广部</v>
      </c>
      <c r="E73" s="1" t="str">
        <v>市场推广部</v>
      </c>
      <c r="F73" s="3" t="str">
        <v>内容投放组</v>
      </c>
      <c r="G73" s="2"/>
      <c r="H73" s="2"/>
    </row>
    <row r="74">
      <c r="A74" s="7" t="str">
        <v>内容加热</v>
      </c>
      <c r="B74" s="5">
        <f>VLOOKUP(A74,'营销活动计划分类'!$A$1:$B$43,2,FALSE)</f>
      </c>
      <c r="C74" s="1" t="str">
        <v>品牌运营中心</v>
      </c>
      <c r="D74" s="1" t="str">
        <v>市场广告推广部</v>
      </c>
      <c r="E74" s="1" t="str">
        <v>市场推广部</v>
      </c>
      <c r="F74" s="3" t="str">
        <v>内容投放组</v>
      </c>
      <c r="G74" s="2"/>
      <c r="H74" s="2"/>
    </row>
    <row r="75">
      <c r="A75" s="7" t="str">
        <v>内容加热</v>
      </c>
      <c r="B75" s="5">
        <f>VLOOKUP(A75,'营销活动计划分类'!$A$1:$B$43,2,FALSE)</f>
      </c>
      <c r="C75" s="1" t="str">
        <v>品牌运营中心</v>
      </c>
      <c r="D75" s="1" t="str">
        <v>市场广告推广部</v>
      </c>
      <c r="E75" s="1" t="str">
        <v>市场推广部</v>
      </c>
      <c r="F75" s="3" t="str">
        <v>内容投放组</v>
      </c>
      <c r="G75" s="2"/>
      <c r="H75" s="2"/>
    </row>
    <row r="76">
      <c r="A76" s="7" t="str">
        <v>内容加热</v>
      </c>
      <c r="B76" s="5">
        <f>VLOOKUP(A76,'营销活动计划分类'!$A$1:$B$43,2,FALSE)</f>
      </c>
      <c r="C76" s="1" t="str">
        <v>品牌运营中心</v>
      </c>
      <c r="D76" s="1" t="str">
        <v>市场广告推广部</v>
      </c>
      <c r="E76" s="1" t="str">
        <v>市场推广部</v>
      </c>
      <c r="F76" s="3" t="str">
        <v>内容投放组</v>
      </c>
      <c r="G76" s="2"/>
      <c r="H76" s="2"/>
    </row>
    <row r="77">
      <c r="A77" s="7" t="str">
        <v>素材创意制作</v>
      </c>
      <c r="B77" s="5">
        <f>VLOOKUP(A77,'营销活动计划分类'!$A$1:$B$43,2,FALSE)</f>
      </c>
      <c r="C77" s="1" t="str">
        <v>品牌运营中心</v>
      </c>
      <c r="D77" s="1" t="str">
        <v>内容电商部</v>
      </c>
      <c r="E77" s="1" t="str">
        <v>抖音部</v>
      </c>
      <c r="F77" s="3" t="str">
        <v>内容部</v>
      </c>
      <c r="G77" s="2"/>
      <c r="H77" s="2"/>
    </row>
    <row r="78">
      <c r="A78" s="7" t="str">
        <v>素材创意制作</v>
      </c>
      <c r="B78" s="5">
        <f>VLOOKUP(A78,'营销活动计划分类'!$A$1:$B$43,2,FALSE)</f>
      </c>
      <c r="C78" s="1" t="str">
        <v>品牌运营中心</v>
      </c>
      <c r="D78" s="1" t="str">
        <v>内容电商部</v>
      </c>
      <c r="E78" s="1" t="str">
        <v>抖音部</v>
      </c>
      <c r="F78" s="3" t="str">
        <v>内容部</v>
      </c>
      <c r="G78" s="2"/>
      <c r="H78" s="2"/>
    </row>
    <row r="79">
      <c r="A79" s="7" t="str">
        <v>线上品宣</v>
      </c>
      <c r="B79" s="5">
        <f>VLOOKUP(A79,'营销活动计划分类'!$A$1:$B$43,2,FALSE)</f>
      </c>
      <c r="C79" s="1" t="str">
        <v>品牌运营中心</v>
      </c>
      <c r="D79" s="1" t="str">
        <v>市场广告推广部</v>
      </c>
      <c r="E79" s="1" t="str">
        <v>广告投放部</v>
      </c>
      <c r="F79" s="3" t="str">
        <v>媒介组</v>
      </c>
      <c r="G79" s="2"/>
      <c r="H79" s="2"/>
    </row>
    <row r="80">
      <c r="A80" s="7" t="str">
        <v>线上品宣</v>
      </c>
      <c r="B80" s="5">
        <f>VLOOKUP(A80,'营销活动计划分类'!$A$1:$B$43,2,FALSE)</f>
      </c>
      <c r="C80" s="1" t="str">
        <v>品牌运营中心</v>
      </c>
      <c r="D80" s="1" t="str">
        <v>市场广告推广部</v>
      </c>
      <c r="E80" s="1" t="str">
        <v>广告投放部</v>
      </c>
      <c r="F80" s="3" t="str">
        <v>媒介组</v>
      </c>
      <c r="G80" s="2"/>
      <c r="H80" s="2"/>
    </row>
    <row r="81">
      <c r="A81" s="7" t="str">
        <v>线上品宣</v>
      </c>
      <c r="B81" s="5">
        <f>VLOOKUP(A81,'营销活动计划分类'!$A$1:$B$43,2,FALSE)</f>
      </c>
      <c r="C81" s="1" t="str">
        <v>品牌运营中心</v>
      </c>
      <c r="D81" s="1" t="str">
        <v>市场广告推广部</v>
      </c>
      <c r="E81" s="1" t="str">
        <v>广告投放部</v>
      </c>
      <c r="F81" s="3" t="str">
        <v>媒介组</v>
      </c>
      <c r="G81" s="2"/>
      <c r="H81" s="2"/>
    </row>
    <row r="82">
      <c r="A82" s="7" t="str">
        <v>线下品宣</v>
      </c>
      <c r="B82" s="5">
        <f>VLOOKUP(A82,'营销活动计划分类'!$A$1:$B$43,2,FALSE)</f>
      </c>
      <c r="C82" s="1" t="str">
        <v>品牌运营中心</v>
      </c>
      <c r="D82" s="1" t="str">
        <v>市场广告推广部</v>
      </c>
      <c r="E82" s="1" t="str">
        <v>广告投放部</v>
      </c>
      <c r="F82" s="3" t="str">
        <v>媒介组</v>
      </c>
      <c r="G82" s="2"/>
      <c r="H82" s="2"/>
    </row>
    <row r="83">
      <c r="A83" s="7" t="str">
        <v>线下品宣</v>
      </c>
      <c r="B83" s="5">
        <f>VLOOKUP(A83,'营销活动计划分类'!$A$1:$B$43,2,FALSE)</f>
      </c>
      <c r="C83" s="1" t="str">
        <v>品牌运营中心</v>
      </c>
      <c r="D83" s="1" t="str">
        <v>市场广告推广部</v>
      </c>
      <c r="E83" s="1" t="str">
        <v>广告投放部</v>
      </c>
      <c r="F83" s="3" t="str">
        <v>媒介组</v>
      </c>
      <c r="G83" s="2"/>
      <c r="H83" s="2"/>
    </row>
    <row r="84">
      <c r="A84" s="7" t="str">
        <v>线下品宣</v>
      </c>
      <c r="B84" s="5">
        <f>VLOOKUP(A84,'营销活动计划分类'!$A$1:$B$43,2,FALSE)</f>
      </c>
      <c r="C84" s="1" t="str">
        <v>品牌运营中心</v>
      </c>
      <c r="D84" s="1" t="str">
        <v>市场广告推广部</v>
      </c>
      <c r="E84" s="1" t="str">
        <v>广告投放部</v>
      </c>
      <c r="F84" s="3" t="str">
        <v>媒介组</v>
      </c>
      <c r="G84" s="2"/>
      <c r="H84" s="2"/>
    </row>
    <row r="85">
      <c r="A85" s="7" t="str">
        <v>线上品宣</v>
      </c>
      <c r="B85" s="5">
        <f>VLOOKUP(A85,'营销活动计划分类'!$A$1:$B$43,2,FALSE)</f>
      </c>
      <c r="C85" s="1" t="str">
        <v>品牌运营中心</v>
      </c>
      <c r="D85" s="1" t="str">
        <v>市场广告推广部</v>
      </c>
      <c r="E85" s="1" t="str">
        <v>广告投放部</v>
      </c>
      <c r="F85" s="3" t="str">
        <v>媒介组</v>
      </c>
      <c r="G85" s="2"/>
      <c r="H85" s="2"/>
    </row>
    <row r="86">
      <c r="A86" s="7" t="str">
        <v>线上品宣</v>
      </c>
      <c r="B86" s="5">
        <f>VLOOKUP(A86,'营销活动计划分类'!$A$1:$B$43,2,FALSE)</f>
      </c>
      <c r="C86" s="1" t="str">
        <v>品牌运营中心</v>
      </c>
      <c r="D86" s="1" t="str">
        <v>市场广告推广部</v>
      </c>
      <c r="E86" s="1" t="str">
        <v>广告投放部</v>
      </c>
      <c r="F86" s="3" t="str">
        <v>媒介组</v>
      </c>
      <c r="G86" s="2"/>
      <c r="H86" s="2"/>
    </row>
    <row r="87">
      <c r="A87" s="7" t="str">
        <v>线上品宣</v>
      </c>
      <c r="B87" s="5">
        <f>VLOOKUP(A87,'营销活动计划分类'!$A$1:$B$43,2,FALSE)</f>
      </c>
      <c r="C87" s="1" t="str">
        <v>品牌运营中心</v>
      </c>
      <c r="D87" s="1" t="str">
        <v>市场广告推广部</v>
      </c>
      <c r="E87" s="1" t="str">
        <v>广告投放部</v>
      </c>
      <c r="F87" s="3" t="str">
        <v>媒介组</v>
      </c>
      <c r="G87" s="2"/>
      <c r="H87" s="2"/>
    </row>
    <row r="88">
      <c r="A88" s="7" t="str">
        <v>线上品宣</v>
      </c>
      <c r="B88" s="5">
        <f>VLOOKUP(A88,'营销活动计划分类'!$A$1:$B$43,2,FALSE)</f>
      </c>
      <c r="C88" s="1" t="str">
        <v>品牌运营中心</v>
      </c>
      <c r="D88" s="1" t="str">
        <v>市场广告推广部</v>
      </c>
      <c r="E88" s="1" t="str">
        <v>广告投放部</v>
      </c>
      <c r="F88" s="3" t="str">
        <v>媒介组</v>
      </c>
      <c r="G88" s="2"/>
      <c r="H88" s="2"/>
    </row>
    <row r="89">
      <c r="A89" s="7" t="str">
        <v>线上品宣</v>
      </c>
      <c r="B89" s="5">
        <f>VLOOKUP(A89,'营销活动计划分类'!$A$1:$B$43,2,FALSE)</f>
      </c>
      <c r="C89" s="1" t="str">
        <v>品牌运营中心</v>
      </c>
      <c r="D89" s="1" t="str">
        <v>市场广告推广部</v>
      </c>
      <c r="E89" s="1" t="str">
        <v>广告投放部</v>
      </c>
      <c r="F89" s="3" t="str">
        <v>媒介组</v>
      </c>
      <c r="G89" s="2"/>
      <c r="H89" s="2"/>
    </row>
    <row r="90">
      <c r="A90" s="7" t="str">
        <v>线上品宣</v>
      </c>
      <c r="B90" s="5">
        <f>VLOOKUP(A90,'营销活动计划分类'!$A$1:$B$43,2,FALSE)</f>
      </c>
      <c r="C90" s="1" t="str">
        <v>品牌运营中心</v>
      </c>
      <c r="D90" s="1" t="str">
        <v>市场广告推广部</v>
      </c>
      <c r="E90" s="1" t="str">
        <v>策略部</v>
      </c>
      <c r="F90" s="3"/>
      <c r="G90" s="2"/>
      <c r="H90" s="2"/>
    </row>
    <row r="91">
      <c r="A91" s="20" t="str">
        <v>IMC国妆</v>
      </c>
      <c r="B91" s="5">
        <f>VLOOKUP(A91,'营销活动计划分类'!$A$1:$B$43,2,FALSE)</f>
      </c>
      <c r="C91" s="23" t="str">
        <v>品牌产品中心</v>
      </c>
      <c r="D91" s="23" t="str">
        <v>品牌营销部</v>
      </c>
      <c r="E91" s="23"/>
      <c r="F91" s="21"/>
      <c r="G91" s="22"/>
      <c r="H91" s="22"/>
    </row>
    <row r="92">
      <c r="A92" s="227" t="str">
        <v>IMC花养</v>
      </c>
      <c r="B92" s="5">
        <f>VLOOKUP(A92,'营销活动计划分类'!$A$1:$B$43,2,FALSE)</f>
      </c>
      <c r="C92" s="23" t="str">
        <v>品牌产品中心</v>
      </c>
      <c r="D92" s="23" t="str">
        <v>品牌营销部</v>
      </c>
      <c r="E92" s="23"/>
      <c r="F92" s="21"/>
      <c r="G92" s="22"/>
      <c r="H92" s="22"/>
    </row>
    <row r="93">
      <c r="A93" s="227" t="str">
        <v>IMC文化</v>
      </c>
      <c r="B93" s="5">
        <f>VLOOKUP(A93,'营销活动计划分类'!$A$1:$B$43,2,FALSE)</f>
      </c>
      <c r="C93" s="23" t="str">
        <v>品牌产品中心</v>
      </c>
      <c r="D93" s="23" t="str">
        <v>品牌营销部</v>
      </c>
      <c r="E93" s="23"/>
      <c r="F93" s="21"/>
      <c r="G93" s="22"/>
      <c r="H93" s="22"/>
    </row>
    <row r="94">
      <c r="A94" s="226" t="str">
        <v>日常-创意与物料</v>
      </c>
      <c r="B94" s="5">
        <f>VLOOKUP(A94,'营销活动计划分类'!$A$1:$B$43,2,FALSE)</f>
      </c>
      <c r="C94" s="23" t="str">
        <v>品牌产品中心</v>
      </c>
      <c r="D94" s="23" t="str">
        <v>品牌营销部</v>
      </c>
      <c r="E94" s="23"/>
      <c r="F94" s="21"/>
      <c r="G94" s="22"/>
      <c r="H94" s="22"/>
    </row>
    <row r="95">
      <c r="A95" s="225" t="str">
        <v>调研费</v>
      </c>
      <c r="B95" s="5">
        <f>VLOOKUP(A95,'营销活动计划分类'!$A$1:$B$43,2,FALSE)</f>
      </c>
      <c r="C95" s="23" t="str">
        <v>品牌产品中心</v>
      </c>
      <c r="D95" s="23" t="str">
        <v>品牌营销部</v>
      </c>
      <c r="E95" s="23"/>
      <c r="F95" s="21"/>
      <c r="G95" s="22"/>
      <c r="H95" s="22"/>
    </row>
    <row r="96">
      <c r="A96" s="225" t="str">
        <v>新媒体费用</v>
      </c>
      <c r="B96" s="5">
        <f>VLOOKUP(A96,'营销活动计划分类'!$A$1:$B$43,2,FALSE)</f>
      </c>
      <c r="C96" s="23" t="str">
        <v>品牌产品中心</v>
      </c>
      <c r="D96" s="23" t="str">
        <v>品牌营销部</v>
      </c>
      <c r="E96" s="23"/>
      <c r="F96" s="21"/>
      <c r="G96" s="22"/>
      <c r="H96" s="22"/>
    </row>
    <row r="97">
      <c r="A97" s="225" t="str">
        <v>新媒体费用</v>
      </c>
      <c r="B97" s="5">
        <f>VLOOKUP(A97,'营销活动计划分类'!$A$1:$B$43,2,FALSE)</f>
      </c>
      <c r="C97" s="23" t="str">
        <v>品牌产品中心</v>
      </c>
      <c r="D97" s="23" t="str">
        <v>品牌营销部</v>
      </c>
      <c r="E97" s="23"/>
      <c r="F97" s="21"/>
      <c r="G97" s="22"/>
      <c r="H97" s="22"/>
    </row>
    <row r="98">
      <c r="A98" s="225" t="str">
        <v>新媒体费用</v>
      </c>
      <c r="B98" s="5">
        <f>VLOOKUP(A98,'营销活动计划分类'!$A$1:$B$43,2,FALSE)</f>
      </c>
      <c r="C98" s="23" t="str">
        <v>品牌产品中心</v>
      </c>
      <c r="D98" s="23" t="str">
        <v>品牌营销部</v>
      </c>
      <c r="E98" s="23"/>
      <c r="F98" s="21"/>
      <c r="G98" s="22"/>
      <c r="H98" s="22"/>
    </row>
    <row r="99">
      <c r="A99" s="225" t="str">
        <v>新媒体费用</v>
      </c>
      <c r="B99" s="5">
        <f>VLOOKUP(A99,'营销活动计划分类'!$A$1:$B$43,2,FALSE)</f>
      </c>
      <c r="C99" s="23" t="str">
        <v>品牌产品中心</v>
      </c>
      <c r="D99" s="23" t="str">
        <v>品牌营销部</v>
      </c>
      <c r="E99" s="23"/>
      <c r="F99" s="21"/>
      <c r="G99" s="22"/>
      <c r="H99" s="22"/>
    </row>
    <row r="100">
      <c r="A100" s="7" t="str">
        <v>李佳琦全案</v>
      </c>
      <c r="B100" s="5">
        <f>VLOOKUP(A100,'营销活动计划分类'!$A$1:$B$43,2,FALSE)</f>
      </c>
      <c r="C100" s="1" t="str">
        <v>品牌运营中心</v>
      </c>
      <c r="D100" s="1" t="str">
        <v>直播运营部</v>
      </c>
      <c r="E100" s="1" t="str">
        <v>SKA达播部</v>
      </c>
      <c r="F100" s="3"/>
      <c r="G100" s="2"/>
      <c r="H100" s="2"/>
    </row>
    <row r="101">
      <c r="A101" s="7" t="str">
        <v>李佳琦全案</v>
      </c>
      <c r="B101" s="5">
        <f>VLOOKUP(A101,'营销活动计划分类'!$A$1:$B$43,2,FALSE)</f>
      </c>
      <c r="C101" s="1" t="str">
        <v>品牌运营中心</v>
      </c>
      <c r="D101" s="30" t="str">
        <v>直播运营部</v>
      </c>
      <c r="E101" s="30" t="str">
        <v>SKA达播部</v>
      </c>
      <c r="F101" s="3"/>
      <c r="G101" s="2"/>
      <c r="H101" s="2"/>
    </row>
    <row r="102">
      <c r="A102" s="7" t="str">
        <v>直播公关费</v>
      </c>
      <c r="B102" s="5">
        <f>VLOOKUP(A102,'营销活动计划分类'!$A$1:$B$43,2,FALSE)</f>
      </c>
      <c r="C102" s="1" t="str">
        <v>品牌运营中心</v>
      </c>
      <c r="D102" s="30" t="str">
        <v>直播运营部</v>
      </c>
      <c r="E102" s="30" t="str">
        <v>SKA达播部</v>
      </c>
      <c r="F102" s="3"/>
      <c r="G102" s="2"/>
      <c r="H102" s="2"/>
    </row>
    <row r="103">
      <c r="A103" s="7" t="str">
        <v>直播公关费</v>
      </c>
      <c r="B103" s="5">
        <f>VLOOKUP(A103,'营销活动计划分类'!$A$1:$B$43,2,FALSE)</f>
      </c>
      <c r="C103" s="1" t="str">
        <v>品牌运营中心</v>
      </c>
      <c r="D103" s="1" t="str">
        <v>市场广告推广部</v>
      </c>
      <c r="E103" s="1" t="str">
        <v>达播2部</v>
      </c>
      <c r="F103" s="3"/>
      <c r="G103" s="2"/>
      <c r="H103" s="2"/>
    </row>
    <row r="104">
      <c r="A104" s="7" t="str">
        <v>直播公关费</v>
      </c>
      <c r="B104" s="5">
        <f>VLOOKUP(A104,'营销活动计划分类'!$A$1:$B$43,2,FALSE)</f>
      </c>
      <c r="C104" s="1" t="str">
        <v>品牌运营中心</v>
      </c>
      <c r="D104" s="1" t="str">
        <v>市场广告推广部</v>
      </c>
      <c r="E104" s="1" t="str">
        <v>达播2部</v>
      </c>
      <c r="F104" s="3"/>
      <c r="G104" s="2"/>
      <c r="H104" s="2"/>
    </row>
    <row r="105">
      <c r="A105" s="7" t="str">
        <v>直播公关费</v>
      </c>
      <c r="B105" s="5">
        <f>VLOOKUP(A105,'营销活动计划分类'!$A$1:$B$43,2,FALSE)</f>
      </c>
      <c r="C105" s="1" t="str">
        <v>品牌运营中心</v>
      </c>
      <c r="D105" s="30" t="str">
        <v>直播运营部</v>
      </c>
      <c r="E105" s="30" t="str">
        <v>SKA达播部</v>
      </c>
      <c r="F105" s="3"/>
      <c r="G105" s="2"/>
      <c r="H105" s="2"/>
    </row>
    <row r="106">
      <c r="A106" s="7" t="str">
        <v>直播公关费</v>
      </c>
      <c r="B106" s="5">
        <f>VLOOKUP(A106,'营销活动计划分类'!$A$1:$B$43,2,FALSE)</f>
      </c>
      <c r="C106" s="1" t="str">
        <v>品牌运营中心</v>
      </c>
      <c r="D106" s="1" t="str">
        <v>市场广告推广部</v>
      </c>
      <c r="E106" s="1" t="str">
        <v>达播2部</v>
      </c>
      <c r="F106" s="3"/>
      <c r="G106" s="2"/>
      <c r="H106" s="2"/>
    </row>
    <row r="107">
      <c r="A107" s="7" t="str">
        <v>直播公关费</v>
      </c>
      <c r="B107" s="5">
        <f>VLOOKUP(A107,'营销活动计划分类'!$A$1:$B$43,2,FALSE)</f>
      </c>
      <c r="C107" s="1" t="str">
        <v>品牌运营中心</v>
      </c>
      <c r="D107" s="1" t="str">
        <v>市场广告推广部</v>
      </c>
      <c r="E107" s="1" t="str">
        <v>达播2部</v>
      </c>
      <c r="F107" s="3"/>
      <c r="G107" s="2"/>
      <c r="H107" s="2"/>
    </row>
    <row r="108">
      <c r="A108" s="7" t="str">
        <v>直播公关费</v>
      </c>
      <c r="B108" s="5">
        <f>VLOOKUP(A108,'营销活动计划分类'!$A$1:$B$43,2,FALSE)</f>
      </c>
      <c r="C108" s="1" t="str">
        <v>品牌运营中心</v>
      </c>
      <c r="D108" s="30" t="str">
        <v>直播运营部</v>
      </c>
      <c r="E108" s="30" t="str">
        <v>SKA达播部</v>
      </c>
      <c r="F108" s="3"/>
      <c r="G108" s="2"/>
      <c r="H108" s="2"/>
    </row>
    <row r="109">
      <c r="A109" s="84" t="str">
        <v>品牌营销-跨中心协同</v>
      </c>
      <c r="B109" s="5">
        <f>VLOOKUP(A109,'营销活动计划分类'!$A$1:$B$43,2,FALSE)</f>
      </c>
      <c r="C109" s="83" t="str">
        <v>品牌运营中心</v>
      </c>
      <c r="D109" s="83" t="str">
        <v>市场广告推广部</v>
      </c>
      <c r="E109" s="83" t="str">
        <v>市场推广部</v>
      </c>
      <c r="F109" s="81"/>
      <c r="G109" s="79"/>
      <c r="H109" s="79"/>
    </row>
    <row r="110">
      <c r="A110" s="18" t="str">
        <v>天猫站外推广</v>
      </c>
      <c r="B110" s="5">
        <f>VLOOKUP(A110,'营销活动计划分类'!$A$1:$B$43,2,FALSE)</f>
      </c>
      <c r="C110" s="1" t="str">
        <v>品牌运营中心</v>
      </c>
      <c r="D110" s="1" t="str">
        <v>天猫运营部</v>
      </c>
      <c r="E110" s="1" t="str">
        <v>推广中心组</v>
      </c>
      <c r="F110" s="3"/>
      <c r="G110" s="2"/>
      <c r="H110" s="2"/>
    </row>
    <row r="111">
      <c r="A111" s="4" t="str">
        <v>天猫站外推广</v>
      </c>
      <c r="B111" s="5">
        <f>VLOOKUP(A111,'营销活动计划分类'!$A$1:$B$43,2,FALSE)</f>
      </c>
      <c r="C111" s="1" t="str">
        <v>品牌运营中心</v>
      </c>
      <c r="D111" s="1" t="str">
        <v>天猫运营部</v>
      </c>
      <c r="E111" s="1" t="str">
        <v>推广中心组</v>
      </c>
      <c r="F111" s="3"/>
      <c r="G111" s="2"/>
      <c r="H111" s="2"/>
    </row>
    <row r="112">
      <c r="A112" s="7" t="str">
        <v>天猫站外推广</v>
      </c>
      <c r="B112" s="5">
        <f>VLOOKUP(A112,'营销活动计划分类'!$A$1:$B$43,2,FALSE)</f>
      </c>
      <c r="C112" s="1" t="str">
        <v>品牌运营中心</v>
      </c>
      <c r="D112" s="1" t="str">
        <v>天猫运营部</v>
      </c>
      <c r="E112" s="1" t="str">
        <v>推广中心组</v>
      </c>
      <c r="F112" s="3"/>
      <c r="G112" s="2"/>
      <c r="H112" s="2"/>
    </row>
    <row r="113">
      <c r="A113" s="7" t="str">
        <v>天猫站外推广</v>
      </c>
      <c r="B113" s="5">
        <f>VLOOKUP(A113,'营销活动计划分类'!$A$1:$B$43,2,FALSE)</f>
      </c>
      <c r="C113" s="1" t="str">
        <v>品牌运营中心</v>
      </c>
      <c r="D113" s="1" t="str">
        <v>天猫运营部</v>
      </c>
      <c r="E113" s="1" t="str">
        <v>推广中心组</v>
      </c>
      <c r="F113" s="3"/>
      <c r="G113" s="2"/>
      <c r="H113" s="2"/>
    </row>
    <row r="114">
      <c r="A114" s="18" t="str">
        <v>天猫站外推广</v>
      </c>
      <c r="B114" s="5">
        <f>VLOOKUP(A114,'营销活动计划分类'!$A$1:$B$43,2,FALSE)</f>
      </c>
      <c r="C114" s="1" t="str">
        <v>品牌运营中心</v>
      </c>
      <c r="D114" s="1" t="str">
        <v>天猫运营部</v>
      </c>
      <c r="E114" s="1" t="str">
        <v>推广中心组</v>
      </c>
      <c r="F114" s="3"/>
      <c r="G114" s="2"/>
      <c r="H114" s="2"/>
    </row>
    <row r="115">
      <c r="A115" s="7" t="str">
        <v>京东渠道推广-POP</v>
      </c>
      <c r="B115" s="5">
        <f>VLOOKUP(A115,'营销活动计划分类'!$A$1:$B$43,2,FALSE)</f>
      </c>
      <c r="C115" s="1" t="str">
        <v>品牌运营中心</v>
      </c>
      <c r="D115" s="1" t="str">
        <v>京东部</v>
      </c>
      <c r="E115" s="1" t="str">
        <v>京东推广部</v>
      </c>
      <c r="F115" s="3"/>
      <c r="G115" s="2"/>
      <c r="H115" s="2"/>
    </row>
    <row r="116">
      <c r="A116" s="7" t="str">
        <v>京东渠道推广-POP</v>
      </c>
      <c r="B116" s="5">
        <f>VLOOKUP(A116,'营销活动计划分类'!$A$1:$B$43,2,FALSE)</f>
      </c>
      <c r="C116" s="1" t="str">
        <v>品牌运营中心</v>
      </c>
      <c r="D116" s="1" t="str">
        <v>京东部</v>
      </c>
      <c r="E116" s="1" t="str">
        <v>京东推广部</v>
      </c>
      <c r="F116" s="3"/>
      <c r="G116" s="2"/>
      <c r="H116" s="2"/>
    </row>
    <row r="117">
      <c r="A117" s="7" t="str">
        <v>京东渠道推广-POP</v>
      </c>
      <c r="B117" s="5">
        <f>VLOOKUP(A117,'营销活动计划分类'!$A$1:$B$43,2,FALSE)</f>
      </c>
      <c r="C117" s="1" t="str">
        <v>品牌运营中心</v>
      </c>
      <c r="D117" s="1" t="str">
        <v>京东部</v>
      </c>
      <c r="E117" s="1" t="str">
        <v>京东推广部</v>
      </c>
      <c r="F117" s="3"/>
      <c r="G117" s="2"/>
      <c r="H117" s="2"/>
    </row>
    <row r="118">
      <c r="A118" s="7" t="str">
        <v>京东渠道推广-POP</v>
      </c>
      <c r="B118" s="5">
        <f>VLOOKUP(A118,'营销活动计划分类'!$A$1:$B$43,2,FALSE)</f>
      </c>
      <c r="C118" s="1" t="str">
        <v>品牌运营中心</v>
      </c>
      <c r="D118" s="1" t="str">
        <v>京东部</v>
      </c>
      <c r="E118" s="1" t="str">
        <v>京东推广部</v>
      </c>
      <c r="F118" s="3"/>
      <c r="G118" s="2"/>
      <c r="H118" s="2"/>
    </row>
    <row r="119">
      <c r="A119" s="7" t="str">
        <v>京东渠道推广-POP</v>
      </c>
      <c r="B119" s="5">
        <f>VLOOKUP(A119,'营销活动计划分类'!$A$1:$B$43,2,FALSE)</f>
      </c>
      <c r="C119" s="1" t="str">
        <v>品牌运营中心</v>
      </c>
      <c r="D119" s="1" t="str">
        <v>京东部</v>
      </c>
      <c r="E119" s="1" t="str">
        <v>京东推广部</v>
      </c>
      <c r="F119" s="3"/>
      <c r="G119" s="2"/>
      <c r="H119" s="2"/>
    </row>
    <row r="120">
      <c r="A120" s="7" t="str">
        <v>京东渠道推广-POP</v>
      </c>
      <c r="B120" s="5">
        <f>VLOOKUP(A120,'营销活动计划分类'!$A$1:$B$43,2,FALSE)</f>
      </c>
      <c r="C120" s="1" t="str">
        <v>品牌运营中心</v>
      </c>
      <c r="D120" s="1" t="str">
        <v>京东部</v>
      </c>
      <c r="E120" s="1" t="str">
        <v>京东推广部</v>
      </c>
      <c r="F120" s="3"/>
      <c r="G120" s="2"/>
      <c r="H120" s="2"/>
    </row>
    <row r="121">
      <c r="A121" s="7" t="str">
        <v>京东渠道推广-自营</v>
      </c>
      <c r="B121" s="5">
        <f>VLOOKUP(A121,'营销活动计划分类'!$A$1:$B$43,2,FALSE)</f>
      </c>
      <c r="C121" s="1" t="str">
        <v>品牌运营中心</v>
      </c>
      <c r="D121" s="1" t="str">
        <v>京东部</v>
      </c>
      <c r="E121" s="1" t="str">
        <v>京东推广部</v>
      </c>
      <c r="F121" s="3"/>
      <c r="G121" s="2"/>
      <c r="H121" s="2"/>
    </row>
    <row r="122">
      <c r="A122" s="7" t="str">
        <v>京东渠道推广-自营</v>
      </c>
      <c r="B122" s="5">
        <f>VLOOKUP(A122,'营销活动计划分类'!$A$1:$B$43,2,FALSE)</f>
      </c>
      <c r="C122" s="1" t="str">
        <v>品牌运营中心</v>
      </c>
      <c r="D122" s="1" t="str">
        <v>京东部</v>
      </c>
      <c r="E122" s="1" t="str">
        <v>京东推广部</v>
      </c>
      <c r="F122" s="3"/>
      <c r="G122" s="2"/>
      <c r="H122" s="2"/>
    </row>
    <row r="123">
      <c r="A123" s="7" t="str">
        <v>京东渠道推广-自营</v>
      </c>
      <c r="B123" s="5">
        <f>VLOOKUP(A123,'营销活动计划分类'!$A$1:$B$43,2,FALSE)</f>
      </c>
      <c r="C123" s="1" t="str">
        <v>品牌运营中心</v>
      </c>
      <c r="D123" s="1" t="str">
        <v>京东部</v>
      </c>
      <c r="E123" s="1" t="str">
        <v>京东推广部</v>
      </c>
      <c r="F123" s="3"/>
      <c r="G123" s="2"/>
      <c r="H123" s="2"/>
    </row>
    <row r="124">
      <c r="A124" s="7" t="str">
        <v>京东渠道推广-自营</v>
      </c>
      <c r="B124" s="5">
        <f>VLOOKUP(A124,'营销活动计划分类'!$A$1:$B$43,2,FALSE)</f>
      </c>
      <c r="C124" s="1" t="str">
        <v>品牌运营中心</v>
      </c>
      <c r="D124" s="1" t="str">
        <v>京东部</v>
      </c>
      <c r="E124" s="1" t="str">
        <v>京东推广部</v>
      </c>
      <c r="F124" s="3"/>
      <c r="G124" s="2"/>
      <c r="H124" s="2"/>
    </row>
    <row r="125">
      <c r="A125" s="7" t="str">
        <v>京东渠道推广-自营</v>
      </c>
      <c r="B125" s="5">
        <f>VLOOKUP(A125,'营销活动计划分类'!$A$1:$B$43,2,FALSE)</f>
      </c>
      <c r="C125" s="1" t="str">
        <v>品牌运营中心</v>
      </c>
      <c r="D125" s="1" t="str">
        <v>京东部</v>
      </c>
      <c r="E125" s="1" t="str">
        <v>京东推广部</v>
      </c>
      <c r="F125" s="3"/>
      <c r="G125" s="2"/>
      <c r="H125" s="2"/>
    </row>
    <row r="126">
      <c r="A126" s="7" t="str">
        <v>京东渠道推广-自营</v>
      </c>
      <c r="B126" s="5">
        <f>VLOOKUP(A126,'营销活动计划分类'!$A$1:$B$43,2,FALSE)</f>
      </c>
      <c r="C126" s="1" t="str">
        <v>品牌运营中心</v>
      </c>
      <c r="D126" s="1" t="str">
        <v>京东部</v>
      </c>
      <c r="E126" s="1" t="str">
        <v>京东推广部</v>
      </c>
      <c r="F126" s="3"/>
      <c r="G126" s="2"/>
      <c r="H126" s="2"/>
    </row>
    <row r="127">
      <c r="A127" s="7" t="str">
        <v>京东渠道推广-自营</v>
      </c>
      <c r="B127" s="5">
        <f>VLOOKUP(A127,'营销活动计划分类'!$A$1:$B$43,2,FALSE)</f>
      </c>
      <c r="C127" s="1" t="str">
        <v>品牌运营中心</v>
      </c>
      <c r="D127" s="1" t="str">
        <v>京东部</v>
      </c>
      <c r="E127" s="1" t="str">
        <v>京东推广部</v>
      </c>
      <c r="F127" s="3"/>
      <c r="G127" s="2"/>
      <c r="H127" s="2"/>
    </row>
    <row r="128">
      <c r="A128" s="7" t="str">
        <v>拼多多渠道推广</v>
      </c>
      <c r="B128" s="5">
        <f>VLOOKUP(A128,'营销活动计划分类'!$A$1:$B$43,2,FALSE)</f>
      </c>
      <c r="C128" s="1" t="str">
        <v>品牌运营中心</v>
      </c>
      <c r="D128" s="1" t="str">
        <v>综合渠道运营部</v>
      </c>
      <c r="E128" s="1" t="str">
        <v>拼多多部</v>
      </c>
      <c r="F128" s="3"/>
      <c r="G128" s="2"/>
      <c r="H128" s="2"/>
    </row>
    <row r="129">
      <c r="A129" s="8" t="str">
        <v>拼多多渠道推广</v>
      </c>
      <c r="B129" s="5">
        <f>VLOOKUP(A129,'营销活动计划分类'!$A$1:$B$43,2,FALSE)</f>
      </c>
      <c r="C129" s="1" t="str">
        <v>品牌运营中心</v>
      </c>
      <c r="D129" s="1" t="str">
        <v>综合渠道运营部</v>
      </c>
      <c r="E129" s="1" t="str">
        <v>拼多多部</v>
      </c>
      <c r="F129" s="3"/>
      <c r="G129" s="2"/>
      <c r="H129" s="2"/>
    </row>
    <row r="130">
      <c r="A130" s="20" t="str">
        <v>淘宝客</v>
      </c>
      <c r="B130" s="5">
        <f>VLOOKUP(A130,'营销活动计划分类'!$A$1:$B$43,2,FALSE)</f>
      </c>
      <c r="C130" s="23" t="str">
        <v>品牌运营中心</v>
      </c>
      <c r="D130" s="23"/>
      <c r="E130" s="23"/>
      <c r="F130" s="21"/>
      <c r="G130" s="22"/>
      <c r="H130" s="22"/>
    </row>
    <row r="131">
      <c r="A131" s="20" t="str">
        <v>淘宝客</v>
      </c>
      <c r="B131" s="5">
        <f>VLOOKUP(A131,'营销活动计划分类'!$A$1:$B$43,2,FALSE)</f>
      </c>
      <c r="C131" s="23" t="str">
        <v>品牌运营中心</v>
      </c>
      <c r="D131" s="23"/>
      <c r="E131" s="23"/>
      <c r="F131" s="21"/>
      <c r="G131" s="22"/>
      <c r="H131" s="22"/>
    </row>
    <row r="132">
      <c r="A132" s="7" t="str">
        <v>天猫站内推广</v>
      </c>
      <c r="B132" s="5">
        <f>VLOOKUP(A132,'营销活动计划分类'!$A$1:$B$43,2,FALSE)</f>
      </c>
      <c r="C132" s="1" t="str">
        <v>品牌运营中心</v>
      </c>
      <c r="D132" s="1" t="str">
        <v>天猫运营部</v>
      </c>
      <c r="E132" s="1" t="str">
        <v>推广中心组</v>
      </c>
      <c r="F132" s="3"/>
      <c r="G132" s="2"/>
      <c r="H132" s="2"/>
    </row>
    <row r="133">
      <c r="A133" s="7" t="str">
        <v>天猫站内推广</v>
      </c>
      <c r="B133" s="5">
        <f>VLOOKUP(A133,'营销活动计划分类'!$A$1:$B$43,2,FALSE)</f>
      </c>
      <c r="C133" s="1" t="str">
        <v>品牌运营中心</v>
      </c>
      <c r="D133" s="1" t="str">
        <v>天猫运营部</v>
      </c>
      <c r="E133" s="1" t="str">
        <v>推广中心组</v>
      </c>
      <c r="F133" s="3"/>
      <c r="G133" s="2"/>
      <c r="H133" s="2"/>
    </row>
    <row r="134">
      <c r="A134" s="7" t="str">
        <v>天猫站内推广</v>
      </c>
      <c r="B134" s="5">
        <f>VLOOKUP(A134,'营销活动计划分类'!$A$1:$B$43,2,FALSE)</f>
      </c>
      <c r="C134" s="1" t="str">
        <v>品牌运营中心</v>
      </c>
      <c r="D134" s="1" t="str">
        <v>天猫运营部</v>
      </c>
      <c r="E134" s="1" t="str">
        <v>推广中心组</v>
      </c>
      <c r="F134" s="3"/>
      <c r="G134" s="2"/>
      <c r="H134" s="2"/>
    </row>
    <row r="135">
      <c r="A135" s="7" t="str">
        <v>天猫站内推广</v>
      </c>
      <c r="B135" s="5">
        <f>VLOOKUP(A135,'营销活动计划分类'!$A$1:$B$43,2,FALSE)</f>
      </c>
      <c r="C135" s="1" t="str">
        <v>品牌运营中心</v>
      </c>
      <c r="D135" s="1" t="str">
        <v>天猫运营部</v>
      </c>
      <c r="E135" s="1" t="str">
        <v>推广中心组</v>
      </c>
      <c r="F135" s="3"/>
      <c r="G135" s="2"/>
      <c r="H135" s="2"/>
    </row>
    <row r="136">
      <c r="A136" s="7" t="str">
        <v>天猫站内推广</v>
      </c>
      <c r="B136" s="5">
        <f>VLOOKUP(A136,'营销活动计划分类'!$A$1:$B$43,2,FALSE)</f>
      </c>
      <c r="C136" s="1" t="str">
        <v>品牌运营中心</v>
      </c>
      <c r="D136" s="1" t="str">
        <v>天猫运营部</v>
      </c>
      <c r="E136" s="1" t="str">
        <v>推广中心组</v>
      </c>
      <c r="F136" s="3"/>
      <c r="G136" s="2"/>
      <c r="H136" s="2"/>
    </row>
    <row r="137">
      <c r="A137" s="7" t="str">
        <v>天猫站内推广</v>
      </c>
      <c r="B137" s="5">
        <f>VLOOKUP(A137,'营销活动计划分类'!$A$1:$B$43,2,FALSE)</f>
      </c>
      <c r="C137" s="1" t="str">
        <v>品牌运营中心</v>
      </c>
      <c r="D137" s="1" t="str">
        <v>天猫运营部</v>
      </c>
      <c r="E137" s="1" t="str">
        <v>推广中心组</v>
      </c>
      <c r="F137" s="3"/>
      <c r="G137" s="2"/>
      <c r="H137" s="2"/>
    </row>
    <row r="138">
      <c r="A138" s="7" t="str">
        <v>天猫站内推广</v>
      </c>
      <c r="B138" s="5">
        <f>VLOOKUP(A138,'营销活动计划分类'!$A$1:$B$43,2,FALSE)</f>
      </c>
      <c r="C138" s="1" t="str">
        <v>品牌运营中心</v>
      </c>
      <c r="D138" s="1" t="str">
        <v>天猫运营部</v>
      </c>
      <c r="E138" s="1" t="str">
        <v>推广中心组</v>
      </c>
      <c r="F138" s="3"/>
      <c r="G138" s="2"/>
      <c r="H138" s="2"/>
    </row>
    <row r="139">
      <c r="A139" s="7" t="str">
        <v>天猫站内推广</v>
      </c>
      <c r="B139" s="5">
        <f>VLOOKUP(A139,'营销活动计划分类'!$A$1:$B$43,2,FALSE)</f>
      </c>
      <c r="C139" s="1" t="str">
        <v>品牌运营中心</v>
      </c>
      <c r="D139" s="1" t="str">
        <v>天猫运营部</v>
      </c>
      <c r="E139" s="1" t="str">
        <v>推广中心组</v>
      </c>
      <c r="F139" s="3"/>
      <c r="G139" s="2"/>
      <c r="H139" s="2"/>
    </row>
    <row r="140">
      <c r="A140" s="7" t="str">
        <v>天猫站内推广</v>
      </c>
      <c r="B140" s="5">
        <f>VLOOKUP(A140,'营销活动计划分类'!$A$1:$B$43,2,FALSE)</f>
      </c>
      <c r="C140" s="1" t="str">
        <v>品牌运营中心</v>
      </c>
      <c r="D140" s="1" t="str">
        <v>天猫运营部</v>
      </c>
      <c r="E140" s="1" t="str">
        <v>推广中心组</v>
      </c>
      <c r="F140" s="3"/>
      <c r="G140" s="2"/>
      <c r="H140" s="2"/>
    </row>
    <row r="141">
      <c r="A141" s="7" t="str">
        <v>天猫站内推广</v>
      </c>
      <c r="B141" s="5">
        <f>VLOOKUP(A141,'营销活动计划分类'!$A$1:$B$43,2,FALSE)</f>
      </c>
      <c r="C141" s="1" t="str">
        <v>品牌运营中心</v>
      </c>
      <c r="D141" s="1" t="str">
        <v>天猫运营部</v>
      </c>
      <c r="E141" s="1" t="str">
        <v>推广中心组</v>
      </c>
      <c r="F141" s="3"/>
      <c r="G141" s="2"/>
      <c r="H141" s="2"/>
    </row>
    <row r="142">
      <c r="A142" s="7" t="str">
        <v>天猫站内推广</v>
      </c>
      <c r="B142" s="5">
        <f>VLOOKUP(A142,'营销活动计划分类'!$A$1:$B$43,2,FALSE)</f>
      </c>
      <c r="C142" s="1" t="str">
        <v>品牌运营中心</v>
      </c>
      <c r="D142" s="1" t="str">
        <v>天猫运营部</v>
      </c>
      <c r="E142" s="1" t="str">
        <v>推广中心组</v>
      </c>
      <c r="F142" s="3"/>
      <c r="G142" s="2"/>
      <c r="H142" s="2"/>
    </row>
    <row r="143">
      <c r="A143" s="7" t="str">
        <v>唯品会渠道推广</v>
      </c>
      <c r="B143" s="5">
        <f>VLOOKUP(A143,'营销活动计划分类'!$A$1:$B$43,2,FALSE)</f>
      </c>
      <c r="C143" s="1" t="str">
        <v>品牌运营中心</v>
      </c>
      <c r="D143" s="1" t="str">
        <v>唯品部</v>
      </c>
      <c r="E143" s="1"/>
      <c r="F143" s="3"/>
      <c r="G143" s="2"/>
      <c r="H143" s="2"/>
    </row>
    <row r="144">
      <c r="A144" s="7" t="str">
        <v>唯品会渠道推广</v>
      </c>
      <c r="B144" s="5">
        <f>VLOOKUP(A144,'营销活动计划分类'!$A$1:$B$43,2,FALSE)</f>
      </c>
      <c r="C144" s="1" t="str">
        <v>品牌运营中心</v>
      </c>
      <c r="D144" s="1" t="str">
        <v>唯品部</v>
      </c>
      <c r="E144" s="1"/>
      <c r="F144" s="3"/>
      <c r="G144" s="2"/>
      <c r="H144" s="2"/>
    </row>
    <row r="145">
      <c r="A145" s="7" t="str">
        <v>唯品会渠道推广</v>
      </c>
      <c r="B145" s="5">
        <f>VLOOKUP(A145,'营销活动计划分类'!$A$1:$B$43,2,FALSE)</f>
      </c>
      <c r="C145" s="1" t="str">
        <v>品牌运营中心</v>
      </c>
      <c r="D145" s="1" t="str">
        <v>唯品部</v>
      </c>
      <c r="E145" s="1"/>
      <c r="F145" s="17"/>
      <c r="G145" s="2"/>
      <c r="H145" s="2"/>
    </row>
    <row r="146">
      <c r="A146" s="58" t="str">
        <v>考拉渠道推广</v>
      </c>
      <c r="B146" s="5">
        <f>VLOOKUP(A146,'营销活动计划分类'!$A$1:$B$43,2,FALSE)</f>
      </c>
      <c r="C146" s="56" t="str">
        <v>品牌运营中心</v>
      </c>
      <c r="D146" s="56"/>
      <c r="E146" s="56"/>
      <c r="F146" s="57"/>
      <c r="G146" s="54"/>
      <c r="H146" s="54"/>
    </row>
    <row r="147">
      <c r="A147" s="58" t="str">
        <v>匠泽店渠道推广</v>
      </c>
      <c r="B147" s="5">
        <f>VLOOKUP(A147,'营销活动计划分类'!$A$1:$B$43,2,FALSE)</f>
      </c>
      <c r="C147" s="56" t="str">
        <v>品牌运营中心</v>
      </c>
      <c r="D147" s="56"/>
      <c r="E147" s="56"/>
      <c r="F147" s="57"/>
      <c r="G147" s="54"/>
      <c r="H147" s="54"/>
    </row>
    <row r="148">
      <c r="A148" s="58" t="str">
        <v>匠泽店渠道推广</v>
      </c>
      <c r="B148" s="5">
        <f>VLOOKUP(A148,'营销活动计划分类'!$A$1:$B$43,2,FALSE)</f>
      </c>
      <c r="C148" s="56" t="str">
        <v>品牌运营中心</v>
      </c>
      <c r="D148" s="56"/>
      <c r="E148" s="56"/>
      <c r="F148" s="57"/>
      <c r="G148" s="54"/>
      <c r="H148" s="54"/>
    </row>
    <row r="149">
      <c r="A149" s="7" t="str">
        <v>京东到家渠道推广</v>
      </c>
      <c r="B149" s="5">
        <f>VLOOKUP(A149,'营销活动计划分类'!$A$1:$B$43,2,FALSE)</f>
      </c>
      <c r="C149" s="1" t="str">
        <v>品牌运营中心</v>
      </c>
      <c r="D149" s="1" t="str">
        <v>京东部</v>
      </c>
      <c r="E149" s="1" t="str">
        <v>京东推广部</v>
      </c>
      <c r="F149" s="3"/>
      <c r="G149" s="2"/>
      <c r="H149" s="2"/>
    </row>
    <row r="150">
      <c r="A150" s="7" t="str">
        <v>微信渠道推广</v>
      </c>
      <c r="B150" s="5">
        <f>VLOOKUP(A150,'营销活动计划分类'!$A$1:$B$43,2,FALSE)</f>
      </c>
      <c r="C150" s="1" t="str">
        <v>品牌运营中心</v>
      </c>
      <c r="D150" s="1" t="str">
        <v>内容电商部</v>
      </c>
      <c r="E150" s="1" t="str">
        <v>微信运营部</v>
      </c>
      <c r="F150" s="3"/>
      <c r="G150" s="2"/>
      <c r="H150" s="2"/>
    </row>
    <row r="151">
      <c r="A151" s="7" t="str">
        <v>微信渠道推广</v>
      </c>
      <c r="B151" s="5">
        <f>VLOOKUP(A151,'营销活动计划分类'!$A$1:$B$43,2,FALSE)</f>
      </c>
      <c r="C151" s="1" t="str">
        <v>品牌运营中心</v>
      </c>
      <c r="D151" s="1" t="str">
        <v>内容电商部</v>
      </c>
      <c r="E151" s="1" t="str">
        <v>微信运营部</v>
      </c>
      <c r="F151" s="3"/>
      <c r="G151" s="2"/>
      <c r="H151" s="2"/>
    </row>
    <row r="152">
      <c r="A152" s="7" t="str">
        <v>微信渠道推广</v>
      </c>
      <c r="B152" s="5">
        <f>VLOOKUP(A152,'营销活动计划分类'!$A$1:$B$43,2,FALSE)</f>
      </c>
      <c r="C152" s="1" t="str">
        <v>品牌运营中心</v>
      </c>
      <c r="D152" s="1" t="str">
        <v>内容电商部</v>
      </c>
      <c r="E152" s="1" t="str">
        <v>微信运营部</v>
      </c>
      <c r="F152" s="3"/>
      <c r="G152" s="2"/>
      <c r="H152" s="2"/>
    </row>
    <row r="153">
      <c r="A153" s="7" t="str">
        <v>微信渠道推广</v>
      </c>
      <c r="B153" s="5">
        <f>VLOOKUP(A153,'营销活动计划分类'!$A$1:$B$43,2,FALSE)</f>
      </c>
      <c r="C153" s="1" t="str">
        <v>品牌运营中心</v>
      </c>
      <c r="D153" s="1" t="str">
        <v>内容电商部</v>
      </c>
      <c r="E153" s="1" t="str">
        <v>微信运营部</v>
      </c>
      <c r="F153" s="3"/>
      <c r="G153" s="2"/>
      <c r="H153" s="2"/>
    </row>
    <row r="154">
      <c r="A154" s="36" t="str">
        <v>微信渠道推广</v>
      </c>
      <c r="B154" s="5">
        <f>VLOOKUP(A154,'营销活动计划分类'!$A$1:$B$43,2,FALSE)</f>
      </c>
      <c r="C154" s="37" t="str">
        <v>品牌运营中心</v>
      </c>
      <c r="D154" s="37"/>
      <c r="E154" s="37"/>
      <c r="F154" s="40"/>
      <c r="G154" s="35"/>
      <c r="H154" s="35"/>
    </row>
    <row r="155">
      <c r="A155" s="7" t="str">
        <v>达人推广</v>
      </c>
      <c r="B155" s="5">
        <f>VLOOKUP(A155,'营销活动计划分类'!$A$1:$B$43,2,FALSE)</f>
      </c>
      <c r="C155" s="1" t="str">
        <v>品牌运营中心</v>
      </c>
      <c r="D155" s="1" t="str">
        <v>市场广告推广部</v>
      </c>
      <c r="E155" s="1" t="str">
        <v>市场推广部</v>
      </c>
      <c r="F155" s="3"/>
      <c r="G155" s="2"/>
      <c r="H155" s="2"/>
    </row>
    <row r="156">
      <c r="A156" s="7" t="str">
        <v>达人推广</v>
      </c>
      <c r="B156" s="5">
        <f>VLOOKUP(A156,'营销活动计划分类'!$A$1:$B$43,2,FALSE)</f>
      </c>
      <c r="C156" s="1" t="str">
        <v>品牌运营中心</v>
      </c>
      <c r="D156" s="1" t="str">
        <v>市场广告推广部</v>
      </c>
      <c r="E156" s="1" t="str">
        <v>市场推广部</v>
      </c>
      <c r="F156" s="3"/>
      <c r="G156" s="2"/>
      <c r="H156" s="2"/>
    </row>
    <row r="157">
      <c r="A157" s="25" t="str">
        <v>市场公关费</v>
      </c>
      <c r="B157" s="5">
        <f>VLOOKUP(A157,'营销活动计划分类'!$A$1:$B$43,2,FALSE)</f>
      </c>
      <c r="C157" s="1" t="str">
        <v>品牌运营中心</v>
      </c>
      <c r="D157" s="1" t="str">
        <v>市场广告推广部</v>
      </c>
      <c r="E157" s="1" t="str">
        <v>市场推广部</v>
      </c>
      <c r="F157" s="3" t="str">
        <v>市场PR组</v>
      </c>
      <c r="G157" s="2"/>
      <c r="H157" s="2"/>
    </row>
    <row r="158">
      <c r="A158" s="25" t="str">
        <v>市场公关费</v>
      </c>
      <c r="B158" s="5">
        <f>VLOOKUP(A158,'营销活动计划分类'!$A$1:$B$43,2,FALSE)</f>
      </c>
      <c r="C158" s="1" t="str">
        <v>品牌运营中心</v>
      </c>
      <c r="D158" s="1" t="str">
        <v>市场广告推广部</v>
      </c>
      <c r="E158" s="1" t="str">
        <v>市场推广部</v>
      </c>
      <c r="F158" s="3" t="str">
        <v>市场PR组</v>
      </c>
      <c r="G158" s="2"/>
      <c r="H158" s="2"/>
    </row>
    <row r="159">
      <c r="A159" s="25" t="str">
        <v>市场公关费</v>
      </c>
      <c r="B159" s="5">
        <f>VLOOKUP(A159,'营销活动计划分类'!$A$1:$B$43,2,FALSE)</f>
      </c>
      <c r="C159" s="1" t="str">
        <v>品牌运营中心</v>
      </c>
      <c r="D159" s="1" t="str">
        <v>市场广告推广部</v>
      </c>
      <c r="E159" s="1" t="str">
        <v>市场推广部</v>
      </c>
      <c r="F159" s="3" t="str">
        <v>市场PR组</v>
      </c>
      <c r="G159" s="2"/>
      <c r="H159" s="2"/>
    </row>
    <row r="160">
      <c r="A160" s="25" t="str">
        <v>市场公关费</v>
      </c>
      <c r="B160" s="5">
        <f>VLOOKUP(A160,'营销活动计划分类'!$A$1:$B$43,2,FALSE)</f>
      </c>
      <c r="C160" s="1" t="str">
        <v>品牌运营中心</v>
      </c>
      <c r="D160" s="1" t="str">
        <v>市场广告推广部</v>
      </c>
      <c r="E160" s="1" t="str">
        <v>市场推广部</v>
      </c>
      <c r="F160" s="3" t="str">
        <v>市场PR组</v>
      </c>
      <c r="G160" s="2"/>
      <c r="H160" s="2"/>
    </row>
    <row r="161">
      <c r="A161" s="25" t="str">
        <v>市场公关费</v>
      </c>
      <c r="B161" s="5">
        <f>VLOOKUP(A161,'营销活动计划分类'!$A$1:$B$43,2,FALSE)</f>
      </c>
      <c r="C161" s="1" t="str">
        <v>品牌运营中心</v>
      </c>
      <c r="D161" s="1" t="str">
        <v>市场广告推广部</v>
      </c>
      <c r="E161" s="1" t="str">
        <v>市场推广部</v>
      </c>
      <c r="F161" s="3"/>
      <c r="G161" s="2"/>
      <c r="H161" s="2"/>
    </row>
    <row r="162">
      <c r="A162" s="25" t="str">
        <v>市场公关费</v>
      </c>
      <c r="B162" s="5">
        <f>VLOOKUP(A162,'营销活动计划分类'!$A$1:$B$43,2,FALSE)</f>
      </c>
      <c r="C162" s="1" t="str">
        <v>品牌运营中心</v>
      </c>
      <c r="D162" s="1" t="str">
        <v>市场广告推广部</v>
      </c>
      <c r="E162" s="1" t="str">
        <v>市场推广部</v>
      </c>
      <c r="F162" s="3" t="str">
        <v>市场PR组</v>
      </c>
      <c r="G162" s="2"/>
      <c r="H162" s="2"/>
    </row>
    <row r="163">
      <c r="A163" s="25" t="str">
        <v>特殊渠道推广</v>
      </c>
      <c r="B163" s="5">
        <f>VLOOKUP(A163,'营销活动计划分类'!$A$1:$B$43,2,FALSE)</f>
      </c>
      <c r="C163" s="1" t="str">
        <v>品牌运营中心</v>
      </c>
      <c r="D163" s="1" t="str">
        <v>特渠部</v>
      </c>
      <c r="E163" s="1"/>
      <c r="F163" s="3"/>
      <c r="G163" s="2"/>
      <c r="H163" s="2"/>
    </row>
    <row r="164">
      <c r="A164" s="18" t="str">
        <v>快手渠道推广</v>
      </c>
      <c r="B164" s="5">
        <f>VLOOKUP(A164,'营销活动计划分类'!$A$1:$B$43,2,FALSE)</f>
      </c>
      <c r="C164" s="1" t="str">
        <v>品牌运营中心</v>
      </c>
      <c r="D164" s="1" t="str">
        <v>内容电商部</v>
      </c>
      <c r="E164" s="1" t="str">
        <v>快手部</v>
      </c>
      <c r="F164" s="3" t="str">
        <v>快手运营推广部</v>
      </c>
      <c r="G164" s="2"/>
      <c r="H164" s="2"/>
    </row>
    <row r="165">
      <c r="A165" s="7" t="str">
        <v>内容加热</v>
      </c>
      <c r="B165" s="5">
        <f>VLOOKUP(A165,'营销活动计划分类'!$A$1:$B$43,2,FALSE)</f>
      </c>
      <c r="C165" s="1" t="str">
        <v>品牌运营中心</v>
      </c>
      <c r="D165" s="1" t="str">
        <v>内容电商部</v>
      </c>
      <c r="E165" s="1" t="str">
        <v>抖音部</v>
      </c>
      <c r="F165" s="3" t="str">
        <v>抖音推广部</v>
      </c>
      <c r="G165" s="2"/>
      <c r="H165" s="2"/>
    </row>
    <row r="166">
      <c r="A166" s="7" t="str">
        <v>矩阵代运营</v>
      </c>
      <c r="B166" s="5">
        <f>VLOOKUP(A166,'营销活动计划分类'!$A$1:$B$43,2,FALSE)</f>
      </c>
      <c r="C166" s="1" t="str">
        <v>品牌运营中心</v>
      </c>
      <c r="D166" s="1" t="str">
        <v>内容电商部</v>
      </c>
      <c r="E166" s="1" t="str">
        <v>抖音部</v>
      </c>
      <c r="F166" s="17" t="str">
        <v>矩阵运营部</v>
      </c>
      <c r="G166" s="2"/>
      <c r="H166" s="2"/>
    </row>
    <row r="167">
      <c r="A167" s="18" t="str">
        <v>矩阵号千川信息流</v>
      </c>
      <c r="B167" s="5">
        <f>VLOOKUP(A167,'营销活动计划分类'!$A$1:$B$43,2,FALSE)</f>
      </c>
      <c r="C167" s="1" t="str">
        <v>品牌运营中心</v>
      </c>
      <c r="D167" s="1" t="str">
        <v>内容电商部</v>
      </c>
      <c r="E167" s="1" t="str">
        <v>抖音部</v>
      </c>
      <c r="F167" s="17" t="str">
        <v>矩阵运营部</v>
      </c>
      <c r="G167" s="2"/>
      <c r="H167" s="2"/>
    </row>
    <row r="168">
      <c r="A168" s="7" t="str">
        <v>矩阵代运营</v>
      </c>
      <c r="B168" s="5">
        <f>VLOOKUP(A168,'营销活动计划分类'!$A$1:$B$43,2,FALSE)</f>
      </c>
      <c r="C168" s="1" t="str">
        <v>品牌运营中心</v>
      </c>
      <c r="D168" s="1" t="str">
        <v>内容电商部</v>
      </c>
      <c r="E168" s="1" t="str">
        <v>抖音部</v>
      </c>
      <c r="F168" s="17" t="str">
        <v>矩阵运营部</v>
      </c>
      <c r="G168" s="2"/>
      <c r="H168" s="2"/>
    </row>
    <row r="169">
      <c r="A169" s="25" t="str">
        <v>快手人设号</v>
      </c>
      <c r="B169" s="5">
        <f>VLOOKUP(A169,'营销活动计划分类'!$A$1:$B$43,2,FALSE)</f>
      </c>
      <c r="C169" s="29" t="str">
        <v>品牌运营中心</v>
      </c>
      <c r="D169" s="29" t="str">
        <v>内容电商部</v>
      </c>
      <c r="E169" s="29" t="str">
        <v>快手部</v>
      </c>
      <c r="F169" s="60"/>
      <c r="G169" s="63"/>
      <c r="H169" s="63"/>
    </row>
    <row r="170">
      <c r="A170" s="7" t="str">
        <v>快手人设号</v>
      </c>
      <c r="B170" s="5">
        <f>VLOOKUP(A170,'营销活动计划分类'!$A$1:$B$43,2,FALSE)</f>
      </c>
      <c r="C170" s="1" t="str">
        <v>品牌运营中心</v>
      </c>
      <c r="D170" s="29" t="str">
        <v>内容电商部</v>
      </c>
      <c r="E170" s="1" t="str">
        <v>快手部</v>
      </c>
      <c r="F170" s="3"/>
      <c r="G170" s="2"/>
      <c r="H170" s="2"/>
    </row>
    <row r="171">
      <c r="A171" s="7" t="str">
        <v>快手人设号</v>
      </c>
      <c r="B171" s="5">
        <f>VLOOKUP(A171,'营销活动计划分类'!$A$1:$B$43,2,FALSE)</f>
      </c>
      <c r="C171" s="1" t="str">
        <v>品牌运营中心</v>
      </c>
      <c r="D171" s="29" t="str">
        <v>内容电商部</v>
      </c>
      <c r="E171" s="1" t="str">
        <v>快手部</v>
      </c>
      <c r="F171" s="3"/>
      <c r="G171" s="2"/>
      <c r="H171" s="2"/>
    </row>
    <row r="172">
      <c r="A172" s="7" t="str">
        <v>快手人设号</v>
      </c>
      <c r="B172" s="5">
        <f>VLOOKUP(A172,'营销活动计划分类'!$A$1:$B$43,2,FALSE)</f>
      </c>
      <c r="C172" s="1" t="str">
        <v>品牌运营中心</v>
      </c>
      <c r="D172" s="29" t="str">
        <v>内容电商部</v>
      </c>
      <c r="E172" s="1" t="str">
        <v>快手部</v>
      </c>
      <c r="F172" s="3"/>
      <c r="G172" s="2"/>
      <c r="H172" s="2"/>
    </row>
    <row r="173">
      <c r="A173" s="7" t="str">
        <v>快手人设号</v>
      </c>
      <c r="B173" s="5">
        <f>VLOOKUP(A173,'营销活动计划分类'!$A$1:$B$43,2,FALSE)</f>
      </c>
      <c r="C173" s="1" t="str">
        <v>品牌运营中心</v>
      </c>
      <c r="D173" s="29" t="str">
        <v>内容电商部</v>
      </c>
      <c r="E173" s="1" t="str">
        <v>快手部</v>
      </c>
      <c r="F173" s="3"/>
      <c r="G173" s="2"/>
      <c r="H173" s="2"/>
    </row>
    <row r="174">
      <c r="A174" s="18" t="str">
        <v>千川信息流</v>
      </c>
      <c r="B174" s="5">
        <f>VLOOKUP(A174,'营销活动计划分类'!$A$1:$B$43,2,FALSE)</f>
      </c>
      <c r="C174" s="1" t="str">
        <v>品牌运营中心</v>
      </c>
      <c r="D174" s="1" t="str">
        <v>内容电商部</v>
      </c>
      <c r="E174" s="1" t="str">
        <v>抖音部</v>
      </c>
      <c r="F174" s="3" t="str">
        <v>抖音推广部</v>
      </c>
      <c r="G174" s="2"/>
      <c r="H174" s="2"/>
    </row>
    <row r="175">
      <c r="A175" s="7" t="str">
        <v>直播间物料制作</v>
      </c>
      <c r="B175" s="5">
        <f>VLOOKUP(A175,'营销活动计划分类'!$A$1:$B$43,2,FALSE)</f>
      </c>
      <c r="C175" s="1" t="str">
        <v>品牌运营中心</v>
      </c>
      <c r="D175" s="1" t="str">
        <v>市场广告推广部</v>
      </c>
      <c r="E175" s="1" t="str">
        <v>达播2部</v>
      </c>
      <c r="F175" s="3"/>
      <c r="G175" s="2"/>
      <c r="H175" s="2"/>
    </row>
    <row r="176">
      <c r="A176" s="7" t="str">
        <v>李佳琦</v>
      </c>
      <c r="B176" s="5">
        <f>VLOOKUP(A176,'营销活动计划分类'!$A$1:$B$43,2,FALSE)</f>
      </c>
      <c r="C176" s="1" t="str">
        <v>品牌运营中心</v>
      </c>
      <c r="D176" s="30" t="str">
        <v>直播运营部</v>
      </c>
      <c r="E176" s="30" t="str">
        <v>SKA达播部</v>
      </c>
      <c r="F176" s="3"/>
      <c r="G176" s="2"/>
      <c r="H176" s="2"/>
    </row>
    <row r="177">
      <c r="A177" s="7" t="str">
        <v>田恬</v>
      </c>
      <c r="B177" s="5">
        <f>VLOOKUP(A177,'营销活动计划分类'!$A$1:$B$43,2,FALSE)</f>
      </c>
      <c r="C177" s="1" t="str">
        <v>品牌运营中心</v>
      </c>
      <c r="D177" s="30" t="str">
        <v>直播运营部</v>
      </c>
      <c r="E177" s="30" t="str">
        <v>SKA达播部</v>
      </c>
      <c r="F177" s="3"/>
      <c r="G177" s="2"/>
      <c r="H177" s="2"/>
    </row>
    <row r="178">
      <c r="A178" s="7" t="str">
        <v>直播间物料制作</v>
      </c>
      <c r="B178" s="5">
        <f>VLOOKUP(A178,'营销活动计划分类'!$A$1:$B$43,2,FALSE)</f>
      </c>
      <c r="C178" s="1" t="str">
        <v>品牌运营中心</v>
      </c>
      <c r="D178" s="1" t="str">
        <v>直播运营部</v>
      </c>
      <c r="E178" s="1" t="str">
        <v>直播中台部</v>
      </c>
      <c r="F178" s="3"/>
      <c r="G178" s="2"/>
      <c r="H178" s="2"/>
    </row>
    <row r="179">
      <c r="A179" s="36" t="str">
        <v>直播间奖品</v>
      </c>
      <c r="B179" s="5">
        <f>VLOOKUP(A179,'营销活动计划分类'!$A$1:$B$43,2,FALSE)</f>
      </c>
      <c r="C179" s="37" t="str">
        <v>品牌运营中心</v>
      </c>
      <c r="D179" s="37" t="str">
        <v>直播运营部</v>
      </c>
      <c r="E179" s="37" t="str">
        <v>直播运营部</v>
      </c>
      <c r="F179" s="40"/>
      <c r="G179" s="35"/>
      <c r="H179" s="35"/>
    </row>
    <row r="180">
      <c r="A180" s="36" t="str">
        <v>直播间奖品</v>
      </c>
      <c r="B180" s="5">
        <f>VLOOKUP(A180,'营销活动计划分类'!$A$1:$B$43,2,FALSE)</f>
      </c>
      <c r="C180" s="37" t="str">
        <v>品牌运营中心</v>
      </c>
      <c r="D180" s="37" t="str">
        <v>直播运营部</v>
      </c>
      <c r="E180" s="37" t="str">
        <v>直播运营部</v>
      </c>
      <c r="F180" s="40"/>
      <c r="G180" s="35"/>
      <c r="H180" s="35"/>
    </row>
    <row r="181">
      <c r="A181" s="36" t="str">
        <v>直播间奖品</v>
      </c>
      <c r="B181" s="5">
        <f>VLOOKUP(A181,'营销活动计划分类'!$A$1:$B$43,2,FALSE)</f>
      </c>
      <c r="C181" s="37" t="str">
        <v>品牌运营中心</v>
      </c>
      <c r="D181" s="37" t="str">
        <v>直播运营部</v>
      </c>
      <c r="E181" s="37" t="str">
        <v>直播运营部</v>
      </c>
      <c r="F181" s="40"/>
      <c r="G181" s="35"/>
      <c r="H181" s="35"/>
    </row>
    <row r="182">
      <c r="A182" s="36" t="str">
        <v>直播间奖品</v>
      </c>
      <c r="B182" s="5">
        <f>VLOOKUP(A182,'营销活动计划分类'!$A$1:$B$43,2,FALSE)</f>
      </c>
      <c r="C182" s="37" t="str">
        <v>品牌运营中心</v>
      </c>
      <c r="D182" s="37" t="str">
        <v>直播运营部</v>
      </c>
      <c r="E182" s="37" t="str">
        <v>直播运营部</v>
      </c>
      <c r="F182" s="40"/>
      <c r="G182" s="35"/>
      <c r="H182" s="35"/>
    </row>
    <row r="183">
      <c r="A183" s="36" t="str">
        <v>直播间奖品</v>
      </c>
      <c r="B183" s="5">
        <f>VLOOKUP(A183,'营销活动计划分类'!$A$1:$B$43,2,FALSE)</f>
      </c>
      <c r="C183" s="37" t="str">
        <v>品牌运营中心</v>
      </c>
      <c r="D183" s="37" t="str">
        <v>直播运营部</v>
      </c>
      <c r="E183" s="37" t="str">
        <v>直播运营部</v>
      </c>
      <c r="F183" s="40"/>
      <c r="G183" s="35"/>
      <c r="H183" s="35"/>
    </row>
    <row r="184">
      <c r="A184" s="7" t="str">
        <v>直播间物料制作</v>
      </c>
      <c r="B184" s="5">
        <f>VLOOKUP(A184,'营销活动计划分类'!$A$1:$B$43,2,FALSE)</f>
      </c>
      <c r="C184" s="1" t="str">
        <v>品牌运营中心</v>
      </c>
      <c r="D184" s="1" t="str">
        <v>直播运营部</v>
      </c>
      <c r="E184" s="1" t="str">
        <v>直播中台部</v>
      </c>
      <c r="F184" s="3"/>
      <c r="G184" s="2"/>
      <c r="H184" s="2"/>
    </row>
    <row r="185">
      <c r="A185" s="7" t="str">
        <v>直播间物料制作</v>
      </c>
      <c r="B185" s="5">
        <f>VLOOKUP(A185,'营销活动计划分类'!$A$1:$B$43,2,FALSE)</f>
      </c>
      <c r="C185" s="1" t="str">
        <v>品牌运营中心</v>
      </c>
      <c r="D185" s="1" t="str">
        <v>直播运营部</v>
      </c>
      <c r="E185" s="1" t="str">
        <v>主播部</v>
      </c>
      <c r="F185" s="3"/>
      <c r="G185" s="2"/>
      <c r="H185" s="2"/>
    </row>
    <row r="186">
      <c r="A186" s="7" t="str">
        <v>直播间物料制作</v>
      </c>
      <c r="B186" s="5">
        <f>VLOOKUP(A186,'营销活动计划分类'!$A$1:$B$43,2,FALSE)</f>
      </c>
      <c r="C186" s="1" t="str">
        <v>品牌运营中心</v>
      </c>
      <c r="D186" s="1" t="str">
        <v>直播运营部</v>
      </c>
      <c r="E186" s="1" t="str">
        <v>主播部</v>
      </c>
      <c r="F186" s="3"/>
      <c r="G186" s="2"/>
      <c r="H186" s="2"/>
    </row>
    <row r="187">
      <c r="A187" s="62" t="str">
        <v>平台扣点</v>
      </c>
      <c r="B187" s="5">
        <f>VLOOKUP(A187,'营销活动计划分类'!$A$1:$B$43,2,FALSE)</f>
      </c>
      <c r="C187" s="29" t="str">
        <v>品牌运营中心</v>
      </c>
      <c r="D187" s="60"/>
      <c r="E187" s="60"/>
      <c r="F187" s="60"/>
      <c r="G187" s="59"/>
      <c r="H187" s="61"/>
    </row>
    <row r="188">
      <c r="A188" s="26" t="str">
        <v>平台扣点</v>
      </c>
      <c r="B188" s="5">
        <f>VLOOKUP(A188,'营销活动计划分类'!$A$1:$B$43,2,FALSE)</f>
      </c>
      <c r="C188" s="29" t="str">
        <v>品牌运营中心</v>
      </c>
      <c r="D188" s="60"/>
      <c r="E188" s="60"/>
      <c r="F188" s="60"/>
      <c r="G188" s="59"/>
      <c r="H188" s="61"/>
    </row>
    <row r="189">
      <c r="A189" s="26" t="str">
        <v>平台扣点</v>
      </c>
      <c r="B189" s="5">
        <f>VLOOKUP(A189,'营销活动计划分类'!$A$1:$B$43,2,FALSE)</f>
      </c>
      <c r="C189" s="29" t="str">
        <v>品牌运营中心</v>
      </c>
      <c r="D189" s="60"/>
      <c r="E189" s="60"/>
      <c r="F189" s="60"/>
      <c r="G189" s="59"/>
      <c r="H189" s="61"/>
    </row>
    <row r="190">
      <c r="A190" s="26" t="str">
        <v>平台扣点</v>
      </c>
      <c r="B190" s="5">
        <f>VLOOKUP(A190,'营销活动计划分类'!$A$1:$B$43,2,FALSE)</f>
      </c>
      <c r="C190" s="29" t="str">
        <v>品牌运营中心</v>
      </c>
      <c r="D190" s="60"/>
      <c r="E190" s="60"/>
      <c r="F190" s="60"/>
      <c r="G190" s="59"/>
      <c r="H190" s="61"/>
    </row>
    <row r="191">
      <c r="A191" s="26" t="str">
        <v>平台扣点</v>
      </c>
      <c r="B191" s="5">
        <f>VLOOKUP(A191,'营销活动计划分类'!$A$1:$B$43,2,FALSE)</f>
      </c>
      <c r="C191" s="29" t="str">
        <v>品牌运营中心</v>
      </c>
      <c r="D191" s="60"/>
      <c r="E191" s="60"/>
      <c r="F191" s="60"/>
      <c r="G191" s="59"/>
      <c r="H191" s="61"/>
    </row>
    <row r="192">
      <c r="A192" s="26" t="str">
        <v>平台扣点</v>
      </c>
      <c r="B192" s="5">
        <f>VLOOKUP(A192,'营销活动计划分类'!$A$1:$B$43,2,FALSE)</f>
      </c>
      <c r="C192" s="29" t="str">
        <v>品牌运营中心</v>
      </c>
      <c r="D192" s="60"/>
      <c r="E192" s="60"/>
      <c r="F192" s="60"/>
      <c r="G192" s="59"/>
      <c r="H192" s="61"/>
    </row>
    <row r="193">
      <c r="A193" s="26" t="str">
        <v>平台扣点</v>
      </c>
      <c r="B193" s="5">
        <f>VLOOKUP(A193,'营销活动计划分类'!$A$1:$B$43,2,FALSE)</f>
      </c>
      <c r="C193" s="29" t="str">
        <v>品牌运营中心</v>
      </c>
      <c r="D193" s="60"/>
      <c r="E193" s="60"/>
      <c r="F193" s="60"/>
      <c r="G193" s="59"/>
      <c r="H193" s="61"/>
    </row>
    <row r="194">
      <c r="A194" s="25" t="str">
        <v>直播间运营</v>
      </c>
      <c r="B194" s="5">
        <f>VLOOKUP(A194,'营销活动计划分类'!$A$1:$B$43,2,FALSE)</f>
      </c>
      <c r="C194" s="29" t="str">
        <v>品牌运营中心</v>
      </c>
      <c r="D194" s="29" t="str">
        <v>直播运营部</v>
      </c>
      <c r="E194" s="29" t="str">
        <v>直播中台部</v>
      </c>
      <c r="F194" s="60"/>
      <c r="G194" s="59"/>
      <c r="H194" s="59"/>
    </row>
    <row r="195">
      <c r="A195" s="74" t="str">
        <v>平台扣点</v>
      </c>
      <c r="B195" s="5">
        <f>VLOOKUP(A195,'营销活动计划分类'!$A$1:$B$43,2,FALSE)</f>
      </c>
      <c r="C195" s="30" t="str">
        <v>品牌运营中心</v>
      </c>
      <c r="D195" s="30" t="str">
        <v>综合渠道运营部</v>
      </c>
      <c r="E195" s="2" t="str">
        <v>得物部</v>
      </c>
      <c r="F195" s="75"/>
      <c r="G195" s="34"/>
      <c r="H195" s="34"/>
    </row>
    <row r="196">
      <c r="A196" s="74" t="str">
        <v>得物渠道推广</v>
      </c>
      <c r="B196" s="5">
        <f>VLOOKUP(A196,'营销活动计划分类'!$A$1:$B$43,2,FALSE)</f>
      </c>
      <c r="C196" s="30" t="str">
        <v>品牌运营中心</v>
      </c>
      <c r="D196" s="30" t="str">
        <v>综合渠道运营部</v>
      </c>
      <c r="E196" s="30" t="str">
        <v>得物部</v>
      </c>
      <c r="F196" s="75"/>
      <c r="G196" s="34"/>
      <c r="H196" s="34"/>
    </row>
    <row r="197">
      <c r="A197" s="7"/>
      <c r="B197" s="1"/>
      <c r="C197" s="1"/>
      <c r="D197" s="1"/>
      <c r="E197" s="1"/>
      <c r="F197" s="3"/>
      <c r="G197" s="2"/>
      <c r="H197" s="2"/>
    </row>
    <row r="198">
      <c r="A198" s="7"/>
      <c r="B198" s="1"/>
      <c r="C198" s="1"/>
      <c r="D198" s="1"/>
      <c r="E198" s="1"/>
      <c r="F198" s="3"/>
      <c r="G198" s="2"/>
      <c r="H198" s="2"/>
    </row>
    <row r="199">
      <c r="A199" s="7"/>
      <c r="B199" s="1"/>
      <c r="C199" s="1"/>
      <c r="D199" s="1"/>
      <c r="E199" s="1"/>
      <c r="F199" s="3"/>
      <c r="G199" s="2"/>
      <c r="H199" s="2"/>
    </row>
    <row r="200">
      <c r="A200" s="7"/>
      <c r="B200" s="1"/>
      <c r="C200" s="1"/>
      <c r="D200" s="1"/>
      <c r="E200" s="1"/>
      <c r="F200" s="3"/>
      <c r="G200" s="2"/>
      <c r="H200" s="2"/>
    </row>
    <row r="201">
      <c r="A201" s="7"/>
      <c r="B201" s="1"/>
      <c r="C201" s="1"/>
      <c r="D201" s="1"/>
      <c r="E201" s="1"/>
      <c r="F201" s="3"/>
      <c r="G201" s="2"/>
      <c r="H201" s="2"/>
    </row>
    <row r="202">
      <c r="A202" s="7"/>
      <c r="B202" s="1"/>
      <c r="C202" s="1"/>
      <c r="D202" s="1"/>
      <c r="E202" s="1"/>
      <c r="F202" s="3"/>
      <c r="G202" s="2"/>
      <c r="H202" s="2"/>
    </row>
    <row r="203">
      <c r="A203" s="7"/>
      <c r="B203" s="1"/>
      <c r="C203" s="1"/>
      <c r="D203" s="1"/>
      <c r="E203" s="1"/>
      <c r="F203" s="3"/>
      <c r="G203" s="2"/>
      <c r="H203" s="2"/>
    </row>
    <row r="204">
      <c r="A204" s="7"/>
      <c r="B204" s="1"/>
      <c r="C204" s="1"/>
      <c r="D204" s="1"/>
      <c r="E204" s="1"/>
      <c r="F204" s="3"/>
      <c r="G204" s="2"/>
      <c r="H204" s="2"/>
    </row>
    <row r="205">
      <c r="A205" s="7"/>
      <c r="B205" s="1"/>
      <c r="C205" s="1"/>
      <c r="D205" s="1"/>
      <c r="E205" s="1"/>
      <c r="F205" s="3"/>
      <c r="G205" s="2"/>
      <c r="H205" s="2"/>
    </row>
    <row r="206">
      <c r="A206" s="7"/>
      <c r="B206" s="1"/>
      <c r="C206" s="1"/>
      <c r="D206" s="1"/>
      <c r="E206" s="1"/>
      <c r="F206" s="3"/>
      <c r="G206" s="2"/>
      <c r="H206" s="2"/>
    </row>
    <row r="207">
      <c r="A207" s="7"/>
      <c r="B207" s="1"/>
      <c r="C207" s="1"/>
      <c r="D207" s="1"/>
      <c r="E207" s="1"/>
      <c r="F207" s="3"/>
      <c r="G207" s="2"/>
      <c r="H207" s="2"/>
    </row>
    <row r="208">
      <c r="A208" s="7"/>
      <c r="B208" s="1"/>
      <c r="C208" s="1"/>
      <c r="D208" s="1"/>
      <c r="E208" s="1"/>
      <c r="F208" s="3"/>
      <c r="G208" s="2"/>
      <c r="H208" s="2"/>
    </row>
    <row r="209">
      <c r="A209" s="7"/>
      <c r="B209" s="1"/>
      <c r="C209" s="1"/>
      <c r="D209" s="1"/>
      <c r="E209" s="1"/>
      <c r="F209" s="3"/>
      <c r="G209" s="2"/>
      <c r="H209" s="2"/>
    </row>
    <row r="210">
      <c r="A210" s="7"/>
      <c r="B210" s="1"/>
      <c r="C210" s="1"/>
      <c r="D210" s="1"/>
      <c r="E210" s="1"/>
      <c r="F210" s="3"/>
      <c r="G210" s="2"/>
      <c r="H210" s="2"/>
    </row>
    <row r="211">
      <c r="A211" s="7"/>
      <c r="B211" s="1"/>
      <c r="C211" s="1"/>
      <c r="D211" s="1"/>
      <c r="E211" s="1"/>
      <c r="F211" s="3"/>
      <c r="G211" s="2"/>
      <c r="H211" s="2"/>
    </row>
    <row r="212">
      <c r="A212" s="7"/>
      <c r="B212" s="1"/>
      <c r="C212" s="1"/>
      <c r="D212" s="1"/>
      <c r="E212" s="1"/>
      <c r="F212" s="3"/>
      <c r="G212" s="2"/>
      <c r="H212" s="2"/>
    </row>
    <row r="213">
      <c r="A213" s="7"/>
      <c r="B213" s="1"/>
      <c r="C213" s="1"/>
      <c r="D213" s="1"/>
      <c r="E213" s="1"/>
      <c r="F213" s="3"/>
      <c r="G213" s="2"/>
      <c r="H213" s="2"/>
    </row>
    <row r="214">
      <c r="A214" s="7"/>
      <c r="B214" s="1"/>
      <c r="C214" s="1"/>
      <c r="D214" s="1"/>
      <c r="E214" s="1"/>
      <c r="F214" s="3"/>
      <c r="G214" s="2"/>
      <c r="H214" s="2"/>
    </row>
    <row r="215">
      <c r="A215" s="7"/>
      <c r="B215" s="1"/>
      <c r="C215" s="1"/>
      <c r="D215" s="1"/>
      <c r="E215" s="1"/>
      <c r="F215" s="3"/>
      <c r="G215" s="2"/>
      <c r="H215" s="2"/>
    </row>
    <row r="216">
      <c r="A216" s="7"/>
      <c r="B216" s="1"/>
      <c r="C216" s="1"/>
      <c r="D216" s="1"/>
      <c r="E216" s="1"/>
      <c r="F216" s="3"/>
      <c r="G216" s="2"/>
      <c r="H216" s="2"/>
    </row>
    <row r="217">
      <c r="A217" s="7"/>
      <c r="B217" s="1"/>
      <c r="C217" s="1"/>
      <c r="D217" s="1"/>
      <c r="E217" s="1"/>
      <c r="F217" s="3"/>
      <c r="G217" s="2"/>
      <c r="H217" s="2"/>
    </row>
    <row r="218">
      <c r="A218" s="7"/>
      <c r="B218" s="1"/>
      <c r="C218" s="1"/>
      <c r="D218" s="1"/>
      <c r="E218" s="1"/>
      <c r="F218" s="3"/>
      <c r="G218" s="2"/>
      <c r="H218" s="2"/>
    </row>
    <row r="219">
      <c r="A219" s="7"/>
      <c r="B219" s="1"/>
      <c r="C219" s="1"/>
      <c r="D219" s="1"/>
      <c r="E219" s="1"/>
      <c r="F219" s="3"/>
      <c r="G219" s="2"/>
      <c r="H219" s="2"/>
    </row>
    <row r="220">
      <c r="A220" s="7"/>
      <c r="B220" s="1"/>
      <c r="C220" s="1"/>
      <c r="D220" s="1"/>
      <c r="E220" s="1"/>
      <c r="F220" s="3"/>
      <c r="G220" s="2"/>
      <c r="H220" s="2"/>
    </row>
    <row r="221">
      <c r="A221" s="7"/>
      <c r="B221" s="1"/>
      <c r="C221" s="1"/>
      <c r="D221" s="1"/>
      <c r="E221" s="1"/>
      <c r="F221" s="3"/>
      <c r="G221" s="2"/>
      <c r="H221" s="2"/>
    </row>
    <row r="222">
      <c r="A222" s="7"/>
      <c r="B222" s="1"/>
      <c r="C222" s="1"/>
      <c r="D222" s="1"/>
      <c r="E222" s="1"/>
      <c r="F222" s="3"/>
      <c r="G222" s="2"/>
      <c r="H222" s="2"/>
    </row>
    <row r="223">
      <c r="A223" s="7"/>
      <c r="B223" s="1"/>
      <c r="C223" s="1"/>
      <c r="D223" s="1"/>
      <c r="E223" s="1"/>
      <c r="F223" s="3"/>
      <c r="G223" s="2"/>
      <c r="H223" s="2"/>
    </row>
    <row r="224">
      <c r="A224" s="7"/>
      <c r="B224" s="1"/>
      <c r="C224" s="1"/>
      <c r="D224" s="1"/>
      <c r="E224" s="1"/>
      <c r="F224" s="3"/>
      <c r="G224" s="2"/>
      <c r="H224" s="2"/>
    </row>
    <row r="225">
      <c r="A225" s="7"/>
      <c r="B225" s="1"/>
      <c r="C225" s="1"/>
      <c r="D225" s="1"/>
      <c r="E225" s="1"/>
      <c r="F225" s="3"/>
      <c r="G225" s="2"/>
      <c r="H225" s="2"/>
    </row>
    <row r="226">
      <c r="A226" s="7"/>
      <c r="B226" s="1"/>
      <c r="C226" s="1"/>
      <c r="D226" s="1"/>
      <c r="E226" s="1"/>
      <c r="F226" s="3"/>
      <c r="G226" s="2"/>
      <c r="H226" s="2"/>
    </row>
    <row r="227">
      <c r="A227" s="7"/>
      <c r="B227" s="1"/>
      <c r="C227" s="1"/>
      <c r="D227" s="1"/>
      <c r="E227" s="1"/>
      <c r="F227" s="3"/>
      <c r="G227" s="2"/>
      <c r="H227" s="2"/>
    </row>
    <row r="228">
      <c r="A228" s="7"/>
      <c r="B228" s="1"/>
      <c r="C228" s="1"/>
      <c r="D228" s="1"/>
      <c r="E228" s="1"/>
      <c r="F228" s="3"/>
      <c r="G228" s="2"/>
      <c r="H228" s="2"/>
    </row>
    <row r="229">
      <c r="A229" s="7"/>
      <c r="B229" s="1"/>
      <c r="C229" s="1"/>
      <c r="D229" s="1"/>
      <c r="E229" s="1"/>
      <c r="F229" s="3"/>
      <c r="G229" s="2"/>
      <c r="H229" s="2"/>
    </row>
    <row r="230">
      <c r="A230" s="7"/>
      <c r="B230" s="1"/>
      <c r="C230" s="1"/>
      <c r="D230" s="1"/>
      <c r="E230" s="1"/>
      <c r="F230" s="3"/>
      <c r="G230" s="2"/>
      <c r="H230" s="2"/>
    </row>
    <row r="231">
      <c r="A231" s="7"/>
      <c r="B231" s="1"/>
      <c r="C231" s="1"/>
      <c r="D231" s="1"/>
      <c r="E231" s="1"/>
      <c r="F231" s="3"/>
      <c r="G231" s="2"/>
      <c r="H231" s="2"/>
    </row>
    <row r="232">
      <c r="A232" s="7"/>
      <c r="B232" s="1"/>
      <c r="C232" s="1"/>
      <c r="D232" s="1"/>
      <c r="E232" s="1"/>
      <c r="F232" s="3"/>
      <c r="G232" s="2"/>
      <c r="H232" s="2"/>
    </row>
    <row r="233">
      <c r="A233" s="7"/>
      <c r="B233" s="1"/>
      <c r="C233" s="1"/>
      <c r="D233" s="1"/>
      <c r="E233" s="1"/>
      <c r="F233" s="3"/>
      <c r="G233" s="2"/>
      <c r="H233" s="2"/>
    </row>
    <row r="234">
      <c r="A234" s="7"/>
      <c r="B234" s="1"/>
      <c r="C234" s="1"/>
      <c r="D234" s="1"/>
      <c r="E234" s="1"/>
      <c r="F234" s="3"/>
      <c r="G234" s="2"/>
      <c r="H234" s="2"/>
    </row>
    <row r="235">
      <c r="A235" s="7"/>
      <c r="B235" s="1"/>
      <c r="C235" s="1"/>
      <c r="D235" s="1"/>
      <c r="E235" s="1"/>
      <c r="F235" s="3"/>
      <c r="G235" s="2"/>
      <c r="H235" s="2"/>
    </row>
    <row r="236">
      <c r="A236" s="7"/>
      <c r="B236" s="1"/>
      <c r="C236" s="1"/>
      <c r="D236" s="1"/>
      <c r="E236" s="1"/>
      <c r="F236" s="3"/>
      <c r="G236" s="2"/>
      <c r="H236" s="2"/>
    </row>
    <row r="237">
      <c r="A237" s="7"/>
      <c r="B237" s="1"/>
      <c r="C237" s="1"/>
      <c r="D237" s="1"/>
      <c r="E237" s="1"/>
      <c r="F237" s="3"/>
      <c r="G237" s="2"/>
      <c r="H237" s="2"/>
    </row>
    <row r="238">
      <c r="A238" s="7"/>
      <c r="B238" s="1"/>
      <c r="C238" s="1"/>
      <c r="D238" s="1"/>
      <c r="E238" s="1"/>
      <c r="F238" s="3"/>
      <c r="G238" s="2"/>
      <c r="H238" s="2"/>
    </row>
    <row r="239">
      <c r="A239" s="7"/>
      <c r="B239" s="1"/>
      <c r="C239" s="1"/>
      <c r="D239" s="1"/>
      <c r="E239" s="1"/>
      <c r="F239" s="3"/>
      <c r="G239" s="2"/>
      <c r="H239" s="2"/>
    </row>
    <row r="240">
      <c r="A240" s="7"/>
      <c r="B240" s="1"/>
      <c r="C240" s="1"/>
      <c r="D240" s="1"/>
      <c r="E240" s="1"/>
      <c r="F240" s="3"/>
      <c r="G240" s="2"/>
      <c r="H240" s="2"/>
    </row>
    <row r="241">
      <c r="A241" s="7"/>
      <c r="B241" s="1"/>
      <c r="C241" s="1"/>
      <c r="D241" s="1"/>
      <c r="E241" s="1"/>
      <c r="F241" s="3"/>
      <c r="G241" s="2"/>
      <c r="H241" s="2"/>
    </row>
    <row r="242">
      <c r="A242" s="7"/>
      <c r="B242" s="1"/>
      <c r="C242" s="1"/>
      <c r="D242" s="1"/>
      <c r="E242" s="1"/>
      <c r="F242" s="3"/>
      <c r="G242" s="2"/>
      <c r="H242" s="2"/>
    </row>
    <row r="243">
      <c r="A243" s="7"/>
      <c r="B243" s="1"/>
      <c r="C243" s="1"/>
      <c r="D243" s="1"/>
      <c r="E243" s="1"/>
      <c r="F243" s="3"/>
      <c r="G243" s="2"/>
      <c r="H243" s="2"/>
    </row>
    <row r="244">
      <c r="A244" s="7"/>
      <c r="B244" s="1"/>
      <c r="C244" s="1"/>
      <c r="D244" s="1"/>
      <c r="E244" s="1"/>
      <c r="F244" s="3"/>
      <c r="G244" s="2"/>
      <c r="H244" s="2"/>
    </row>
    <row r="245">
      <c r="A245" s="7"/>
      <c r="B245" s="1"/>
      <c r="C245" s="1"/>
      <c r="D245" s="1"/>
      <c r="E245" s="1"/>
      <c r="F245" s="3"/>
      <c r="G245" s="2"/>
      <c r="H245" s="2"/>
    </row>
    <row r="246">
      <c r="A246" s="7"/>
      <c r="B246" s="1"/>
      <c r="C246" s="1"/>
      <c r="D246" s="1"/>
      <c r="E246" s="1"/>
      <c r="F246" s="3"/>
      <c r="G246" s="2"/>
      <c r="H246" s="2"/>
    </row>
    <row r="247">
      <c r="A247" s="7"/>
      <c r="B247" s="1"/>
      <c r="C247" s="1"/>
      <c r="D247" s="1"/>
      <c r="E247" s="1"/>
      <c r="F247" s="3"/>
      <c r="G247" s="2"/>
      <c r="H247" s="2"/>
    </row>
    <row r="248">
      <c r="A248" s="7"/>
      <c r="B248" s="1"/>
      <c r="C248" s="1"/>
      <c r="D248" s="1"/>
      <c r="E248" s="1"/>
      <c r="F248" s="3"/>
      <c r="G248" s="2"/>
      <c r="H248" s="2"/>
    </row>
    <row r="249">
      <c r="A249" s="7"/>
      <c r="B249" s="1"/>
      <c r="C249" s="1"/>
      <c r="D249" s="1"/>
      <c r="E249" s="1"/>
      <c r="F249" s="3"/>
      <c r="G249" s="2"/>
      <c r="H249" s="2"/>
    </row>
    <row r="250">
      <c r="A250" s="7"/>
      <c r="B250" s="1"/>
      <c r="C250" s="1"/>
      <c r="D250" s="1"/>
      <c r="E250" s="1"/>
      <c r="F250" s="3"/>
      <c r="G250" s="2"/>
      <c r="H250" s="2"/>
    </row>
    <row r="251">
      <c r="A251" s="7"/>
      <c r="B251" s="1"/>
      <c r="C251" s="1"/>
      <c r="D251" s="1"/>
      <c r="E251" s="1"/>
      <c r="F251" s="3"/>
      <c r="G251" s="2"/>
      <c r="H251" s="2"/>
    </row>
    <row r="252">
      <c r="A252" s="7"/>
      <c r="B252" s="1"/>
      <c r="C252" s="1"/>
      <c r="D252" s="1"/>
      <c r="E252" s="1"/>
      <c r="F252" s="3"/>
      <c r="G252" s="2"/>
      <c r="H252" s="2"/>
    </row>
    <row r="253">
      <c r="A253" s="7"/>
      <c r="B253" s="1"/>
      <c r="C253" s="1"/>
      <c r="D253" s="1"/>
      <c r="E253" s="1"/>
      <c r="F253" s="3"/>
      <c r="G253" s="2"/>
      <c r="H253" s="2"/>
    </row>
    <row r="254">
      <c r="A254" s="7"/>
      <c r="B254" s="1"/>
      <c r="C254" s="1"/>
      <c r="D254" s="1"/>
      <c r="E254" s="1"/>
      <c r="F254" s="3"/>
      <c r="G254" s="2"/>
      <c r="H254" s="2"/>
    </row>
    <row r="255">
      <c r="A255" s="7"/>
      <c r="B255" s="1"/>
      <c r="C255" s="1"/>
      <c r="D255" s="1"/>
      <c r="E255" s="1"/>
      <c r="F255" s="3"/>
      <c r="G255" s="2"/>
      <c r="H255" s="2"/>
    </row>
    <row r="256">
      <c r="A256" s="7"/>
      <c r="B256" s="1"/>
      <c r="C256" s="1"/>
      <c r="D256" s="1"/>
      <c r="E256" s="1"/>
      <c r="F256" s="3"/>
      <c r="G256" s="2"/>
      <c r="H256" s="2"/>
    </row>
    <row r="257">
      <c r="A257" s="7"/>
      <c r="B257" s="1"/>
      <c r="C257" s="1"/>
      <c r="D257" s="1"/>
      <c r="E257" s="1"/>
      <c r="F257" s="3"/>
      <c r="G257" s="2"/>
      <c r="H257" s="2"/>
    </row>
    <row r="258">
      <c r="A258" s="7"/>
      <c r="B258" s="1"/>
      <c r="C258" s="1"/>
      <c r="D258" s="1"/>
      <c r="E258" s="1"/>
      <c r="F258" s="3"/>
      <c r="G258" s="2"/>
      <c r="H258" s="2"/>
    </row>
    <row r="259">
      <c r="A259" s="7"/>
      <c r="B259" s="1"/>
      <c r="C259" s="1"/>
      <c r="D259" s="1"/>
      <c r="E259" s="1"/>
      <c r="F259" s="3"/>
      <c r="G259" s="2"/>
      <c r="H259" s="2"/>
    </row>
    <row r="260">
      <c r="A260" s="7"/>
      <c r="B260" s="1"/>
      <c r="C260" s="1"/>
      <c r="D260" s="1"/>
      <c r="E260" s="1"/>
      <c r="F260" s="3"/>
      <c r="G260" s="2"/>
      <c r="H260" s="2"/>
    </row>
    <row r="261">
      <c r="A261" s="7"/>
      <c r="B261" s="1"/>
      <c r="C261" s="1"/>
      <c r="D261" s="1"/>
      <c r="E261" s="1"/>
      <c r="F261" s="3"/>
      <c r="G261" s="2"/>
      <c r="H261" s="2"/>
    </row>
    <row r="262">
      <c r="A262" s="7"/>
      <c r="B262" s="1"/>
      <c r="C262" s="1"/>
      <c r="D262" s="1"/>
      <c r="E262" s="1"/>
      <c r="F262" s="3"/>
      <c r="G262" s="2"/>
      <c r="H262" s="2"/>
    </row>
    <row r="263">
      <c r="A263" s="7"/>
      <c r="B263" s="1"/>
      <c r="C263" s="1"/>
      <c r="D263" s="1"/>
      <c r="E263" s="1"/>
      <c r="F263" s="3"/>
      <c r="G263" s="2"/>
      <c r="H263" s="2"/>
    </row>
    <row r="264">
      <c r="A264" s="7"/>
      <c r="B264" s="1"/>
      <c r="C264" s="1"/>
      <c r="D264" s="1"/>
      <c r="E264" s="1"/>
      <c r="F264" s="3"/>
      <c r="G264" s="2"/>
      <c r="H264" s="2"/>
    </row>
    <row r="265">
      <c r="A265" s="7"/>
      <c r="B265" s="1"/>
      <c r="C265" s="1"/>
      <c r="D265" s="1"/>
      <c r="E265" s="1"/>
      <c r="F265" s="3"/>
      <c r="G265" s="2"/>
      <c r="H265" s="2"/>
    </row>
    <row r="266">
      <c r="A266" s="7"/>
      <c r="B266" s="1"/>
      <c r="C266" s="1"/>
      <c r="D266" s="1"/>
      <c r="E266" s="1"/>
      <c r="F266" s="3"/>
      <c r="G266" s="2"/>
      <c r="H266" s="2"/>
    </row>
    <row r="267">
      <c r="A267" s="7"/>
      <c r="B267" s="1"/>
      <c r="C267" s="1"/>
      <c r="D267" s="1"/>
      <c r="E267" s="1"/>
      <c r="F267" s="3"/>
      <c r="G267" s="2"/>
      <c r="H267" s="2"/>
    </row>
    <row r="268">
      <c r="A268" s="7"/>
      <c r="B268" s="1"/>
      <c r="C268" s="1"/>
      <c r="D268" s="1"/>
      <c r="E268" s="1"/>
      <c r="F268" s="3"/>
      <c r="G268" s="2"/>
      <c r="H268" s="2"/>
    </row>
    <row r="269">
      <c r="A269" s="7"/>
      <c r="B269" s="1"/>
      <c r="C269" s="1"/>
      <c r="D269" s="1"/>
      <c r="E269" s="1"/>
      <c r="F269" s="3"/>
      <c r="G269" s="2"/>
      <c r="H269" s="2"/>
    </row>
    <row r="270">
      <c r="A270" s="7"/>
      <c r="B270" s="1"/>
      <c r="C270" s="1"/>
      <c r="D270" s="1"/>
      <c r="E270" s="1"/>
      <c r="F270" s="3"/>
      <c r="G270" s="2"/>
      <c r="H270" s="2"/>
    </row>
    <row r="271">
      <c r="A271" s="7"/>
      <c r="B271" s="1"/>
      <c r="C271" s="1"/>
      <c r="D271" s="1"/>
      <c r="E271" s="1"/>
      <c r="F271" s="3"/>
      <c r="G271" s="2"/>
      <c r="H271" s="2"/>
    </row>
    <row r="272">
      <c r="A272" s="7"/>
      <c r="B272" s="1"/>
      <c r="C272" s="1"/>
      <c r="D272" s="1"/>
      <c r="E272" s="1"/>
      <c r="F272" s="3"/>
      <c r="G272" s="2"/>
      <c r="H272" s="2"/>
    </row>
    <row r="273">
      <c r="A273" s="7"/>
      <c r="B273" s="1"/>
      <c r="C273" s="1"/>
      <c r="D273" s="1"/>
      <c r="E273" s="1"/>
      <c r="F273" s="3"/>
      <c r="G273" s="2"/>
      <c r="H273" s="2"/>
    </row>
    <row r="274">
      <c r="A274" s="7"/>
      <c r="B274" s="1"/>
      <c r="C274" s="1"/>
      <c r="D274" s="1"/>
      <c r="E274" s="1"/>
      <c r="F274" s="3"/>
      <c r="G274" s="2"/>
      <c r="H274" s="2"/>
    </row>
    <row r="275">
      <c r="A275" s="7"/>
      <c r="B275" s="1"/>
      <c r="C275" s="1"/>
      <c r="D275" s="1"/>
      <c r="E275" s="1"/>
      <c r="F275" s="3"/>
      <c r="G275" s="2"/>
      <c r="H275" s="2"/>
    </row>
    <row r="276">
      <c r="A276" s="7"/>
      <c r="B276" s="1"/>
      <c r="C276" s="1"/>
      <c r="D276" s="1"/>
      <c r="E276" s="1"/>
      <c r="F276" s="3"/>
      <c r="G276" s="2"/>
      <c r="H276" s="2"/>
    </row>
    <row r="277">
      <c r="A277" s="7"/>
      <c r="B277" s="1"/>
      <c r="C277" s="1"/>
      <c r="D277" s="1"/>
      <c r="E277" s="1"/>
      <c r="F277" s="3"/>
      <c r="G277" s="2"/>
      <c r="H277" s="2"/>
    </row>
    <row r="278">
      <c r="A278" s="7"/>
      <c r="B278" s="1"/>
      <c r="C278" s="1"/>
      <c r="D278" s="1"/>
      <c r="E278" s="1"/>
      <c r="F278" s="3"/>
      <c r="G278" s="2"/>
      <c r="H278" s="2"/>
    </row>
    <row r="279">
      <c r="A279" s="7"/>
      <c r="B279" s="1"/>
      <c r="C279" s="1"/>
      <c r="D279" s="1"/>
      <c r="E279" s="1"/>
      <c r="F279" s="3"/>
      <c r="G279" s="2"/>
      <c r="H279" s="2"/>
    </row>
    <row r="280">
      <c r="A280" s="7"/>
      <c r="B280" s="1"/>
      <c r="C280" s="1"/>
      <c r="D280" s="1"/>
      <c r="E280" s="1"/>
      <c r="F280" s="3"/>
      <c r="G280" s="2"/>
      <c r="H280" s="2"/>
    </row>
    <row r="281">
      <c r="A281" s="7"/>
      <c r="B281" s="1"/>
      <c r="C281" s="1"/>
      <c r="D281" s="1"/>
      <c r="E281" s="1"/>
      <c r="F281" s="3"/>
      <c r="G281" s="2"/>
      <c r="H281" s="2"/>
    </row>
    <row r="282">
      <c r="A282" s="7"/>
      <c r="B282" s="1"/>
      <c r="C282" s="1"/>
      <c r="D282" s="1"/>
      <c r="E282" s="1"/>
      <c r="F282" s="3"/>
      <c r="G282" s="2"/>
      <c r="H282" s="2"/>
    </row>
    <row r="283">
      <c r="A283" s="7"/>
      <c r="B283" s="1"/>
      <c r="C283" s="1"/>
      <c r="D283" s="1"/>
      <c r="E283" s="1"/>
      <c r="F283" s="3"/>
      <c r="G283" s="2"/>
      <c r="H283" s="2"/>
    </row>
    <row r="284">
      <c r="A284" s="7"/>
      <c r="B284" s="1"/>
      <c r="C284" s="1"/>
      <c r="D284" s="1"/>
      <c r="E284" s="1"/>
      <c r="F284" s="3"/>
      <c r="G284" s="2"/>
      <c r="H284" s="2"/>
    </row>
    <row r="285">
      <c r="A285" s="7"/>
      <c r="B285" s="1"/>
      <c r="C285" s="1"/>
      <c r="D285" s="1"/>
      <c r="E285" s="1"/>
      <c r="F285" s="3"/>
      <c r="G285" s="2"/>
      <c r="H285" s="2"/>
    </row>
    <row r="286">
      <c r="A286" s="7"/>
      <c r="B286" s="1"/>
      <c r="C286" s="1"/>
      <c r="D286" s="1"/>
      <c r="E286" s="1"/>
      <c r="F286" s="3"/>
      <c r="G286" s="2"/>
      <c r="H286" s="2"/>
    </row>
    <row r="287">
      <c r="A287" s="7"/>
      <c r="B287" s="1"/>
      <c r="C287" s="1"/>
      <c r="D287" s="1"/>
      <c r="E287" s="1"/>
      <c r="F287" s="3"/>
      <c r="G287" s="2"/>
      <c r="H287" s="2"/>
    </row>
    <row r="288">
      <c r="A288" s="7"/>
      <c r="B288" s="1"/>
      <c r="C288" s="1"/>
      <c r="D288" s="1"/>
      <c r="E288" s="1"/>
      <c r="F288" s="3"/>
      <c r="G288" s="2"/>
      <c r="H288" s="2"/>
    </row>
    <row r="289">
      <c r="A289" s="7"/>
      <c r="B289" s="1"/>
      <c r="C289" s="1"/>
      <c r="D289" s="1"/>
      <c r="E289" s="1"/>
      <c r="F289" s="3"/>
      <c r="G289" s="2"/>
      <c r="H289" s="2"/>
    </row>
    <row r="290">
      <c r="A290" s="7"/>
      <c r="B290" s="1"/>
      <c r="C290" s="1"/>
      <c r="D290" s="1"/>
      <c r="E290" s="1"/>
      <c r="F290" s="3"/>
      <c r="G290" s="2"/>
      <c r="H290" s="2"/>
    </row>
    <row r="291">
      <c r="A291" s="7"/>
      <c r="B291" s="1"/>
      <c r="C291" s="1"/>
      <c r="D291" s="1"/>
      <c r="E291" s="1"/>
      <c r="F291" s="3"/>
      <c r="G291" s="2"/>
      <c r="H291" s="2"/>
    </row>
    <row r="292">
      <c r="A292" s="7"/>
      <c r="B292" s="1"/>
      <c r="C292" s="1"/>
      <c r="D292" s="1"/>
      <c r="E292" s="1"/>
      <c r="F292" s="3"/>
      <c r="G292" s="2"/>
      <c r="H292" s="2"/>
    </row>
    <row r="293">
      <c r="A293" s="7"/>
      <c r="B293" s="1"/>
      <c r="C293" s="1"/>
      <c r="D293" s="1"/>
      <c r="E293" s="1"/>
      <c r="F293" s="3"/>
      <c r="G293" s="2"/>
      <c r="H293" s="2"/>
    </row>
    <row r="294">
      <c r="A294" s="7"/>
      <c r="B294" s="1"/>
      <c r="C294" s="1"/>
      <c r="D294" s="1"/>
      <c r="E294" s="1"/>
      <c r="F294" s="3"/>
      <c r="G294" s="2"/>
      <c r="H294" s="2"/>
    </row>
    <row r="295">
      <c r="A295" s="7"/>
      <c r="B295" s="1"/>
      <c r="C295" s="1"/>
      <c r="D295" s="1"/>
      <c r="E295" s="1"/>
      <c r="F295" s="3"/>
      <c r="G295" s="2"/>
      <c r="H295" s="2"/>
    </row>
    <row r="296">
      <c r="A296" s="7"/>
      <c r="B296" s="1"/>
      <c r="C296" s="1"/>
      <c r="D296" s="1"/>
      <c r="E296" s="1"/>
      <c r="F296" s="3"/>
      <c r="G296" s="2"/>
      <c r="H296" s="2"/>
    </row>
    <row r="297">
      <c r="A297" s="7"/>
      <c r="B297" s="1"/>
      <c r="C297" s="1"/>
      <c r="D297" s="1"/>
      <c r="E297" s="1"/>
      <c r="F297" s="3"/>
      <c r="G297" s="2"/>
      <c r="H297" s="2"/>
    </row>
    <row r="298">
      <c r="A298" s="7"/>
      <c r="B298" s="1"/>
      <c r="C298" s="1"/>
      <c r="D298" s="1"/>
      <c r="E298" s="1"/>
      <c r="F298" s="3"/>
      <c r="G298" s="2"/>
      <c r="H298" s="2"/>
    </row>
    <row r="299">
      <c r="A299" s="7"/>
      <c r="B299" s="1"/>
      <c r="C299" s="1"/>
      <c r="D299" s="1"/>
      <c r="E299" s="1"/>
      <c r="F299" s="3"/>
      <c r="G299" s="2"/>
      <c r="H299" s="2"/>
    </row>
    <row r="300">
      <c r="A300" s="7"/>
      <c r="B300" s="1"/>
      <c r="C300" s="1"/>
      <c r="D300" s="1"/>
      <c r="E300" s="1"/>
      <c r="F300" s="3"/>
      <c r="G300" s="2"/>
      <c r="H300" s="2"/>
    </row>
    <row r="301">
      <c r="A301" s="7"/>
      <c r="B301" s="1"/>
      <c r="C301" s="1"/>
      <c r="D301" s="1"/>
      <c r="E301" s="1"/>
      <c r="F301" s="3"/>
      <c r="G301" s="2"/>
      <c r="H301" s="2"/>
    </row>
    <row r="302">
      <c r="A302" s="7"/>
      <c r="B302" s="1"/>
      <c r="C302" s="1"/>
      <c r="D302" s="1"/>
      <c r="E302" s="1"/>
      <c r="F302" s="3"/>
      <c r="G302" s="2"/>
      <c r="H302" s="2"/>
    </row>
    <row r="303">
      <c r="A303" s="7"/>
      <c r="B303" s="1"/>
      <c r="C303" s="1"/>
      <c r="D303" s="1"/>
      <c r="E303" s="1"/>
      <c r="F303" s="3"/>
      <c r="G303" s="2"/>
      <c r="H303" s="2"/>
    </row>
    <row r="304">
      <c r="A304" s="7"/>
      <c r="B304" s="1"/>
      <c r="C304" s="1"/>
      <c r="D304" s="1"/>
      <c r="E304" s="1"/>
      <c r="F304" s="3"/>
      <c r="G304" s="2"/>
      <c r="H304" s="2"/>
    </row>
    <row r="305">
      <c r="A305" s="7"/>
      <c r="B305" s="1"/>
      <c r="C305" s="1"/>
      <c r="D305" s="1"/>
      <c r="E305" s="1"/>
      <c r="F305" s="3"/>
      <c r="G305" s="2"/>
      <c r="H305" s="2"/>
    </row>
    <row r="306">
      <c r="A306" s="7"/>
      <c r="B306" s="1"/>
      <c r="C306" s="1"/>
      <c r="D306" s="1"/>
      <c r="E306" s="1"/>
      <c r="F306" s="3"/>
      <c r="G306" s="2"/>
      <c r="H306" s="2"/>
    </row>
    <row r="307">
      <c r="A307" s="7"/>
      <c r="B307" s="1"/>
      <c r="C307" s="1"/>
      <c r="D307" s="1"/>
      <c r="E307" s="1"/>
      <c r="F307" s="3"/>
      <c r="G307" s="2"/>
      <c r="H307" s="2"/>
    </row>
    <row r="308">
      <c r="A308" s="7"/>
      <c r="B308" s="1"/>
      <c r="C308" s="1"/>
      <c r="D308" s="1"/>
      <c r="E308" s="1"/>
      <c r="F308" s="3"/>
      <c r="G308" s="2"/>
      <c r="H308" s="2"/>
    </row>
    <row r="309">
      <c r="A309" s="7"/>
      <c r="B309" s="1"/>
      <c r="C309" s="1"/>
      <c r="D309" s="1"/>
      <c r="E309" s="1"/>
      <c r="F309" s="3"/>
      <c r="G309" s="2"/>
      <c r="H309" s="2"/>
    </row>
    <row r="310">
      <c r="A310" s="7"/>
      <c r="B310" s="1"/>
      <c r="C310" s="1"/>
      <c r="D310" s="1"/>
      <c r="E310" s="1"/>
      <c r="F310" s="3"/>
      <c r="G310" s="2"/>
      <c r="H310" s="2"/>
    </row>
    <row r="311">
      <c r="A311" s="7"/>
      <c r="B311" s="1"/>
      <c r="C311" s="1"/>
      <c r="D311" s="1"/>
      <c r="E311" s="1"/>
      <c r="F311" s="3"/>
      <c r="G311" s="2"/>
      <c r="H311" s="2"/>
    </row>
    <row r="312">
      <c r="A312" s="7"/>
      <c r="B312" s="1"/>
      <c r="C312" s="1"/>
      <c r="D312" s="1"/>
      <c r="E312" s="1"/>
      <c r="F312" s="3"/>
      <c r="G312" s="2"/>
      <c r="H312" s="2"/>
    </row>
    <row r="313">
      <c r="A313" s="7"/>
      <c r="B313" s="1"/>
      <c r="C313" s="1"/>
      <c r="D313" s="1"/>
      <c r="E313" s="1"/>
      <c r="F313" s="3"/>
      <c r="G313" s="2"/>
      <c r="H313" s="2"/>
    </row>
    <row r="314">
      <c r="A314" s="7"/>
      <c r="B314" s="1"/>
      <c r="C314" s="1"/>
      <c r="D314" s="1"/>
      <c r="E314" s="1"/>
      <c r="F314" s="3"/>
      <c r="G314" s="2"/>
      <c r="H314" s="2"/>
    </row>
    <row r="315">
      <c r="A315" s="7"/>
      <c r="B315" s="1"/>
      <c r="C315" s="1"/>
      <c r="D315" s="1"/>
      <c r="E315" s="1"/>
      <c r="F315" s="3"/>
      <c r="G315" s="2"/>
      <c r="H315" s="2"/>
    </row>
    <row r="316">
      <c r="A316" s="7"/>
      <c r="B316" s="1"/>
      <c r="C316" s="1"/>
      <c r="D316" s="1"/>
      <c r="E316" s="1"/>
      <c r="F316" s="3"/>
      <c r="G316" s="2"/>
      <c r="H316" s="2"/>
    </row>
    <row r="317">
      <c r="A317" s="7"/>
      <c r="B317" s="1"/>
      <c r="C317" s="1"/>
      <c r="D317" s="1"/>
      <c r="E317" s="1"/>
      <c r="F317" s="3"/>
      <c r="G317" s="2"/>
      <c r="H317" s="2"/>
    </row>
    <row r="318">
      <c r="A318" s="7"/>
      <c r="B318" s="1"/>
      <c r="C318" s="1"/>
      <c r="D318" s="1"/>
      <c r="E318" s="1"/>
      <c r="F318" s="3"/>
      <c r="G318" s="2"/>
      <c r="H318" s="2"/>
    </row>
    <row r="319">
      <c r="A319" s="7"/>
      <c r="B319" s="1"/>
      <c r="C319" s="1"/>
      <c r="D319" s="1"/>
      <c r="E319" s="1"/>
      <c r="F319" s="3"/>
      <c r="G319" s="2"/>
      <c r="H319" s="2"/>
    </row>
    <row r="320">
      <c r="A320" s="7"/>
      <c r="B320" s="1"/>
      <c r="C320" s="1"/>
      <c r="D320" s="1"/>
      <c r="E320" s="1"/>
      <c r="F320" s="3"/>
      <c r="G320" s="2"/>
      <c r="H320" s="2"/>
    </row>
    <row r="321">
      <c r="A321" s="7"/>
      <c r="B321" s="1"/>
      <c r="C321" s="1"/>
      <c r="D321" s="1"/>
      <c r="E321" s="1"/>
      <c r="F321" s="3"/>
      <c r="G321" s="2"/>
      <c r="H321" s="2"/>
    </row>
    <row r="322">
      <c r="A322" s="7"/>
      <c r="B322" s="1"/>
      <c r="C322" s="1"/>
      <c r="D322" s="1"/>
      <c r="E322" s="1"/>
      <c r="F322" s="3"/>
      <c r="G322" s="2"/>
      <c r="H322" s="2"/>
    </row>
    <row r="323">
      <c r="A323" s="7"/>
      <c r="B323" s="1"/>
      <c r="C323" s="1"/>
      <c r="D323" s="1"/>
      <c r="E323" s="1"/>
      <c r="F323" s="3"/>
      <c r="G323" s="2"/>
      <c r="H323" s="2"/>
    </row>
    <row r="324">
      <c r="A324" s="7"/>
      <c r="B324" s="1"/>
      <c r="C324" s="1"/>
      <c r="D324" s="1"/>
      <c r="E324" s="1"/>
      <c r="F324" s="3"/>
      <c r="G324" s="2"/>
      <c r="H324" s="2"/>
    </row>
    <row r="325">
      <c r="A325" s="7"/>
      <c r="B325" s="1"/>
      <c r="C325" s="1"/>
      <c r="D325" s="1"/>
      <c r="E325" s="1"/>
      <c r="F325" s="3"/>
      <c r="G325" s="2"/>
      <c r="H325" s="2"/>
    </row>
    <row r="326">
      <c r="A326" s="7"/>
      <c r="B326" s="1"/>
      <c r="C326" s="1"/>
      <c r="D326" s="1"/>
      <c r="E326" s="1"/>
      <c r="F326" s="3"/>
      <c r="G326" s="2"/>
      <c r="H326" s="2"/>
    </row>
    <row r="327">
      <c r="A327" s="7"/>
      <c r="B327" s="1"/>
      <c r="C327" s="1"/>
      <c r="D327" s="1"/>
      <c r="E327" s="1"/>
      <c r="F327" s="3"/>
      <c r="G327" s="2"/>
      <c r="H327" s="2"/>
    </row>
    <row r="328">
      <c r="A328" s="7"/>
      <c r="B328" s="1"/>
      <c r="C328" s="1"/>
      <c r="D328" s="1"/>
      <c r="E328" s="1"/>
      <c r="F328" s="3"/>
      <c r="G328" s="2"/>
      <c r="H328" s="2"/>
    </row>
    <row r="329">
      <c r="A329" s="7"/>
      <c r="B329" s="1"/>
      <c r="C329" s="1"/>
      <c r="D329" s="1"/>
      <c r="E329" s="1"/>
      <c r="F329" s="3"/>
      <c r="G329" s="2"/>
      <c r="H329" s="2"/>
    </row>
    <row r="330">
      <c r="A330" s="7"/>
      <c r="B330" s="1"/>
      <c r="C330" s="1"/>
      <c r="D330" s="1"/>
      <c r="E330" s="1"/>
      <c r="F330" s="3"/>
      <c r="G330" s="2"/>
      <c r="H330" s="2"/>
    </row>
    <row r="331">
      <c r="A331" s="7"/>
      <c r="B331" s="1"/>
      <c r="C331" s="1"/>
      <c r="D331" s="1"/>
      <c r="E331" s="1"/>
      <c r="F331" s="3"/>
      <c r="G331" s="2"/>
      <c r="H331" s="2"/>
    </row>
    <row r="332">
      <c r="A332" s="7"/>
      <c r="B332" s="1"/>
      <c r="C332" s="1"/>
      <c r="D332" s="1"/>
      <c r="E332" s="1"/>
      <c r="F332" s="3"/>
      <c r="G332" s="2"/>
      <c r="H332" s="2"/>
    </row>
    <row r="333">
      <c r="A333" s="7"/>
      <c r="B333" s="1"/>
      <c r="C333" s="1"/>
      <c r="D333" s="1"/>
      <c r="E333" s="1"/>
      <c r="F333" s="3"/>
      <c r="G333" s="2"/>
      <c r="H333" s="2"/>
    </row>
    <row r="334">
      <c r="A334" s="7"/>
      <c r="B334" s="1"/>
      <c r="C334" s="1"/>
      <c r="D334" s="1"/>
      <c r="E334" s="1"/>
      <c r="F334" s="3"/>
      <c r="G334" s="2"/>
      <c r="H334" s="2"/>
    </row>
    <row r="335">
      <c r="A335" s="7"/>
      <c r="B335" s="1"/>
      <c r="C335" s="1"/>
      <c r="D335" s="1"/>
      <c r="E335" s="1"/>
      <c r="F335" s="3"/>
      <c r="G335" s="2"/>
      <c r="H335" s="2"/>
    </row>
    <row r="336">
      <c r="A336" s="7"/>
      <c r="B336" s="1"/>
      <c r="C336" s="1"/>
      <c r="D336" s="1"/>
      <c r="E336" s="1"/>
      <c r="F336" s="3"/>
      <c r="G336" s="2"/>
      <c r="H336" s="2"/>
    </row>
    <row r="337">
      <c r="A337" s="7"/>
      <c r="B337" s="1"/>
      <c r="C337" s="1"/>
      <c r="D337" s="1"/>
      <c r="E337" s="1"/>
      <c r="F337" s="3"/>
      <c r="G337" s="2"/>
      <c r="H337" s="2"/>
    </row>
    <row r="338">
      <c r="A338" s="7"/>
      <c r="B338" s="1"/>
      <c r="C338" s="1"/>
      <c r="D338" s="1"/>
      <c r="E338" s="1"/>
      <c r="F338" s="3"/>
      <c r="G338" s="2"/>
      <c r="H338" s="2"/>
    </row>
    <row r="339">
      <c r="A339" s="7"/>
      <c r="B339" s="1"/>
      <c r="C339" s="1"/>
      <c r="D339" s="1"/>
      <c r="E339" s="1"/>
      <c r="F339" s="3"/>
      <c r="G339" s="2"/>
      <c r="H339" s="2"/>
    </row>
    <row r="340">
      <c r="A340" s="7"/>
      <c r="B340" s="1"/>
      <c r="C340" s="1"/>
      <c r="D340" s="1"/>
      <c r="E340" s="1"/>
      <c r="F340" s="3"/>
      <c r="G340" s="2"/>
      <c r="H340" s="2"/>
    </row>
    <row r="341">
      <c r="A341" s="7"/>
      <c r="B341" s="1"/>
      <c r="C341" s="1"/>
      <c r="D341" s="1"/>
      <c r="E341" s="1"/>
      <c r="F341" s="3"/>
      <c r="G341" s="2"/>
      <c r="H341" s="2"/>
    </row>
    <row r="342">
      <c r="A342" s="7"/>
      <c r="B342" s="1"/>
      <c r="C342" s="1"/>
      <c r="D342" s="1"/>
      <c r="E342" s="1"/>
      <c r="F342" s="3"/>
      <c r="G342" s="2"/>
      <c r="H342" s="2"/>
    </row>
    <row r="343">
      <c r="A343" s="7"/>
      <c r="B343" s="1"/>
      <c r="C343" s="1"/>
      <c r="D343" s="1"/>
      <c r="E343" s="1"/>
      <c r="F343" s="3"/>
      <c r="G343" s="2"/>
      <c r="H343" s="2"/>
    </row>
    <row r="344">
      <c r="A344" s="7"/>
      <c r="B344" s="1"/>
      <c r="C344" s="1"/>
      <c r="D344" s="1"/>
      <c r="E344" s="1"/>
      <c r="F344" s="3"/>
      <c r="G344" s="2"/>
      <c r="H344" s="2"/>
    </row>
    <row r="345">
      <c r="A345" s="7"/>
      <c r="B345" s="1"/>
      <c r="C345" s="1"/>
      <c r="D345" s="1"/>
      <c r="E345" s="1"/>
      <c r="F345" s="3"/>
      <c r="G345" s="2"/>
      <c r="H345" s="2"/>
    </row>
    <row r="346">
      <c r="A346" s="7"/>
      <c r="B346" s="1"/>
      <c r="C346" s="1"/>
      <c r="D346" s="1"/>
      <c r="E346" s="1"/>
      <c r="F346" s="3"/>
      <c r="G346" s="2"/>
      <c r="H346" s="2"/>
    </row>
    <row r="347">
      <c r="A347" s="7"/>
      <c r="B347" s="1"/>
      <c r="C347" s="1"/>
      <c r="D347" s="1"/>
      <c r="E347" s="1"/>
      <c r="F347" s="3"/>
      <c r="G347" s="2"/>
      <c r="H347" s="2"/>
    </row>
    <row r="348">
      <c r="A348" s="7"/>
      <c r="B348" s="1"/>
      <c r="C348" s="1"/>
      <c r="D348" s="1"/>
      <c r="E348" s="1"/>
      <c r="F348" s="3"/>
      <c r="G348" s="2"/>
      <c r="H348" s="2"/>
    </row>
    <row r="349">
      <c r="A349" s="7"/>
      <c r="B349" s="1"/>
      <c r="C349" s="1"/>
      <c r="D349" s="1"/>
      <c r="E349" s="1"/>
      <c r="F349" s="3"/>
      <c r="G349" s="2"/>
      <c r="H349" s="2"/>
    </row>
    <row r="350">
      <c r="A350" s="7"/>
      <c r="B350" s="1"/>
      <c r="C350" s="1"/>
      <c r="D350" s="1"/>
      <c r="E350" s="1"/>
      <c r="F350" s="3"/>
      <c r="G350" s="2"/>
      <c r="H350" s="2"/>
    </row>
    <row r="351">
      <c r="A351" s="7"/>
      <c r="B351" s="1"/>
      <c r="C351" s="1"/>
      <c r="D351" s="1"/>
      <c r="E351" s="1"/>
      <c r="F351" s="3"/>
      <c r="G351" s="2"/>
      <c r="H351" s="2"/>
    </row>
    <row r="352">
      <c r="A352" s="7"/>
      <c r="B352" s="1"/>
      <c r="C352" s="1"/>
      <c r="D352" s="1"/>
      <c r="E352" s="1"/>
      <c r="F352" s="3"/>
      <c r="G352" s="2"/>
      <c r="H352" s="2"/>
    </row>
    <row r="353">
      <c r="A353" s="7"/>
      <c r="B353" s="1"/>
      <c r="C353" s="1"/>
      <c r="D353" s="1"/>
      <c r="E353" s="1"/>
      <c r="F353" s="3"/>
      <c r="G353" s="2"/>
      <c r="H353" s="2"/>
    </row>
    <row r="354">
      <c r="A354" s="7"/>
      <c r="B354" s="1"/>
      <c r="C354" s="1"/>
      <c r="D354" s="1"/>
      <c r="E354" s="1"/>
      <c r="F354" s="3"/>
      <c r="G354" s="2"/>
      <c r="H354" s="2"/>
    </row>
    <row r="355">
      <c r="A355" s="7"/>
      <c r="B355" s="1"/>
      <c r="C355" s="1"/>
      <c r="D355" s="1"/>
      <c r="E355" s="1"/>
      <c r="F355" s="3"/>
      <c r="G355" s="2"/>
      <c r="H355" s="2"/>
    </row>
    <row r="356">
      <c r="A356" s="7"/>
      <c r="B356" s="1"/>
      <c r="C356" s="1"/>
      <c r="D356" s="1"/>
      <c r="E356" s="1"/>
      <c r="F356" s="3"/>
      <c r="G356" s="2"/>
      <c r="H356" s="2"/>
    </row>
    <row r="357">
      <c r="A357" s="7"/>
      <c r="B357" s="1"/>
      <c r="C357" s="1"/>
      <c r="D357" s="1"/>
      <c r="E357" s="1"/>
      <c r="F357" s="3"/>
      <c r="G357" s="2"/>
      <c r="H357" s="2"/>
    </row>
    <row r="358">
      <c r="A358" s="7"/>
      <c r="B358" s="1"/>
      <c r="C358" s="1"/>
      <c r="D358" s="1"/>
      <c r="E358" s="1"/>
      <c r="F358" s="3"/>
      <c r="G358" s="2"/>
      <c r="H358" s="2"/>
    </row>
    <row r="359">
      <c r="A359" s="7"/>
      <c r="B359" s="1"/>
      <c r="C359" s="1"/>
      <c r="D359" s="1"/>
      <c r="E359" s="1"/>
      <c r="F359" s="3"/>
      <c r="G359" s="2"/>
      <c r="H359" s="2"/>
    </row>
    <row r="360">
      <c r="A360" s="7"/>
      <c r="B360" s="1"/>
      <c r="C360" s="1"/>
      <c r="D360" s="1"/>
      <c r="E360" s="1"/>
      <c r="F360" s="3"/>
      <c r="G360" s="2"/>
      <c r="H360" s="2"/>
    </row>
    <row r="361">
      <c r="A361" s="7"/>
      <c r="B361" s="1"/>
      <c r="C361" s="1"/>
      <c r="D361" s="1"/>
      <c r="E361" s="1"/>
      <c r="F361" s="3"/>
      <c r="G361" s="2"/>
      <c r="H361" s="2"/>
    </row>
    <row r="362">
      <c r="A362" s="7"/>
      <c r="B362" s="1"/>
      <c r="C362" s="1"/>
      <c r="D362" s="1"/>
      <c r="E362" s="1"/>
      <c r="F362" s="3"/>
      <c r="G362" s="2"/>
      <c r="H362" s="2"/>
    </row>
    <row r="363">
      <c r="A363" s="7"/>
      <c r="B363" s="1"/>
      <c r="C363" s="1"/>
      <c r="D363" s="1"/>
      <c r="E363" s="1"/>
      <c r="F363" s="3"/>
      <c r="G363" s="2"/>
      <c r="H363" s="2"/>
    </row>
    <row r="364">
      <c r="A364" s="7"/>
      <c r="B364" s="1"/>
      <c r="C364" s="1"/>
      <c r="D364" s="1"/>
      <c r="E364" s="1"/>
      <c r="F364" s="3"/>
      <c r="G364" s="2"/>
      <c r="H364" s="2"/>
    </row>
    <row r="365">
      <c r="A365" s="7"/>
      <c r="B365" s="1"/>
      <c r="C365" s="1"/>
      <c r="D365" s="1"/>
      <c r="E365" s="1"/>
      <c r="F365" s="3"/>
      <c r="G365" s="2"/>
      <c r="H365" s="2"/>
    </row>
    <row r="366">
      <c r="A366" s="7"/>
      <c r="B366" s="1"/>
      <c r="C366" s="1"/>
      <c r="D366" s="1"/>
      <c r="E366" s="1"/>
      <c r="F366" s="3"/>
      <c r="G366" s="2"/>
      <c r="H366" s="2"/>
    </row>
    <row r="367">
      <c r="A367" s="7"/>
      <c r="B367" s="1"/>
      <c r="C367" s="1"/>
      <c r="D367" s="1"/>
      <c r="E367" s="1"/>
      <c r="F367" s="3"/>
      <c r="G367" s="2"/>
      <c r="H367" s="2"/>
    </row>
    <row r="368">
      <c r="A368" s="7"/>
      <c r="B368" s="1"/>
      <c r="C368" s="1"/>
      <c r="D368" s="1"/>
      <c r="E368" s="1"/>
      <c r="F368" s="3"/>
      <c r="G368" s="2"/>
      <c r="H368" s="2"/>
    </row>
    <row r="369">
      <c r="A369" s="7"/>
      <c r="B369" s="1"/>
      <c r="C369" s="1"/>
      <c r="D369" s="1"/>
      <c r="E369" s="1"/>
      <c r="F369" s="3"/>
      <c r="G369" s="2"/>
      <c r="H369" s="2"/>
    </row>
    <row r="370">
      <c r="A370" s="7"/>
      <c r="B370" s="1"/>
      <c r="C370" s="1"/>
      <c r="D370" s="1"/>
      <c r="E370" s="1"/>
      <c r="F370" s="3"/>
      <c r="G370" s="2"/>
      <c r="H370" s="2"/>
    </row>
    <row r="371">
      <c r="A371" s="7"/>
      <c r="B371" s="1"/>
      <c r="C371" s="1"/>
      <c r="D371" s="1"/>
      <c r="E371" s="1"/>
      <c r="F371" s="3"/>
      <c r="G371" s="2"/>
      <c r="H371" s="2"/>
    </row>
    <row r="372">
      <c r="A372" s="7"/>
      <c r="B372" s="1"/>
      <c r="C372" s="1"/>
      <c r="D372" s="1"/>
      <c r="E372" s="1"/>
      <c r="F372" s="3"/>
      <c r="G372" s="2"/>
      <c r="H372" s="2"/>
    </row>
    <row r="373">
      <c r="A373" s="7"/>
      <c r="B373" s="1"/>
      <c r="C373" s="1"/>
      <c r="D373" s="1"/>
      <c r="E373" s="1"/>
      <c r="F373" s="3"/>
      <c r="G373" s="2"/>
      <c r="H373" s="2"/>
    </row>
    <row r="374">
      <c r="A374" s="7"/>
      <c r="B374" s="1"/>
      <c r="C374" s="1"/>
      <c r="D374" s="1"/>
      <c r="E374" s="1"/>
      <c r="F374" s="3"/>
      <c r="G374" s="2"/>
      <c r="H374" s="2"/>
    </row>
    <row r="375">
      <c r="A375" s="7"/>
      <c r="B375" s="1"/>
      <c r="C375" s="1"/>
      <c r="D375" s="1"/>
      <c r="E375" s="1"/>
      <c r="F375" s="3"/>
      <c r="G375" s="2"/>
      <c r="H375" s="2"/>
    </row>
    <row r="376">
      <c r="A376" s="7"/>
      <c r="B376" s="1"/>
      <c r="C376" s="1"/>
      <c r="D376" s="1"/>
      <c r="E376" s="1"/>
      <c r="F376" s="3"/>
      <c r="G376" s="2"/>
      <c r="H376" s="2"/>
    </row>
    <row r="377">
      <c r="A377" s="7"/>
      <c r="B377" s="1"/>
      <c r="C377" s="1"/>
      <c r="D377" s="1"/>
      <c r="E377" s="1"/>
      <c r="F377" s="3"/>
      <c r="G377" s="2"/>
      <c r="H377" s="2"/>
    </row>
    <row r="378">
      <c r="A378" s="7"/>
      <c r="B378" s="1"/>
      <c r="C378" s="1"/>
      <c r="D378" s="1"/>
      <c r="E378" s="1"/>
      <c r="F378" s="3"/>
      <c r="G378" s="2"/>
      <c r="H378" s="2"/>
    </row>
    <row r="379">
      <c r="A379" s="7"/>
      <c r="B379" s="1"/>
      <c r="C379" s="1"/>
      <c r="D379" s="1"/>
      <c r="E379" s="1"/>
      <c r="F379" s="3"/>
      <c r="G379" s="2"/>
      <c r="H379" s="2"/>
    </row>
    <row r="380">
      <c r="A380" s="7"/>
      <c r="B380" s="1"/>
      <c r="C380" s="1"/>
      <c r="D380" s="1"/>
      <c r="E380" s="1"/>
      <c r="F380" s="3"/>
      <c r="G380" s="2"/>
      <c r="H380" s="2"/>
    </row>
    <row r="381">
      <c r="A381" s="7"/>
      <c r="B381" s="1"/>
      <c r="C381" s="1"/>
      <c r="D381" s="1"/>
      <c r="E381" s="1"/>
      <c r="F381" s="3"/>
      <c r="G381" s="2"/>
      <c r="H381" s="2"/>
    </row>
    <row r="382">
      <c r="A382" s="7"/>
      <c r="B382" s="1"/>
      <c r="C382" s="1"/>
      <c r="D382" s="1"/>
      <c r="E382" s="1"/>
      <c r="F382" s="3"/>
      <c r="G382" s="2"/>
      <c r="H382" s="2"/>
    </row>
    <row r="383">
      <c r="A383" s="7"/>
      <c r="B383" s="1"/>
      <c r="C383" s="1"/>
      <c r="D383" s="1"/>
      <c r="E383" s="1"/>
      <c r="F383" s="3"/>
      <c r="G383" s="2"/>
      <c r="H383" s="2"/>
    </row>
    <row r="384">
      <c r="A384" s="7"/>
      <c r="B384" s="1"/>
      <c r="C384" s="1"/>
      <c r="D384" s="1"/>
      <c r="E384" s="1"/>
      <c r="F384" s="3"/>
      <c r="G384" s="2"/>
      <c r="H384" s="2"/>
    </row>
    <row r="385">
      <c r="A385" s="7"/>
      <c r="B385" s="1"/>
      <c r="C385" s="1"/>
      <c r="D385" s="1"/>
      <c r="E385" s="1"/>
      <c r="F385" s="3"/>
      <c r="G385" s="2"/>
      <c r="H385" s="2"/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3"/>
    <col collapsed="false" customWidth="true" hidden="false" max="3" min="3" style="0" width="13"/>
  </cols>
  <sheetData>
    <row r="1">
      <c r="A1" s="30" t="str">
        <v>得物部</v>
      </c>
      <c r="B1" s="6" t="str">
        <v>HDFL08</v>
      </c>
      <c r="C1" s="61" t="str">
        <v>HDFL08；HDFL26；HDFL27；HDFL05；HDFL04；HDFL40；HDFL42</v>
      </c>
    </row>
    <row r="2">
      <c r="A2" s="30" t="str">
        <v>得物部</v>
      </c>
      <c r="B2" s="6" t="str">
        <v>HDFL26</v>
      </c>
    </row>
    <row r="3">
      <c r="A3" s="30" t="str">
        <v>得物部</v>
      </c>
      <c r="B3" s="6" t="str">
        <v>HDFL27</v>
      </c>
    </row>
    <row r="4">
      <c r="A4" s="30" t="str">
        <v>得物部</v>
      </c>
      <c r="B4" s="6" t="str">
        <v>HDFL05</v>
      </c>
    </row>
    <row r="5">
      <c r="A5" s="30" t="str">
        <v>得物部</v>
      </c>
      <c r="B5" s="6" t="str">
        <v>HDFL04</v>
      </c>
    </row>
    <row r="6">
      <c r="A6" s="30" t="str">
        <v>得物部</v>
      </c>
      <c r="B6" s="6" t="str">
        <v>HDFL40</v>
      </c>
    </row>
    <row r="7">
      <c r="A7" s="30" t="str">
        <v>得物部</v>
      </c>
      <c r="B7" s="6" t="str">
        <v>HDFL42</v>
      </c>
    </row>
    <row r="8">
      <c r="A8" s="30" t="str">
        <v>抖音部</v>
      </c>
      <c r="B8" s="7" t="str">
        <v>HDFL06</v>
      </c>
    </row>
    <row r="9">
      <c r="A9" s="30" t="str">
        <v>抖音部</v>
      </c>
      <c r="B9" s="7" t="str">
        <v>HDFL07</v>
      </c>
    </row>
    <row r="10">
      <c r="A10" s="30" t="str">
        <v>抖音部</v>
      </c>
      <c r="B10" s="7" t="str">
        <v>HDFL08</v>
      </c>
      <c r="C10" s="61" t="str">
        <v>HDFL08；HDFL24；HDFL25；HDFL34；HDFL35；HDFL37</v>
      </c>
    </row>
    <row r="11">
      <c r="A11" s="30" t="str">
        <v>抖音部</v>
      </c>
      <c r="B11" s="6" t="str">
        <v>HDFL24</v>
      </c>
    </row>
    <row r="12">
      <c r="A12" s="30" t="str">
        <v>抖音部</v>
      </c>
      <c r="B12" s="6" t="str">
        <v>HDFL25</v>
      </c>
    </row>
    <row r="13">
      <c r="A13" s="30" t="str">
        <v>抖音部</v>
      </c>
      <c r="B13" s="6" t="str">
        <v>HDFL34</v>
      </c>
    </row>
    <row r="14">
      <c r="A14" s="30" t="str">
        <v>抖音部</v>
      </c>
      <c r="B14" s="6" t="str">
        <v>HDFL35</v>
      </c>
    </row>
    <row r="15">
      <c r="A15" s="30" t="str">
        <v>抖音部</v>
      </c>
      <c r="B15" s="76" t="str">
        <v>HDFL37</v>
      </c>
    </row>
    <row r="16">
      <c r="A16" s="30" t="str">
        <v>京东部</v>
      </c>
      <c r="B16" s="30" t="str">
        <v>HDFL20</v>
      </c>
      <c r="C16" s="61" t="str">
        <v>HDFL20；HDFL21；HDFL28</v>
      </c>
    </row>
    <row r="17">
      <c r="A17" s="30" t="str">
        <v>京东部</v>
      </c>
      <c r="B17" s="30" t="str">
        <v>HDFL21</v>
      </c>
    </row>
    <row r="18">
      <c r="A18" s="30" t="str">
        <v>京东部</v>
      </c>
      <c r="B18" s="30" t="str">
        <v>HDFL28</v>
      </c>
    </row>
    <row r="19">
      <c r="A19" s="30" t="str">
        <v>快手部</v>
      </c>
      <c r="B19" s="228" t="str">
        <v>HDFL07</v>
      </c>
      <c r="C19" s="61" t="str">
        <v>HDFL07；HDFL08；HDFL09；HDFL24；HDFL25；HDFL33；HDFL36；HDFL38</v>
      </c>
    </row>
    <row r="20">
      <c r="A20" s="30" t="str">
        <v>快手部</v>
      </c>
      <c r="B20" s="228" t="str">
        <v>HDFL08</v>
      </c>
    </row>
    <row r="21">
      <c r="A21" s="30" t="str">
        <v>快手部</v>
      </c>
      <c r="B21" s="30" t="str">
        <v>HDFL09</v>
      </c>
    </row>
    <row r="22">
      <c r="A22" s="30" t="str">
        <v>快手部</v>
      </c>
      <c r="B22" s="30" t="str">
        <v>HDFL24</v>
      </c>
    </row>
    <row r="23">
      <c r="A23" s="30" t="str">
        <v>快手部</v>
      </c>
      <c r="B23" s="30" t="str">
        <v>HDFL25</v>
      </c>
    </row>
    <row r="24">
      <c r="A24" s="30" t="str">
        <v>快手部</v>
      </c>
      <c r="B24" s="30" t="str">
        <v>HDFL33</v>
      </c>
    </row>
    <row r="25">
      <c r="A25" s="30" t="str">
        <v>快手部</v>
      </c>
      <c r="B25" s="30" t="str">
        <v>HDFL36</v>
      </c>
    </row>
    <row r="26">
      <c r="A26" s="30" t="str">
        <v>快手部</v>
      </c>
      <c r="B26" s="30" t="str">
        <v>HDFL38</v>
      </c>
    </row>
    <row r="27">
      <c r="A27" s="30" t="str">
        <v>拼多多部</v>
      </c>
      <c r="B27" s="228" t="str">
        <v>HDFL07</v>
      </c>
      <c r="C27" s="61" t="str">
        <v>HDFL07；HDFL22</v>
      </c>
    </row>
    <row r="28">
      <c r="A28" s="30" t="str">
        <v>拼多多部</v>
      </c>
      <c r="B28" s="30" t="str">
        <v>HDFL22</v>
      </c>
    </row>
    <row r="29">
      <c r="A29" s="30" t="str">
        <v>品牌产品中心</v>
      </c>
      <c r="B29" s="30" t="str">
        <v>HDFL10</v>
      </c>
      <c r="C29" s="61" t="str">
        <v>HDFL10；HDFL11；HDFL12；HDFL13；HDFL14；HDFL15；HDFL27；HDFL29；HDFL23；HDFL40</v>
      </c>
    </row>
    <row r="30">
      <c r="A30" s="30" t="str">
        <v>品牌产品中心</v>
      </c>
      <c r="B30" s="30" t="str">
        <v>HDFL11</v>
      </c>
    </row>
    <row r="31">
      <c r="A31" s="30" t="str">
        <v>品牌产品中心</v>
      </c>
      <c r="B31" s="30" t="str">
        <v>HDFL12</v>
      </c>
    </row>
    <row r="32">
      <c r="A32" s="30" t="str">
        <v>品牌产品中心</v>
      </c>
      <c r="B32" s="30" t="str">
        <v>HDFL13</v>
      </c>
    </row>
    <row r="33">
      <c r="A33" s="30" t="str">
        <v>品牌产品中心</v>
      </c>
      <c r="B33" s="30" t="str">
        <v>HDFL14</v>
      </c>
    </row>
    <row r="34">
      <c r="A34" s="30" t="str">
        <v>品牌产品中心</v>
      </c>
      <c r="B34" s="30" t="str">
        <v>HDFL15</v>
      </c>
    </row>
    <row r="35">
      <c r="A35" s="30" t="str">
        <v>品牌运营中心</v>
      </c>
      <c r="B35" s="30" t="str">
        <v>HDFL27</v>
      </c>
    </row>
    <row r="36">
      <c r="A36" s="30" t="str">
        <v>品牌运营中心</v>
      </c>
      <c r="B36" s="30" t="str">
        <v>HDFL29</v>
      </c>
    </row>
    <row r="37">
      <c r="A37" s="30" t="str">
        <v>品牌运营中心</v>
      </c>
      <c r="B37" s="30" t="str">
        <v>HDFL23</v>
      </c>
    </row>
    <row r="38">
      <c r="A38" s="30" t="str">
        <v>品牌运营中心</v>
      </c>
      <c r="B38" s="30" t="str">
        <v>HDFL40</v>
      </c>
    </row>
    <row r="39">
      <c r="A39" s="30" t="str">
        <v>市场广告推广部</v>
      </c>
      <c r="B39" s="228" t="str">
        <v>HDFL01</v>
      </c>
      <c r="C39" s="61" t="str">
        <v>HDFL01；HDFL02；HDFL06；HDFL07；HDFL08；HDFL17；HDFL18；HDFL30；HDFL31</v>
      </c>
    </row>
    <row r="40">
      <c r="A40" s="30" t="str">
        <v>市场广告推广部</v>
      </c>
      <c r="B40" s="228" t="str">
        <v>HDFL02</v>
      </c>
    </row>
    <row r="41">
      <c r="A41" s="30" t="str">
        <v>市场广告推广部</v>
      </c>
      <c r="B41" s="228" t="str">
        <v>HDFL06</v>
      </c>
    </row>
    <row r="42">
      <c r="A42" s="30" t="str">
        <v>市场广告推广部</v>
      </c>
      <c r="B42" s="228" t="str">
        <v>HDFL07</v>
      </c>
    </row>
    <row r="43">
      <c r="A43" s="30" t="str">
        <v>市场广告推广部</v>
      </c>
      <c r="B43" s="30" t="str">
        <v>HDFL08</v>
      </c>
    </row>
    <row r="44">
      <c r="A44" s="30" t="str">
        <v>市场广告推广部</v>
      </c>
      <c r="B44" s="30" t="str">
        <v>HDFL17</v>
      </c>
    </row>
    <row r="45">
      <c r="A45" s="30" t="str">
        <v>市场广告推广部</v>
      </c>
      <c r="B45" s="30" t="str">
        <v>HDFL18</v>
      </c>
    </row>
    <row r="46">
      <c r="A46" s="30" t="str">
        <v>市场广告推广部</v>
      </c>
      <c r="B46" s="30" t="str">
        <v>HDFL30</v>
      </c>
    </row>
    <row r="47">
      <c r="A47" s="30" t="str">
        <v>市场广告推广部</v>
      </c>
      <c r="B47" s="30" t="str">
        <v>HDFL31</v>
      </c>
    </row>
    <row r="48">
      <c r="A48" s="30" t="str">
        <v>特渠部</v>
      </c>
      <c r="B48" s="30" t="str">
        <v>HDFL32</v>
      </c>
      <c r="C48" s="30" t="str">
        <v>HDFL32</v>
      </c>
    </row>
    <row r="49">
      <c r="A49" s="30" t="str">
        <v>天猫运营部</v>
      </c>
      <c r="B49" s="30" t="str">
        <v>HDFL19</v>
      </c>
      <c r="C49" s="30" t="str">
        <v>HDFL19</v>
      </c>
    </row>
    <row r="50">
      <c r="A50" s="30" t="str">
        <v>微信运营部</v>
      </c>
      <c r="B50" s="228" t="str">
        <v>HDFL06</v>
      </c>
      <c r="C50" s="61" t="str">
        <v>HDFL06；HDFL07；HDFL23；HDFL24；HDFL29</v>
      </c>
    </row>
    <row r="51">
      <c r="A51" s="30" t="str">
        <v>微信运营部</v>
      </c>
      <c r="B51" s="228" t="str">
        <v>HDFL07</v>
      </c>
    </row>
    <row r="52">
      <c r="A52" s="30" t="str">
        <v>微信运营部</v>
      </c>
      <c r="B52" s="30" t="str">
        <v>HDFL23</v>
      </c>
    </row>
    <row r="53">
      <c r="A53" s="30" t="str">
        <v>微信运营部</v>
      </c>
      <c r="B53" s="30" t="str">
        <v>HDFL24</v>
      </c>
    </row>
    <row r="54">
      <c r="A54" s="30" t="str">
        <v>微信运营部</v>
      </c>
      <c r="B54" s="30" t="str">
        <v>HDFL29</v>
      </c>
    </row>
    <row r="55">
      <c r="A55" s="30" t="str">
        <v>运营策略部</v>
      </c>
      <c r="B55" s="30" t="str">
        <v>HDFL43</v>
      </c>
      <c r="C55" s="30" t="str">
        <v>HDFL43</v>
      </c>
    </row>
    <row r="56">
      <c r="A56" s="30" t="str">
        <v>直播运营部</v>
      </c>
      <c r="B56" s="228" t="str">
        <v>HDFL04</v>
      </c>
      <c r="C56" s="61" t="str">
        <v>HDFL04；HDFL05；HDFL16；HDFL17；HDFL38；HDFL39；HDFL41</v>
      </c>
    </row>
    <row r="57">
      <c r="A57" s="30" t="str">
        <v>直播运营部</v>
      </c>
      <c r="B57" s="228" t="str">
        <v>HDFL05</v>
      </c>
    </row>
    <row r="58">
      <c r="A58" s="30" t="str">
        <v>直播运营部</v>
      </c>
      <c r="B58" s="30" t="str">
        <v>HDFL16</v>
      </c>
    </row>
    <row r="59">
      <c r="A59" s="30" t="str">
        <v>直播运营部</v>
      </c>
      <c r="B59" s="30" t="str">
        <v>HDFL17</v>
      </c>
    </row>
    <row r="60">
      <c r="A60" s="30" t="str">
        <v>直播运营部</v>
      </c>
      <c r="B60" s="30" t="str">
        <v>HDFL38</v>
      </c>
    </row>
    <row r="61">
      <c r="A61" s="30" t="str">
        <v>直播运营部</v>
      </c>
      <c r="B61" s="30" t="str">
        <v>HDFL39</v>
      </c>
    </row>
    <row r="62">
      <c r="A62" s="30" t="str">
        <v>直播运营部</v>
      </c>
      <c r="B62" s="30" t="str">
        <v>HDFL41</v>
      </c>
    </row>
    <row r="63">
      <c r="A63" s="229"/>
      <c r="B63" s="7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
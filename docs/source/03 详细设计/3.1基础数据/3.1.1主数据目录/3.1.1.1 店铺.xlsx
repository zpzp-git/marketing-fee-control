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工作盘\花西子\一期\03 详细设计\3.1基础数据\3.1.1主数据目录\"/>
    </mc:Choice>
  </mc:AlternateContent>
  <xr:revisionPtr revIDLastSave="0" documentId="13_ncr:1_{1F1A3CA7-11C6-4448-A751-8ECD1F9FD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收集数据表" sheetId="2" r:id="rId1"/>
    <sheet name="渠道" sheetId="3" r:id="rId2"/>
    <sheet name="渠道树" sheetId="4" r:id="rId3"/>
    <sheet name="店铺运营分组" sheetId="5" r:id="rId4"/>
    <sheet name="平台" sheetId="6" r:id="rId5"/>
    <sheet name="基础信息" sheetId="7" r:id="rId6"/>
    <sheet name="基础信息参考" sheetId="8" state="hidden" r:id="rId7"/>
    <sheet name="销售部门" sheetId="9" r:id="rId8"/>
    <sheet name="销售人员" sheetId="10" r:id="rId9"/>
    <sheet name="发货仓" sheetId="11" r:id="rId10"/>
    <sheet name="区域范围" sheetId="12" r:id="rId11"/>
    <sheet name="结算主体" sheetId="13" r:id="rId12"/>
    <sheet name="枚举值" sheetId="14" r:id="rId13"/>
    <sheet name="Sheet13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4" l="1"/>
  <c r="C33" i="4"/>
  <c r="C32" i="4"/>
  <c r="C31" i="4"/>
  <c r="C30" i="4"/>
  <c r="D28" i="4"/>
  <c r="C25" i="4"/>
  <c r="C24" i="4"/>
  <c r="C23" i="4"/>
  <c r="C19" i="4"/>
  <c r="C17" i="4"/>
  <c r="C16" i="4"/>
  <c r="C15" i="4"/>
  <c r="C14" i="4"/>
  <c r="C9" i="4"/>
  <c r="C8" i="4"/>
  <c r="C7" i="4"/>
  <c r="C6" i="4"/>
  <c r="J23" i="2"/>
  <c r="I22" i="2"/>
  <c r="J22" i="2" s="1"/>
  <c r="D22" i="2"/>
  <c r="E22" i="2" s="1"/>
  <c r="D37" i="4" s="1"/>
  <c r="I21" i="2"/>
  <c r="J21" i="2" s="1"/>
  <c r="E21" i="2"/>
  <c r="D21" i="4" s="1"/>
  <c r="D21" i="2"/>
  <c r="C21" i="4" s="1"/>
  <c r="I20" i="2"/>
  <c r="J20" i="2" s="1"/>
  <c r="D20" i="2"/>
  <c r="E20" i="2" s="1"/>
  <c r="D36" i="4" s="1"/>
  <c r="I19" i="2"/>
  <c r="J19" i="2" s="1"/>
  <c r="D19" i="2"/>
  <c r="E19" i="2" s="1"/>
  <c r="I18" i="2"/>
  <c r="J18" i="2" s="1"/>
  <c r="D18" i="2"/>
  <c r="C35" i="4" s="1"/>
  <c r="I17" i="2"/>
  <c r="J17" i="2" s="1"/>
  <c r="E17" i="2"/>
  <c r="D34" i="4" s="1"/>
  <c r="D17" i="2"/>
  <c r="I16" i="2"/>
  <c r="J16" i="2" s="1"/>
  <c r="D16" i="2"/>
  <c r="E16" i="2" s="1"/>
  <c r="D33" i="4" s="1"/>
  <c r="I15" i="2"/>
  <c r="J15" i="2" s="1"/>
  <c r="D15" i="2"/>
  <c r="E15" i="2" s="1"/>
  <c r="D32" i="4" s="1"/>
  <c r="I14" i="2"/>
  <c r="J14" i="2" s="1"/>
  <c r="D14" i="2"/>
  <c r="E14" i="2" s="1"/>
  <c r="D31" i="4" s="1"/>
  <c r="I13" i="2"/>
  <c r="J13" i="2" s="1"/>
  <c r="E13" i="2"/>
  <c r="D30" i="4" s="1"/>
  <c r="D13" i="2"/>
  <c r="I12" i="2"/>
  <c r="J12" i="2" s="1"/>
  <c r="D12" i="2"/>
  <c r="C29" i="4" s="1"/>
  <c r="I11" i="2"/>
  <c r="J11" i="2" s="1"/>
  <c r="D11" i="2"/>
  <c r="C28" i="4" s="1"/>
  <c r="I10" i="2"/>
  <c r="J10" i="2" s="1"/>
  <c r="D10" i="2"/>
  <c r="E10" i="2" s="1"/>
  <c r="D27" i="4" s="1"/>
  <c r="I9" i="2"/>
  <c r="J9" i="2" s="1"/>
  <c r="D9" i="2"/>
  <c r="C26" i="4" s="1"/>
  <c r="J8" i="2"/>
  <c r="I8" i="2"/>
  <c r="D8" i="2"/>
  <c r="E8" i="2" s="1"/>
  <c r="D25" i="4" s="1"/>
  <c r="I7" i="2"/>
  <c r="J7" i="2" s="1"/>
  <c r="D7" i="2"/>
  <c r="E7" i="2" s="1"/>
  <c r="D24" i="4" s="1"/>
  <c r="I6" i="2"/>
  <c r="J6" i="2" s="1"/>
  <c r="D6" i="2"/>
  <c r="E6" i="2" s="1"/>
  <c r="D23" i="4" s="1"/>
  <c r="I5" i="2"/>
  <c r="J5" i="2" s="1"/>
  <c r="D5" i="2"/>
  <c r="E5" i="2" s="1"/>
  <c r="D22" i="4" s="1"/>
  <c r="J4" i="2"/>
  <c r="I4" i="2"/>
  <c r="D4" i="2"/>
  <c r="E4" i="2" s="1"/>
  <c r="I3" i="2"/>
  <c r="J3" i="2" s="1"/>
  <c r="D3" i="2"/>
  <c r="C13" i="4" s="1"/>
  <c r="I2" i="2"/>
  <c r="J2" i="2" s="1"/>
  <c r="D2" i="2"/>
  <c r="C2" i="4" s="1"/>
  <c r="D19" i="4" l="1"/>
  <c r="D20" i="4"/>
  <c r="E18" i="2"/>
  <c r="D35" i="4" s="1"/>
  <c r="C18" i="4"/>
  <c r="C3" i="4"/>
  <c r="C4" i="4"/>
  <c r="C20" i="4"/>
  <c r="C36" i="4"/>
  <c r="E9" i="2"/>
  <c r="D26" i="4" s="1"/>
  <c r="C10" i="4"/>
  <c r="E3" i="2"/>
  <c r="C11" i="4"/>
  <c r="C27" i="4"/>
  <c r="E12" i="2"/>
  <c r="D29" i="4" s="1"/>
  <c r="C12" i="4"/>
  <c r="C5" i="4"/>
  <c r="C37" i="4"/>
  <c r="C22" i="4"/>
  <c r="E2" i="2"/>
  <c r="D5" i="4" l="1"/>
  <c r="D3" i="4"/>
  <c r="D4" i="4"/>
  <c r="D2" i="4"/>
  <c r="D13" i="4"/>
  <c r="D10" i="4"/>
  <c r="D7" i="4"/>
  <c r="D14" i="4"/>
  <c r="D18" i="4"/>
  <c r="D17" i="4"/>
  <c r="D16" i="4"/>
  <c r="D8" i="4"/>
  <c r="D15" i="4"/>
  <c r="D6" i="4"/>
  <c r="D12" i="4"/>
  <c r="D11" i="4"/>
  <c r="D9" i="4"/>
</calcChain>
</file>

<file path=xl/sharedStrings.xml><?xml version="1.0" encoding="utf-8"?>
<sst xmlns="http://schemas.openxmlformats.org/spreadsheetml/2006/main" count="2794" uniqueCount="816">
  <si>
    <r>
      <rPr>
        <i/>
        <sz val="9.75"/>
        <color rgb="FF000000"/>
        <rFont val="Calibri"/>
        <family val="2"/>
      </rPr>
      <t xml:space="preserve">实际运营方，需要确认收入的主体
</t>
    </r>
    <r>
      <rPr>
        <i/>
        <u/>
        <sz val="9"/>
        <color rgb="FF4E83FD"/>
        <rFont val="Calibri"/>
        <family val="2"/>
      </rPr>
      <t>20221207:讨论后建议不改业务上对运营主体的定义，字段名称改为“结算主体”或“合同主体”</t>
    </r>
  </si>
  <si>
    <r>
      <rPr>
        <sz val="9.75"/>
        <color rgb="FF000000"/>
        <rFont val="Calibri"/>
        <family val="2"/>
      </rPr>
      <t>即交易主体，</t>
    </r>
    <r>
      <rPr>
        <sz val="9.75"/>
        <color rgb="FF4E83FD"/>
        <rFont val="Calibri"/>
        <family val="2"/>
      </rPr>
      <t>发货的库存所属主体</t>
    </r>
  </si>
  <si>
    <r>
      <rPr>
        <u/>
        <sz val="9.75"/>
        <color theme="10"/>
        <rFont val="Calibri"/>
        <family val="2"/>
      </rPr>
      <t>https://fxg.jinritemai.com/ffa/chooseEntries</t>
    </r>
  </si>
  <si>
    <r>
      <rPr>
        <u/>
        <sz val="9.75"/>
        <color theme="10"/>
        <rFont val="Calibri"/>
        <family val="2"/>
      </rPr>
      <t>https://shopee.vn/florasis.vn</t>
    </r>
  </si>
  <si>
    <r>
      <rPr>
        <u/>
        <sz val="9.75"/>
        <color theme="10"/>
        <rFont val="Calibri"/>
        <family val="2"/>
      </rPr>
      <t>http://mobile.yangkeduo.com/mall_page.html?mall_id=946072587</t>
    </r>
  </si>
  <si>
    <r>
      <rPr>
        <u/>
        <sz val="9.75"/>
        <color theme="10"/>
        <rFont val="Calibri"/>
        <family val="2"/>
      </rPr>
      <t>https://shopee.sg/florasis.sg</t>
    </r>
  </si>
  <si>
    <r>
      <rPr>
        <u/>
        <sz val="9.75"/>
        <color theme="10"/>
        <rFont val="Calibri"/>
        <family val="2"/>
      </rPr>
      <t>http://mobile.yangkeduo.com/mall_page.html?mall_id=138048299</t>
    </r>
  </si>
  <si>
    <r>
      <rPr>
        <u/>
        <sz val="9.75"/>
        <color theme="10"/>
        <rFont val="Calibri"/>
        <family val="2"/>
      </rPr>
      <t>https://huaxizijz.tmall.com/?spm=a217wi.openworkbeanchtmall.widgets.2.41e65e16R2ERRr</t>
    </r>
  </si>
  <si>
    <r>
      <rPr>
        <u/>
        <sz val="9.75"/>
        <color theme="10"/>
        <rFont val="Calibri"/>
        <family val="2"/>
      </rPr>
      <t>https://www.amazon.co.uk/florasis</t>
    </r>
  </si>
  <si>
    <r>
      <rPr>
        <u/>
        <sz val="9.75"/>
        <color theme="10"/>
        <rFont val="Calibri"/>
        <family val="2"/>
      </rPr>
      <t>https://huaxizi.tmall.com/?spm=a220o.1000855.w5001-17160293638.2.56c92c566oD0Xm&amp;scene=taobao_shop</t>
    </r>
  </si>
  <si>
    <r>
      <rPr>
        <u/>
        <sz val="9.75"/>
        <color theme="10"/>
        <rFont val="Calibri"/>
        <family val="2"/>
      </rPr>
      <t>https://www.rakuten.ne.jp/gold/florasis/</t>
    </r>
  </si>
  <si>
    <r>
      <rPr>
        <u/>
        <sz val="9.75"/>
        <color theme="10"/>
        <rFont val="Calibri"/>
        <family val="2"/>
      </rPr>
      <t>https://www.lazada.sg/shop/florasis</t>
    </r>
  </si>
  <si>
    <r>
      <rPr>
        <u/>
        <sz val="9"/>
        <color theme="10"/>
        <rFont val="Calibri"/>
        <family val="2"/>
      </rPr>
      <t>https://mall.jd.com/index-1000455903.html?from=pc</t>
    </r>
  </si>
  <si>
    <r>
      <rPr>
        <u/>
        <sz val="9.75"/>
        <color theme="10"/>
        <rFont val="Calibri"/>
        <family val="2"/>
      </rPr>
      <t>https://app.kwaixiaodian.com/merchant/shop/list?id=2033150064</t>
    </r>
  </si>
  <si>
    <r>
      <rPr>
        <u/>
        <sz val="9.75"/>
        <color theme="10"/>
        <rFont val="Calibri"/>
        <family val="2"/>
      </rPr>
      <t>https://shopee.ph/florasis.ph</t>
    </r>
  </si>
  <si>
    <r>
      <rPr>
        <u/>
        <sz val="9.75"/>
        <color theme="10"/>
        <rFont val="Calibri"/>
        <family val="2"/>
      </rPr>
      <t>https://shopee.co.th/florasis.th</t>
    </r>
  </si>
  <si>
    <r>
      <rPr>
        <u/>
        <sz val="9.75"/>
        <color theme="10"/>
        <rFont val="Calibri"/>
        <family val="2"/>
      </rPr>
      <t>https://mall.jd.com/index-10177691.html?from=pc</t>
    </r>
  </si>
  <si>
    <r>
      <rPr>
        <u/>
        <sz val="9.75"/>
        <color theme="10"/>
        <rFont val="Calibri"/>
        <family val="2"/>
      </rPr>
      <t>https://jp.florasis.com</t>
    </r>
  </si>
  <si>
    <r>
      <rPr>
        <u/>
        <sz val="9.75"/>
        <color theme="10"/>
        <rFont val="Calibri"/>
        <family val="2"/>
      </rPr>
      <t>https://haohuo.jinritemai.com/views/shop/index?id=rHQPvZg&amp;origin_type=604&amp;origin_id=0&amp;new_source_type=47&amp;new_source_id=0&amp;source_type=47&amp;source_id=0</t>
    </r>
  </si>
  <si>
    <r>
      <rPr>
        <u/>
        <sz val="9.75"/>
        <color theme="10"/>
        <rFont val="Calibri"/>
        <family val="2"/>
      </rPr>
      <t>https://s.kwaixiaodian.com/zone/hm</t>
    </r>
  </si>
  <si>
    <r>
      <rPr>
        <u/>
        <sz val="9.75"/>
        <color theme="10"/>
        <rFont val="Calibri"/>
        <family val="2"/>
      </rPr>
      <t>https://app.kwaixiaodian.com/merchant/shop/list?id=1121008791</t>
    </r>
  </si>
  <si>
    <r>
      <rPr>
        <u/>
        <sz val="9.75"/>
        <color theme="10"/>
        <rFont val="Calibri"/>
        <family val="2"/>
      </rPr>
      <t>https://shopee.com.my/florasis.os</t>
    </r>
  </si>
  <si>
    <r>
      <rPr>
        <u/>
        <sz val="9.75"/>
        <color theme="10"/>
        <rFont val="Calibri"/>
        <family val="2"/>
      </rPr>
      <t>https://shopee.tw/florasis.tw</t>
    </r>
  </si>
  <si>
    <r>
      <rPr>
        <u/>
        <sz val="9.75"/>
        <color theme="10"/>
        <rFont val="Calibri"/>
        <family val="2"/>
      </rPr>
      <t>https://www.qoo10.jp/shop/Florasis-official</t>
    </r>
  </si>
  <si>
    <r>
      <rPr>
        <u/>
        <sz val="9.75"/>
        <color theme="10"/>
        <rFont val="Calibri"/>
        <family val="2"/>
      </rPr>
      <t>https://www.lazada.com.ph/shop/florasis-offcial-store</t>
    </r>
  </si>
  <si>
    <r>
      <rPr>
        <u/>
        <sz val="9.75"/>
        <color theme="10"/>
        <rFont val="Calibri"/>
        <family val="2"/>
      </rPr>
      <t>https://www.xiaohongshu.com/vendor/5e02dc43f488980001bca92e?contentId=121620&amp;preview=true&amp;naviHidden=yes</t>
    </r>
  </si>
  <si>
    <r>
      <rPr>
        <u/>
        <sz val="9.75"/>
        <color theme="10"/>
        <rFont val="Calibri"/>
        <family val="2"/>
      </rPr>
      <t>https://mall.jd.com/index-10262506.html?from=pc</t>
    </r>
  </si>
  <si>
    <r>
      <rPr>
        <u/>
        <sz val="9.75"/>
        <color theme="10"/>
        <rFont val="Calibri"/>
        <family val="2"/>
      </rPr>
      <t>https://www.florasis.com/</t>
    </r>
    <r>
      <rPr>
        <u/>
        <sz val="9.75"/>
        <color theme="10"/>
        <rFont val="Calibri"/>
        <family val="2"/>
      </rPr>
      <t xml:space="preserve">
</t>
    </r>
    <r>
      <rPr>
        <u/>
        <sz val="9.75"/>
        <color theme="10"/>
        <rFont val="Calibri"/>
        <family val="2"/>
      </rPr>
      <t>https://jp.florasis.com</t>
    </r>
  </si>
  <si>
    <r>
      <rPr>
        <u/>
        <sz val="9.75"/>
        <color theme="10"/>
        <rFont val="Calibri"/>
        <family val="2"/>
      </rPr>
      <t>https://www.amazon.com/florasis</t>
    </r>
  </si>
  <si>
    <r>
      <rPr>
        <u/>
        <sz val="9"/>
        <color theme="10"/>
        <rFont val="Calibri"/>
        <family val="2"/>
      </rPr>
      <t>https://app.kwaixiaodian.com/page/kwaishop-c-shoplist?id=1168586727</t>
    </r>
  </si>
  <si>
    <r>
      <rPr>
        <u/>
        <sz val="9.75"/>
        <color theme="10"/>
        <rFont val="Calibri"/>
        <family val="2"/>
      </rPr>
      <t>https://www.amazon.co.jp/florasis</t>
    </r>
  </si>
  <si>
    <r>
      <rPr>
        <u/>
        <sz val="9.75"/>
        <color theme="10"/>
        <rFont val="Calibri"/>
        <family val="2"/>
      </rPr>
      <t>https://mobile.yangkeduo.com/mall_page.html?_x_org=2&amp;refer_share_uin=&amp;refer_share_id=1O7qrdBrxbfibUeT5dSlFIMei0QCeKHH&amp;_x_query=ogp%E8%93%9D%E9%93%9C%E8%83%9C%E8%82%BD%E9%9D%A2%E9%9C%9C&amp;msn=r74qsmbizsfsfnnca7csikqd6a_axbuy&amp;refer_share_channel=copy_link&amp;_wv=41729&amp;mall_id=478070408&amp;_wvx=10</t>
    </r>
  </si>
  <si>
    <r>
      <rPr>
        <u/>
        <sz val="9.75"/>
        <color theme="10"/>
        <rFont val="Calibri"/>
        <family val="2"/>
      </rPr>
      <t>https://kmall.kaola.com/pc/1045137689?_fullscreen=true&amp;cdnBaseUrl=http%3A%2F%2Fm.kaolacdn.com&amp;isTestEnvironment=false</t>
    </r>
  </si>
  <si>
    <r>
      <rPr>
        <u/>
        <sz val="9.75"/>
        <color theme="10"/>
        <rFont val="Calibri"/>
        <family val="2"/>
      </rPr>
      <t>https://www.xiaohongshu.com/vendor/5ad803591c9e8635c95a8a9e?xhsshare=CopyLink&amp;appuid=5a8fbdc311be10146f9d0482&amp;apptime=1592471178</t>
    </r>
  </si>
  <si>
    <r>
      <rPr>
        <u/>
        <sz val="9.75"/>
        <color theme="10"/>
        <rFont val="Calibri"/>
        <family val="2"/>
      </rPr>
      <t>https://h5.youzan.com/v2/showcase/homepage?alias=9yuhCdbb6j</t>
    </r>
  </si>
  <si>
    <r>
      <rPr>
        <u/>
        <sz val="9.75"/>
        <color theme="10"/>
        <rFont val="Calibri"/>
        <family val="2"/>
      </rPr>
      <t>https://www.amazon.ca/florasis</t>
    </r>
  </si>
  <si>
    <r>
      <rPr>
        <u/>
        <sz val="9.75"/>
        <color theme="10"/>
        <rFont val="Calibri"/>
        <family val="2"/>
      </rPr>
      <t>https://www.lazada.co.th/shop/florasis-offcial-store</t>
    </r>
  </si>
  <si>
    <r>
      <rPr>
        <u/>
        <sz val="9.75"/>
        <color theme="10"/>
        <rFont val="Calibri"/>
        <family val="2"/>
      </rPr>
      <t>https://www.lazada.vn/shop/florasis-offcial-store</t>
    </r>
  </si>
  <si>
    <r>
      <rPr>
        <u/>
        <sz val="9.75"/>
        <color theme="10"/>
        <rFont val="Calibri"/>
        <family val="2"/>
      </rPr>
      <t>https://www.lazada.com.my/shop/-florasis-offcial-store</t>
    </r>
  </si>
  <si>
    <r>
      <rPr>
        <u/>
        <sz val="9.75"/>
        <color theme="10"/>
        <rFont val="Calibri"/>
        <family val="2"/>
      </rPr>
      <t>https://www.lazada.co.id/shop/florasis-offcial-store</t>
    </r>
  </si>
  <si>
    <r>
      <rPr>
        <u/>
        <sz val="9.75"/>
        <color theme="10"/>
        <rFont val="Calibri"/>
        <family val="2"/>
      </rPr>
      <t>https://mall.jd.com/index-1000350586.html?from=pc</t>
    </r>
  </si>
  <si>
    <r>
      <rPr>
        <u/>
        <sz val="9.75"/>
        <color theme="10"/>
        <rFont val="Calibri"/>
        <family val="2"/>
      </rPr>
      <t>https://ogphzp.tmall.com/</t>
    </r>
  </si>
  <si>
    <r>
      <rPr>
        <u/>
        <sz val="9.75"/>
        <color theme="10"/>
        <rFont val="Calibri"/>
        <family val="2"/>
      </rPr>
      <t>https://category.vip.com/suggest.php?keyword=%E8%8A%B1%E8%A5%BF%E5%AD%90&amp;ff=235|12|1|1</t>
    </r>
  </si>
  <si>
    <r>
      <rPr>
        <u/>
        <sz val="9.75"/>
        <color theme="10"/>
        <rFont val="Calibri"/>
        <family val="2"/>
      </rPr>
      <t>https://h5.youzan.com/v2/showcase/homepage?alias=HYOKdeOg2M</t>
    </r>
  </si>
  <si>
    <r>
      <rPr>
        <u/>
        <sz val="9.75"/>
        <color theme="10"/>
        <rFont val="Calibri"/>
        <family val="2"/>
      </rPr>
      <t>https://www.lazada.com.my/shop/florasis</t>
    </r>
  </si>
  <si>
    <t>店铺全称</t>
  </si>
  <si>
    <t>店铺编码</t>
  </si>
  <si>
    <t>渠道</t>
  </si>
  <si>
    <t>店铺渠道</t>
  </si>
  <si>
    <t>店铺渠道编码</t>
  </si>
  <si>
    <t>店铺简称</t>
  </si>
  <si>
    <t>类型</t>
  </si>
  <si>
    <t>业务模式</t>
  </si>
  <si>
    <t>店铺运营分组</t>
  </si>
  <si>
    <t>店铺运营平台编码</t>
  </si>
  <si>
    <t>平台</t>
  </si>
  <si>
    <t>品牌</t>
  </si>
  <si>
    <t>合同公司</t>
  </si>
  <si>
    <t>货主</t>
  </si>
  <si>
    <t>运营主体</t>
  </si>
  <si>
    <t>天猫花西子旗舰店</t>
  </si>
  <si>
    <t>DP015</t>
  </si>
  <si>
    <t>天猫渠道</t>
  </si>
  <si>
    <t>天猫旗舰店</t>
  </si>
  <si>
    <t>线上2C</t>
  </si>
  <si>
    <t>直销</t>
  </si>
  <si>
    <t>天猫</t>
  </si>
  <si>
    <t>花西子</t>
  </si>
  <si>
    <t>杭州宜格化妆品有限公司</t>
  </si>
  <si>
    <t>抖音花西子旗舰店</t>
  </si>
  <si>
    <t>DP007</t>
  </si>
  <si>
    <t>抖音渠道</t>
  </si>
  <si>
    <t>抖音旗舰店</t>
  </si>
  <si>
    <t>抖音</t>
  </si>
  <si>
    <t>快手花西子旗舰店</t>
  </si>
  <si>
    <t>DP031</t>
  </si>
  <si>
    <t>快手渠道</t>
  </si>
  <si>
    <t>快手旗舰店</t>
  </si>
  <si>
    <t>快手</t>
  </si>
  <si>
    <t>京东花西子旗舰店</t>
  </si>
  <si>
    <t>DP002</t>
  </si>
  <si>
    <t>京东渠道</t>
  </si>
  <si>
    <t>京东旗舰店</t>
  </si>
  <si>
    <t>京东</t>
  </si>
  <si>
    <t>杭州匠泽电子商务有限公司</t>
  </si>
  <si>
    <t>京东花西子自营店</t>
  </si>
  <si>
    <t>DP033</t>
  </si>
  <si>
    <t>京东自营店</t>
  </si>
  <si>
    <t>线下2B</t>
  </si>
  <si>
    <t>经销</t>
  </si>
  <si>
    <t>金蝶</t>
  </si>
  <si>
    <t>唯品会花西子自营店</t>
  </si>
  <si>
    <t>DP029</t>
  </si>
  <si>
    <t>唯品渠道</t>
  </si>
  <si>
    <t>唯品会自营店</t>
  </si>
  <si>
    <t>代销</t>
  </si>
  <si>
    <t>唯品会</t>
  </si>
  <si>
    <t>天猫花西子匠泽店</t>
  </si>
  <si>
    <t>DP001</t>
  </si>
  <si>
    <t>综合渠道</t>
  </si>
  <si>
    <t>天猫匠泽店</t>
  </si>
  <si>
    <t>得物花西子旗舰店</t>
  </si>
  <si>
    <t>DP054</t>
  </si>
  <si>
    <t>得物</t>
  </si>
  <si>
    <t>线上2B</t>
  </si>
  <si>
    <t>一件代发</t>
  </si>
  <si>
    <t>考拉花西子旗舰店</t>
  </si>
  <si>
    <t>DP004</t>
  </si>
  <si>
    <t>考拉旗舰店</t>
  </si>
  <si>
    <t>考拉</t>
  </si>
  <si>
    <t>京东到家</t>
  </si>
  <si>
    <t>DP052</t>
  </si>
  <si>
    <t>28</t>
  </si>
  <si>
    <t>有赞花西子旗舰店</t>
  </si>
  <si>
    <t>DP006</t>
  </si>
  <si>
    <t>有赞</t>
  </si>
  <si>
    <t>有赞旗舰店</t>
  </si>
  <si>
    <t>杭州花凝香生物科技有限公司</t>
  </si>
  <si>
    <t>拼多多花西子专卖店</t>
  </si>
  <si>
    <t>DP011</t>
  </si>
  <si>
    <t>拼多多</t>
  </si>
  <si>
    <t>拼多多专卖店</t>
  </si>
  <si>
    <t>拼多多花西子匠泽店</t>
  </si>
  <si>
    <t>DP030</t>
  </si>
  <si>
    <t>拼多多专营店</t>
  </si>
  <si>
    <t>拼多多花西子美妆专卖店</t>
  </si>
  <si>
    <t>DP069</t>
  </si>
  <si>
    <t>拼多多花西子美妆旗舰店</t>
  </si>
  <si>
    <t>DP071</t>
  </si>
  <si>
    <t>拼多多旗舰店</t>
  </si>
  <si>
    <t>小红书花西子品牌店</t>
  </si>
  <si>
    <t>DP008</t>
  </si>
  <si>
    <t>小红书品牌店</t>
  </si>
  <si>
    <t>小红书</t>
  </si>
  <si>
    <t>凯德星店</t>
  </si>
  <si>
    <t>DP019</t>
  </si>
  <si>
    <t>凯德星</t>
  </si>
  <si>
    <t>体验官微信小程序店</t>
  </si>
  <si>
    <t>WeChat01</t>
  </si>
  <si>
    <t>体验官小程序</t>
  </si>
  <si>
    <t>微信</t>
  </si>
  <si>
    <t>花西子会员俱乐部店</t>
  </si>
  <si>
    <t>DP032</t>
  </si>
  <si>
    <t>会员店铺</t>
  </si>
  <si>
    <t>快手花西子宜格企业店</t>
  </si>
  <si>
    <t>DP080</t>
  </si>
  <si>
    <t>快手人设号</t>
  </si>
  <si>
    <t>微信视频号花西子旗舰店</t>
  </si>
  <si>
    <t>DP070</t>
  </si>
  <si>
    <t>微信视频号旗舰店</t>
  </si>
  <si>
    <t>快手花西子东方有佳人店</t>
  </si>
  <si>
    <t>DP059</t>
  </si>
  <si>
    <t>05</t>
  </si>
  <si>
    <t>快手小店</t>
  </si>
  <si>
    <t>渠道名称</t>
  </si>
  <si>
    <t>渠道编码</t>
  </si>
  <si>
    <t>01</t>
  </si>
  <si>
    <t>02</t>
  </si>
  <si>
    <t>03</t>
  </si>
  <si>
    <t>04</t>
  </si>
  <si>
    <t>06</t>
  </si>
  <si>
    <t>07</t>
  </si>
  <si>
    <t>08</t>
  </si>
  <si>
    <t>LBS</t>
  </si>
  <si>
    <t>09</t>
  </si>
  <si>
    <t>10</t>
  </si>
  <si>
    <t>11</t>
  </si>
  <si>
    <t>聚美优品</t>
  </si>
  <si>
    <t>12</t>
  </si>
  <si>
    <t>13</t>
  </si>
  <si>
    <t>14</t>
  </si>
  <si>
    <t>15</t>
  </si>
  <si>
    <t>集团内购</t>
  </si>
  <si>
    <t>16</t>
  </si>
  <si>
    <t>Lazada</t>
  </si>
  <si>
    <t>17</t>
  </si>
  <si>
    <t>亚马逊</t>
  </si>
  <si>
    <t>18</t>
  </si>
  <si>
    <t>虾皮</t>
  </si>
  <si>
    <t>19</t>
  </si>
  <si>
    <t>独立站</t>
  </si>
  <si>
    <t>20</t>
  </si>
  <si>
    <t>Tiktok</t>
  </si>
  <si>
    <t>21</t>
  </si>
  <si>
    <t>Qoo10</t>
  </si>
  <si>
    <t>22</t>
  </si>
  <si>
    <t>乐天</t>
  </si>
  <si>
    <t>23</t>
  </si>
  <si>
    <t>线下</t>
  </si>
  <si>
    <t>24</t>
  </si>
  <si>
    <t>虚拟</t>
  </si>
  <si>
    <t>25</t>
  </si>
  <si>
    <t>银行商城</t>
  </si>
  <si>
    <t>26</t>
  </si>
  <si>
    <t>特渠</t>
  </si>
  <si>
    <t>27</t>
  </si>
  <si>
    <t>店铺</t>
  </si>
  <si>
    <t>业务来源（名字变更为业务单元）</t>
  </si>
  <si>
    <t>编码(更新)</t>
  </si>
  <si>
    <t>业务单元（名字变更为业务来源）</t>
  </si>
  <si>
    <t>备注</t>
  </si>
  <si>
    <t>天猫自播</t>
  </si>
  <si>
    <t>DP01501</t>
  </si>
  <si>
    <t>DP0150101</t>
  </si>
  <si>
    <t>天猫货架</t>
  </si>
  <si>
    <t>DP01502</t>
  </si>
  <si>
    <t>DP0150201</t>
  </si>
  <si>
    <t>天猫达播-LJQ</t>
  </si>
  <si>
    <t>DP01503</t>
  </si>
  <si>
    <t>DP0150301</t>
  </si>
  <si>
    <t>天猫达播-其他</t>
  </si>
  <si>
    <t>DP01504</t>
  </si>
  <si>
    <t>DP0150401</t>
  </si>
  <si>
    <t>抖音矩阵号</t>
  </si>
  <si>
    <t>DP00701</t>
  </si>
  <si>
    <t>彩妆有术</t>
  </si>
  <si>
    <t>DP0070101</t>
  </si>
  <si>
    <t>千川投放标签是否到直播间待确认</t>
  </si>
  <si>
    <t>花西子妆养旗舰店</t>
  </si>
  <si>
    <t>DP0070102</t>
  </si>
  <si>
    <t>素人改造</t>
  </si>
  <si>
    <t>DP0070103</t>
  </si>
  <si>
    <t>东方有佳人</t>
  </si>
  <si>
    <t>DP0070104</t>
  </si>
  <si>
    <t>礼待佳人</t>
  </si>
  <si>
    <t>DP0070105</t>
  </si>
  <si>
    <t>花西子礼物精选</t>
  </si>
  <si>
    <t>DP0070106</t>
  </si>
  <si>
    <t>花西子戏曲红妆</t>
  </si>
  <si>
    <t>DP0070107</t>
  </si>
  <si>
    <t>花西子在海外</t>
  </si>
  <si>
    <t>DP0070108</t>
  </si>
  <si>
    <t>美妆龙</t>
  </si>
  <si>
    <t>DP0070109</t>
  </si>
  <si>
    <t>抖音自播</t>
  </si>
  <si>
    <t>DP00702</t>
  </si>
  <si>
    <t>DP0070201</t>
  </si>
  <si>
    <t>达播-田恬</t>
  </si>
  <si>
    <t>DP00703</t>
  </si>
  <si>
    <t>DP0070301</t>
  </si>
  <si>
    <t>达播-其他</t>
  </si>
  <si>
    <t>DP00704</t>
  </si>
  <si>
    <t>DP0070401</t>
  </si>
  <si>
    <t>抖音货架</t>
  </si>
  <si>
    <t>DP00705</t>
  </si>
  <si>
    <t>DP0070501</t>
  </si>
  <si>
    <t>快手非达播</t>
  </si>
  <si>
    <t>DP03101</t>
  </si>
  <si>
    <t>DP0310101</t>
  </si>
  <si>
    <t>快手达播</t>
  </si>
  <si>
    <t>DP03102</t>
  </si>
  <si>
    <t>DP0310201</t>
  </si>
  <si>
    <t>周周珍可爱，徐婕，瑜大，快手专卖店号，有店铺，但是无销售。</t>
  </si>
  <si>
    <t>DP08001</t>
  </si>
  <si>
    <t>DP0800101</t>
  </si>
  <si>
    <t>DP00201</t>
  </si>
  <si>
    <t>DP0020101</t>
  </si>
  <si>
    <t>DP03301</t>
  </si>
  <si>
    <t>DP0330101</t>
  </si>
  <si>
    <t>DP02901</t>
  </si>
  <si>
    <t>DP0290101</t>
  </si>
  <si>
    <t>DP00101</t>
  </si>
  <si>
    <t>DP0010101</t>
  </si>
  <si>
    <t>DP05401</t>
  </si>
  <si>
    <t>DP0540101</t>
  </si>
  <si>
    <t>DP00401</t>
  </si>
  <si>
    <t>DP0040101</t>
  </si>
  <si>
    <t>DP05201</t>
  </si>
  <si>
    <t>DP0520101</t>
  </si>
  <si>
    <t>DP00601</t>
  </si>
  <si>
    <t>DP0060101</t>
  </si>
  <si>
    <t>DP01101</t>
  </si>
  <si>
    <t>DP0110101</t>
  </si>
  <si>
    <t>DP03001</t>
  </si>
  <si>
    <t>DP0300101</t>
  </si>
  <si>
    <t>DP06901</t>
  </si>
  <si>
    <t>DP0690101</t>
  </si>
  <si>
    <t>DP07101</t>
  </si>
  <si>
    <t>DP0710101</t>
  </si>
  <si>
    <t>DP00801</t>
  </si>
  <si>
    <t>DP0080101</t>
  </si>
  <si>
    <t>DP01901</t>
  </si>
  <si>
    <t>DP0190101</t>
  </si>
  <si>
    <t>DP03201</t>
  </si>
  <si>
    <t>DP0320101</t>
  </si>
  <si>
    <t>DP07001</t>
  </si>
  <si>
    <t>DP0700101</t>
  </si>
  <si>
    <t>DP05901</t>
  </si>
  <si>
    <t>DP0590101</t>
  </si>
  <si>
    <t>名称</t>
  </si>
  <si>
    <t>编码</t>
  </si>
  <si>
    <t>海外</t>
  </si>
  <si>
    <t>自营其他</t>
  </si>
  <si>
    <t>投放平台</t>
  </si>
  <si>
    <t>TFPT01</t>
  </si>
  <si>
    <t>淘宝</t>
  </si>
  <si>
    <t>TFPT02</t>
  </si>
  <si>
    <t>TFPT03</t>
  </si>
  <si>
    <t>TFPT04</t>
  </si>
  <si>
    <t>TFPT05</t>
  </si>
  <si>
    <t>TFPT06</t>
  </si>
  <si>
    <t>抖音-巨量纵横</t>
  </si>
  <si>
    <t>TFPT07</t>
  </si>
  <si>
    <t>TFPT08</t>
  </si>
  <si>
    <t>TFPT09</t>
  </si>
  <si>
    <t>B站</t>
  </si>
  <si>
    <t>TFPT10</t>
  </si>
  <si>
    <t>微博</t>
  </si>
  <si>
    <t>TFPT11</t>
  </si>
  <si>
    <t>Uni Desk</t>
  </si>
  <si>
    <t>TFPT12</t>
  </si>
  <si>
    <t>超级粉丝通</t>
  </si>
  <si>
    <t>TFPT13</t>
  </si>
  <si>
    <t>百度营销</t>
  </si>
  <si>
    <t>TFPT14</t>
  </si>
  <si>
    <t>磁力引擎</t>
  </si>
  <si>
    <t>TFPT15</t>
  </si>
  <si>
    <t>磁力金牛</t>
  </si>
  <si>
    <t>TFPT16</t>
  </si>
  <si>
    <t>腾讯ADQ</t>
  </si>
  <si>
    <t>TFPT17</t>
  </si>
  <si>
    <t>百度</t>
  </si>
  <si>
    <t>TFPT18</t>
  </si>
  <si>
    <t>TFPT19</t>
  </si>
  <si>
    <t>TFPT20</t>
  </si>
  <si>
    <t>TFPT21</t>
  </si>
  <si>
    <t>TFPT22</t>
  </si>
  <si>
    <t>TFPT23</t>
  </si>
  <si>
    <t>TFPT24</t>
  </si>
  <si>
    <t>TFPT25</t>
  </si>
  <si>
    <t>字段</t>
  </si>
  <si>
    <t>字段属性</t>
  </si>
  <si>
    <t>字段解释</t>
  </si>
  <si>
    <t>用途与诉求</t>
  </si>
  <si>
    <t>字段名</t>
  </si>
  <si>
    <t>字段长度</t>
  </si>
  <si>
    <t>是否主键</t>
  </si>
  <si>
    <t>字段备注</t>
  </si>
  <si>
    <t>一、</t>
  </si>
  <si>
    <t>基本信息</t>
  </si>
  <si>
    <t>店铺/客户ID</t>
  </si>
  <si>
    <t>文本</t>
  </si>
  <si>
    <t>客户主数据的唯一编码</t>
  </si>
  <si>
    <t>系统自动生成</t>
  </si>
  <si>
    <t>店铺/客户名称</t>
  </si>
  <si>
    <t>店铺具体名称，同OMS系统内名称保持一致</t>
  </si>
  <si>
    <t>store_full_name</t>
  </si>
  <si>
    <t>简称</t>
  </si>
  <si>
    <t>store_abbr_name</t>
  </si>
  <si>
    <t>店铺/客户状态</t>
  </si>
  <si>
    <t>下拉-单选</t>
  </si>
  <si>
    <t>用于描述店铺和客户当前是否正常运营的状态</t>
  </si>
  <si>
    <t>status</t>
  </si>
  <si>
    <t>店铺所对应的销售平台</t>
  </si>
  <si>
    <t>channel</t>
  </si>
  <si>
    <t>链接</t>
  </si>
  <si>
    <t>店铺对应的网址链接</t>
  </si>
  <si>
    <t>根据客户类型和业务模式分类</t>
  </si>
  <si>
    <t>根据客户类型和业务模式判断后续从销售订单到收入确认、售后以及收款等不同的业财流程环节</t>
  </si>
  <si>
    <t>channl_Type</t>
  </si>
  <si>
    <t>以货主视角判断业务模式</t>
  </si>
  <si>
    <t>biz_mode</t>
  </si>
  <si>
    <t>区域范围</t>
  </si>
  <si>
    <t>预留字段，为后续境外区域拓展</t>
  </si>
  <si>
    <t>销售品牌</t>
  </si>
  <si>
    <t>花西子/OGP等</t>
  </si>
  <si>
    <t>用以区分销售品牌</t>
  </si>
  <si>
    <t>brand</t>
  </si>
  <si>
    <t>OMS业务模式</t>
  </si>
  <si>
    <t>OMS系统以货主视角判断业务模式</t>
  </si>
  <si>
    <t>OMS_biz_mode</t>
  </si>
  <si>
    <t>运营模式</t>
  </si>
  <si>
    <t>1）商家运营：运营决定权在商家自己手里
2）平台运营：运营决定权在平台非商家能够管控
3）三方代运营：MCN等第三方机构代运营</t>
  </si>
  <si>
    <t>作为后续主数据结算参考依据</t>
  </si>
  <si>
    <t>operation_mode</t>
  </si>
  <si>
    <t>例如有赞：花凝香；匠泽C店：匠泽</t>
  </si>
  <si>
    <t>Operating_entity</t>
  </si>
  <si>
    <t>税号</t>
  </si>
  <si>
    <t>店铺/客户税号</t>
  </si>
  <si>
    <t>用以在销售开票和付款环节自动带出</t>
  </si>
  <si>
    <t>用以区分货主和实际运营主体不同的场景，例如有赞：花凝香；匠泽C店：匠泽</t>
  </si>
  <si>
    <t>Consignor</t>
  </si>
  <si>
    <t>运营供应商（预留）</t>
  </si>
  <si>
    <t>预留字段信息，若未来出现三方代运营业务，则填写第三方代运营公司名称</t>
  </si>
  <si>
    <t>operating_supllier</t>
  </si>
  <si>
    <t>国别</t>
  </si>
  <si>
    <t>店铺/客户公司开设对应的关节</t>
  </si>
  <si>
    <t>省会</t>
  </si>
  <si>
    <t>店铺/客户公司开设对应的省会</t>
  </si>
  <si>
    <t>城市</t>
  </si>
  <si>
    <t>店铺/客户公司开设对应的城市</t>
  </si>
  <si>
    <t>地址</t>
  </si>
  <si>
    <t>店铺/客户公司开设对应的地址</t>
  </si>
  <si>
    <t>二、</t>
  </si>
  <si>
    <t>附加信息</t>
  </si>
  <si>
    <t>发货仓</t>
  </si>
  <si>
    <t>交易主体默认的发货仓库</t>
  </si>
  <si>
    <t>客退仓</t>
  </si>
  <si>
    <t>客户退货后默认仓库</t>
  </si>
  <si>
    <t>销售部门</t>
  </si>
  <si>
    <t>对应销售所在的一级部门</t>
  </si>
  <si>
    <t>便于未来进行对账推送、流水认领的以及升级问题跟踪等</t>
  </si>
  <si>
    <t>销售人员</t>
  </si>
  <si>
    <t>店铺对应主数据销售名称</t>
  </si>
  <si>
    <t>同上</t>
  </si>
  <si>
    <t>三、</t>
  </si>
  <si>
    <t>收入与结算信息</t>
  </si>
  <si>
    <t>预计结算周期</t>
  </si>
  <si>
    <t>2C：订单发货到平台确认收货的预计周期
2B：入库到出具账单的周期
*有赞可以调整自行设置，其他平台不可自行设置，但是一般不会变化</t>
  </si>
  <si>
    <t>用以提前预判该主数据预计结算时间范围</t>
  </si>
  <si>
    <t>Exp_settlement_cycle</t>
  </si>
  <si>
    <t>无理由退货期限</t>
  </si>
  <si>
    <t>平台物流签收后的无理由退货期限</t>
  </si>
  <si>
    <t>用以判断确认收入确认时点临界值，确保物流未更新后财务可账务处理</t>
  </si>
  <si>
    <t>no_reason_returen_period</t>
  </si>
  <si>
    <t>币种</t>
  </si>
  <si>
    <t>店铺/客户结算币种</t>
  </si>
  <si>
    <t>结算时点</t>
  </si>
  <si>
    <t>结算具体节点，包括快递签收、订单确认收货等</t>
  </si>
  <si>
    <t>用以判断结算时点</t>
  </si>
  <si>
    <t>四、</t>
  </si>
  <si>
    <t>付款条件</t>
  </si>
  <si>
    <t>付款条件有效期</t>
  </si>
  <si>
    <t>用于判断付款信息，可能是固定日或固定时长</t>
  </si>
  <si>
    <t>付款方式</t>
  </si>
  <si>
    <t>付款详情</t>
  </si>
  <si>
    <t>客户信用</t>
  </si>
  <si>
    <t>2B</t>
  </si>
  <si>
    <t>授信额度</t>
  </si>
  <si>
    <t>额度有效期</t>
  </si>
  <si>
    <t>月结日</t>
  </si>
  <si>
    <t>日期</t>
  </si>
  <si>
    <t>五、</t>
  </si>
  <si>
    <t>合同</t>
  </si>
  <si>
    <t>合同编号</t>
  </si>
  <si>
    <t>合同链接</t>
  </si>
  <si>
    <t>合同有效期</t>
  </si>
  <si>
    <t>六、</t>
  </si>
  <si>
    <t>客户账号</t>
  </si>
  <si>
    <t>用于根据客户打款信息，自动认领流水至客户</t>
  </si>
  <si>
    <t>客户开户行</t>
  </si>
  <si>
    <t>客户账户名称</t>
  </si>
  <si>
    <t>七、</t>
  </si>
  <si>
    <t>收款账号</t>
  </si>
  <si>
    <t>收款方式</t>
  </si>
  <si>
    <t>是否直接结算付款至银行账号，或通过第三方收款账号进行结算付款</t>
  </si>
  <si>
    <t>收款账户</t>
  </si>
  <si>
    <t>结算时使用的收款账户</t>
  </si>
  <si>
    <t>收款平台</t>
  </si>
  <si>
    <t>使用的第三方收款账号的平台</t>
  </si>
  <si>
    <t>字段类别</t>
  </si>
  <si>
    <t>字段填写要求</t>
  </si>
  <si>
    <t>下一步行动</t>
  </si>
  <si>
    <t>N/A</t>
  </si>
  <si>
    <t>必填</t>
  </si>
  <si>
    <t>目前已有</t>
  </si>
  <si>
    <t>用于描述店铺和客户当前是否正常运营的状态：
1）未运营
2）运营中
3）已撤店
……</t>
  </si>
  <si>
    <t>沿用主数据字段</t>
  </si>
  <si>
    <t>店铺所对应的销售平台：
1）天猫
2）京东
3）抖音
4）快手
5）得物等</t>
  </si>
  <si>
    <t>选填</t>
  </si>
  <si>
    <t>建议新增</t>
  </si>
  <si>
    <t>1）线上2C
2）线上2B
3）线下2C
4）线下2B
5）虚拟客户</t>
  </si>
  <si>
    <t>以货主视角判断业务模式：
1）直销模式
2）经销模式
3）一件代发模式
4）代销模式
5）其他</t>
  </si>
  <si>
    <t>预留字段，为后续境外区域拓展
1）境内
2）台湾
3）日本
4）美国等</t>
  </si>
  <si>
    <t>上架方式</t>
  </si>
  <si>
    <t>SKU
SPU ID 
SKU ID</t>
  </si>
  <si>
    <t>可能不符合主数据原则，待后续明确使用相关方，判断是否作为主数据维护or在财务系统单独维护</t>
  </si>
  <si>
    <t>确认新增</t>
  </si>
  <si>
    <t>建议业务不填写，财务待后续看如何同步此信息，以进行结算提醒</t>
  </si>
  <si>
    <t>可考虑维护，不做强制要求</t>
  </si>
  <si>
    <t>是否必填</t>
  </si>
  <si>
    <t>枚举值Code</t>
  </si>
  <si>
    <t>枚举值</t>
  </si>
  <si>
    <t>外键</t>
  </si>
  <si>
    <t>备注说明</t>
  </si>
  <si>
    <t>经分是否需要</t>
  </si>
  <si>
    <t>经分是否需要业务处理</t>
  </si>
  <si>
    <t>经分处理逻辑</t>
  </si>
  <si>
    <t>Y</t>
  </si>
  <si>
    <t>NA</t>
  </si>
  <si>
    <t>N</t>
  </si>
  <si>
    <t>Stone_Id</t>
  </si>
  <si>
    <t>通过Storn_id关联店铺</t>
  </si>
  <si>
    <t>发货仓名字</t>
  </si>
  <si>
    <t>Warehouse_Id</t>
  </si>
  <si>
    <t>通过Warehouse_Id关联发货仓表</t>
  </si>
  <si>
    <t>店铺基础信息表</t>
  </si>
  <si>
    <t>枚举值说明</t>
  </si>
  <si>
    <t>国家</t>
  </si>
  <si>
    <t>CountryId</t>
  </si>
  <si>
    <t>关联国家主数据，Hierarchy结构，父子限制关系</t>
  </si>
  <si>
    <t>省</t>
  </si>
  <si>
    <t>ProvinceId</t>
  </si>
  <si>
    <t>市</t>
  </si>
  <si>
    <t>CityId</t>
  </si>
  <si>
    <t>结算主体</t>
  </si>
  <si>
    <t>主体名称</t>
  </si>
  <si>
    <t>主体ID</t>
  </si>
  <si>
    <t>主体账号</t>
  </si>
  <si>
    <t>主体状态</t>
  </si>
  <si>
    <t>店铺状态</t>
  </si>
  <si>
    <t>店铺类型</t>
  </si>
  <si>
    <t>线下2C</t>
  </si>
  <si>
    <t>虚拟客户</t>
  </si>
  <si>
    <t>店铺标准名称</t>
  </si>
  <si>
    <t>店铺名称</t>
  </si>
  <si>
    <t>店铺业务模式</t>
  </si>
  <si>
    <t>店铺链接</t>
  </si>
  <si>
    <t>店铺销售品牌</t>
  </si>
  <si>
    <t>店铺销售区域</t>
  </si>
  <si>
    <t>店铺合同主体</t>
  </si>
  <si>
    <t>库存主体</t>
  </si>
  <si>
    <t>店铺负责人</t>
  </si>
  <si>
    <t>店铺运营状态</t>
  </si>
  <si>
    <t>店铺系统状态</t>
  </si>
  <si>
    <t>国内：DP+3位流水号
海外：HWDP+3位流水号
虚拟：XNDP+3位流水号</t>
  </si>
  <si>
    <t>店铺按规则定义的标准名称：
店铺渠道+店铺销售品牌+合作类型/店铺合同主体简称</t>
  </si>
  <si>
    <t>店铺的简称：
店铺渠道+合作类型/店铺合同主体简称</t>
  </si>
  <si>
    <t>店铺在平台上登记注册的名称</t>
  </si>
  <si>
    <t>店铺的销售类型</t>
  </si>
  <si>
    <t>商品的销售渠道</t>
  </si>
  <si>
    <t>店铺登记注册的平台</t>
  </si>
  <si>
    <t>店铺对应的渠道网址</t>
  </si>
  <si>
    <t>店铺销售的品牌</t>
  </si>
  <si>
    <t>店铺经营的区域范围</t>
  </si>
  <si>
    <t>店铺所属的运营分组</t>
  </si>
  <si>
    <t>平台与公司签订合同主体</t>
  </si>
  <si>
    <t>货物提供方，发货的库存所属主体</t>
  </si>
  <si>
    <t>管理店铺的人员</t>
  </si>
  <si>
    <t>店铺的运营状态</t>
  </si>
  <si>
    <t>店铺的系统状态</t>
  </si>
  <si>
    <t>主数据</t>
  </si>
  <si>
    <t>待运营部门确认</t>
  </si>
  <si>
    <t>按照销售品牌确认</t>
  </si>
  <si>
    <t>天猫花西子匠泽专卖店</t>
  </si>
  <si>
    <t>直销模式</t>
  </si>
  <si>
    <t>RMB</t>
  </si>
  <si>
    <t>7天</t>
  </si>
  <si>
    <t>中国</t>
  </si>
  <si>
    <t>北斗（龙军权）</t>
  </si>
  <si>
    <t>运营中</t>
  </si>
  <si>
    <t>启用</t>
  </si>
  <si>
    <t>花楹（陈冬莹）</t>
  </si>
  <si>
    <t>考拉花西子官方旗舰店</t>
  </si>
  <si>
    <t>15天</t>
  </si>
  <si>
    <t>小新（李泽君）</t>
  </si>
  <si>
    <t>抖音花西子官方旗舰店</t>
  </si>
  <si>
    <t>安歆（吴战）</t>
  </si>
  <si>
    <t>微信小程序花西子御花园</t>
  </si>
  <si>
    <t>花西子御花园</t>
  </si>
  <si>
    <t>无店铺链接</t>
  </si>
  <si>
    <t>汐羽（吴晨珊）</t>
  </si>
  <si>
    <t>苏木（宋晨）</t>
  </si>
  <si>
    <t>拼多多花西子品牌专卖店</t>
  </si>
  <si>
    <t>DP012</t>
  </si>
  <si>
    <t>天猫OGP旗舰店</t>
  </si>
  <si>
    <t>OGP旗舰店</t>
  </si>
  <si>
    <t>OGP</t>
  </si>
  <si>
    <t>杭州时光肌生物科技有限公司</t>
  </si>
  <si>
    <t>千屿（赵丹丹）</t>
  </si>
  <si>
    <t>DP013</t>
  </si>
  <si>
    <t>小红书OGP品牌店</t>
  </si>
  <si>
    <t>OGP时光肌旗舰店</t>
  </si>
  <si>
    <t>梁月（程建波）</t>
  </si>
  <si>
    <t>DP014</t>
  </si>
  <si>
    <t>抖音OGP旗舰店</t>
  </si>
  <si>
    <t>OGP时光肌官方旗舰店</t>
  </si>
  <si>
    <t>哈娜（王丽娜）</t>
  </si>
  <si>
    <t>DP016</t>
  </si>
  <si>
    <t>京东OGP旗舰店</t>
  </si>
  <si>
    <t>杭州匠客电子商务有限公司</t>
  </si>
  <si>
    <t>还未（张灵军）</t>
  </si>
  <si>
    <t>DP025</t>
  </si>
  <si>
    <t>至美电商内购店</t>
  </si>
  <si>
    <t>至美内购</t>
  </si>
  <si>
    <t>至美电商内购</t>
  </si>
  <si>
    <t>不支持退货</t>
  </si>
  <si>
    <t>不遗（余丽）</t>
  </si>
  <si>
    <t>DP028</t>
  </si>
  <si>
    <t>快手OGP旗舰店</t>
  </si>
  <si>
    <t>唯品会自营花西子旗舰店</t>
  </si>
  <si>
    <t>经销模式</t>
  </si>
  <si>
    <t>沐夏（刘冰）</t>
  </si>
  <si>
    <t>拼多多匠泽美妆专营店</t>
  </si>
  <si>
    <t>花西子会员俱乐部</t>
  </si>
  <si>
    <t>会员俱乐部</t>
  </si>
  <si>
    <t>花西子京东自营旗舰店</t>
  </si>
  <si>
    <t>DP039</t>
  </si>
  <si>
    <t>来赞达花西子旗舰店</t>
  </si>
  <si>
    <t>来赞达旗舰店</t>
  </si>
  <si>
    <t>来赞达</t>
  </si>
  <si>
    <t>无币种</t>
  </si>
  <si>
    <t>玟星（何佳佳）</t>
  </si>
  <si>
    <t>DP038</t>
  </si>
  <si>
    <t>亚马逊花西子日本店</t>
  </si>
  <si>
    <t>亚马逊日本店</t>
  </si>
  <si>
    <t>日本亚马逊</t>
  </si>
  <si>
    <t>JPY</t>
  </si>
  <si>
    <t>30天</t>
  </si>
  <si>
    <t>日本</t>
  </si>
  <si>
    <t>咖喱（姚佳莉）</t>
  </si>
  <si>
    <t>DP040</t>
  </si>
  <si>
    <t>虾皮花西子旗舰店</t>
  </si>
  <si>
    <t>虾皮旗舰店</t>
  </si>
  <si>
    <t>乐事（王明钰）</t>
  </si>
  <si>
    <t>DP045</t>
  </si>
  <si>
    <t>独立站花西子旗舰店</t>
  </si>
  <si>
    <t>独立站旗舰店</t>
  </si>
  <si>
    <t>USD</t>
  </si>
  <si>
    <t>宜格(香港)国际有限公司</t>
  </si>
  <si>
    <t>阿普洛（杨阳）</t>
  </si>
  <si>
    <t>DP049</t>
  </si>
  <si>
    <t>亚马逊花西子美国店</t>
  </si>
  <si>
    <t>亚马逊美国店</t>
  </si>
  <si>
    <t>美国亚马逊</t>
  </si>
  <si>
    <t>美国</t>
  </si>
  <si>
    <t>DP050</t>
  </si>
  <si>
    <t>Tiktok花西子英国店</t>
  </si>
  <si>
    <t>Tiktok英国店</t>
  </si>
  <si>
    <t>GBP</t>
  </si>
  <si>
    <t>英国</t>
  </si>
  <si>
    <t>得物旗舰店</t>
  </si>
  <si>
    <t>代销模式</t>
  </si>
  <si>
    <t>DP057</t>
  </si>
  <si>
    <t>Qoo10花西子日本店</t>
  </si>
  <si>
    <t>Qoo10日本店</t>
  </si>
  <si>
    <t>Qoo10店铺</t>
  </si>
  <si>
    <t>柴望（吴菲斐）</t>
  </si>
  <si>
    <t>DP058</t>
  </si>
  <si>
    <t>乐天花西子日本店</t>
  </si>
  <si>
    <t>乐天日本店</t>
  </si>
  <si>
    <t>日本乐天店铺</t>
  </si>
  <si>
    <t>快手小店-东方有佳人</t>
  </si>
  <si>
    <t>DP060</t>
  </si>
  <si>
    <t>OGP会员俱乐部</t>
  </si>
  <si>
    <t>嘉兰（周帆）</t>
  </si>
  <si>
    <t>DP061</t>
  </si>
  <si>
    <t>有赞OGP商城</t>
  </si>
  <si>
    <t>有赞商城</t>
  </si>
  <si>
    <t>OGP商城</t>
  </si>
  <si>
    <t>DP064</t>
  </si>
  <si>
    <t>花西子全球旗舰店-西湖隐园</t>
  </si>
  <si>
    <t>西湖旗舰店</t>
  </si>
  <si>
    <t>杭州宜格宜美化妆品有限公司</t>
  </si>
  <si>
    <t>京墨（张爽）</t>
  </si>
  <si>
    <t>DP066</t>
  </si>
  <si>
    <t>亚马逊花西子加拿大店</t>
  </si>
  <si>
    <t>亚马逊加拿大店</t>
  </si>
  <si>
    <t>加拿大亚马逊</t>
  </si>
  <si>
    <t>CAD</t>
  </si>
  <si>
    <t>加拿大</t>
  </si>
  <si>
    <t>有赞花西子有赞旗舰店</t>
  </si>
  <si>
    <t>DP068</t>
  </si>
  <si>
    <t>青绿之物-银行分销</t>
  </si>
  <si>
    <t>一件代发模式</t>
  </si>
  <si>
    <t>花西子美妆专卖店</t>
  </si>
  <si>
    <t>HWDP001</t>
  </si>
  <si>
    <t>来赞达花西子马来西亚店</t>
  </si>
  <si>
    <t>来赞达马来西亚店</t>
  </si>
  <si>
    <t>Lazada_MY</t>
  </si>
  <si>
    <t>MYR</t>
  </si>
  <si>
    <t>马来西亚</t>
  </si>
  <si>
    <t>HWDP002</t>
  </si>
  <si>
    <t>来赞达花西子印度店</t>
  </si>
  <si>
    <t>来赞达印度店</t>
  </si>
  <si>
    <t>Lazada_ID</t>
  </si>
  <si>
    <t>INR</t>
  </si>
  <si>
    <t>印度</t>
  </si>
  <si>
    <t>HWDP003</t>
  </si>
  <si>
    <t>来赞达花西子泰国店</t>
  </si>
  <si>
    <t>来赞达泰国店</t>
  </si>
  <si>
    <t>Lazada_TH</t>
  </si>
  <si>
    <t>THB</t>
  </si>
  <si>
    <t>泰国</t>
  </si>
  <si>
    <t>HWDP004</t>
  </si>
  <si>
    <t>来赞达花西子越南店</t>
  </si>
  <si>
    <t>来赞达越南店</t>
  </si>
  <si>
    <t>Lazada_VN</t>
  </si>
  <si>
    <t>VND</t>
  </si>
  <si>
    <t>越南</t>
  </si>
  <si>
    <t>HWDP005</t>
  </si>
  <si>
    <t>来赞达花西子菲律宾店</t>
  </si>
  <si>
    <t>来赞达菲律宾店</t>
  </si>
  <si>
    <t>Lazada_PH</t>
  </si>
  <si>
    <t>PHP</t>
  </si>
  <si>
    <t>菲律宾</t>
  </si>
  <si>
    <t>HWDP006</t>
  </si>
  <si>
    <t>来赞达花西子新加坡店</t>
  </si>
  <si>
    <t>来赞达新加坡店</t>
  </si>
  <si>
    <t>Lazada_SG</t>
  </si>
  <si>
    <t>SGD</t>
  </si>
  <si>
    <t>新加坡</t>
  </si>
  <si>
    <t>HWDP007</t>
  </si>
  <si>
    <t>虾皮花西子马来西亚店</t>
  </si>
  <si>
    <t>虾皮马来西亚店</t>
  </si>
  <si>
    <t>shopee-MY_MY_380207987</t>
  </si>
  <si>
    <t>未拆封15天</t>
  </si>
  <si>
    <t>HWDP008</t>
  </si>
  <si>
    <t>虾皮花西子新加坡店</t>
  </si>
  <si>
    <t>虾皮新加坡店</t>
  </si>
  <si>
    <t>shopee-MY_SG_400648149</t>
  </si>
  <si>
    <t>HWDP009</t>
  </si>
  <si>
    <t>虾皮花西子中国台湾店</t>
  </si>
  <si>
    <t>虾皮中国台湾店</t>
  </si>
  <si>
    <t>shopee-MY_TW_489344075</t>
  </si>
  <si>
    <t>TWD</t>
  </si>
  <si>
    <t>中国台湾</t>
  </si>
  <si>
    <t>HWDP010</t>
  </si>
  <si>
    <t>虾皮花西子菲律宾店</t>
  </si>
  <si>
    <t>虾皮菲律宾店</t>
  </si>
  <si>
    <t>shopee-MY_PH_499353691</t>
  </si>
  <si>
    <t>HWDP011</t>
  </si>
  <si>
    <t>虾皮花西子泰国店</t>
  </si>
  <si>
    <t>虾皮泰国店</t>
  </si>
  <si>
    <t>shopee-MY_TH_499356627</t>
  </si>
  <si>
    <t>HWDP012</t>
  </si>
  <si>
    <t>虾皮花西子越南店</t>
  </si>
  <si>
    <t>虾皮越南店</t>
  </si>
  <si>
    <t>shopee-MY_VN_499358118</t>
  </si>
  <si>
    <t>HWDP013</t>
  </si>
  <si>
    <t>亚马逊花西子英国店</t>
  </si>
  <si>
    <t>亚马逊英国店</t>
  </si>
  <si>
    <t>Amazon-UK</t>
  </si>
  <si>
    <t>HWDP014</t>
  </si>
  <si>
    <t>独立站花西子日本店</t>
  </si>
  <si>
    <t>独立站日本店</t>
  </si>
  <si>
    <t>日本独立站</t>
  </si>
  <si>
    <t>HWDP015</t>
  </si>
  <si>
    <t>Tiktok花西子泰国店</t>
  </si>
  <si>
    <t>Tiktok泰国店</t>
  </si>
  <si>
    <t>tiktok_TH</t>
  </si>
  <si>
    <t>HWDP016</t>
  </si>
  <si>
    <t>Tiktok花西子越南店</t>
  </si>
  <si>
    <t>Tiktok越南店</t>
  </si>
  <si>
    <t>tiktok_VN</t>
  </si>
  <si>
    <t>HWDP017</t>
  </si>
  <si>
    <t>Tiktok花西子马来西亚店</t>
  </si>
  <si>
    <t>Tiktok马来西亚店</t>
  </si>
  <si>
    <t>tiktok_MY</t>
  </si>
  <si>
    <t>HWDP018</t>
  </si>
  <si>
    <t>Tiktok花西子菲律宾店</t>
  </si>
  <si>
    <t>Tiktok菲律宾店</t>
  </si>
  <si>
    <t>tiktok_PH</t>
  </si>
  <si>
    <t>HWDP019</t>
  </si>
  <si>
    <t>Tiktok花西子新加坡店</t>
  </si>
  <si>
    <t>Tiktok新加坡店</t>
  </si>
  <si>
    <t>tiktok_SG</t>
  </si>
  <si>
    <t>DP024</t>
  </si>
  <si>
    <t>浙帮虚拟店铺</t>
  </si>
  <si>
    <t>其他</t>
  </si>
  <si>
    <t>无</t>
  </si>
  <si>
    <t>DP041</t>
  </si>
  <si>
    <t>宜格虚拟店铺</t>
  </si>
  <si>
    <t>DP042</t>
  </si>
  <si>
    <t>匠泽虚拟店铺</t>
  </si>
  <si>
    <t>DP043</t>
  </si>
  <si>
    <t>时光肌虚拟店铺</t>
  </si>
  <si>
    <t>DP044</t>
  </si>
  <si>
    <t>匠客虚拟店铺</t>
  </si>
  <si>
    <t>DP065</t>
  </si>
  <si>
    <t>宜格宜美虚拟店铺</t>
  </si>
  <si>
    <t>DP067</t>
  </si>
  <si>
    <t>时光机智能虚拟店铺</t>
  </si>
  <si>
    <t>花西子旗舰店</t>
  </si>
  <si>
    <t>煜橙（刘橙昱）</t>
  </si>
  <si>
    <t>DP072</t>
  </si>
  <si>
    <t>特渠睦业和</t>
  </si>
  <si>
    <t>特渠001</t>
  </si>
  <si>
    <t>桩主（陈亮亮）</t>
  </si>
  <si>
    <t>DP073</t>
  </si>
  <si>
    <t>特渠-直客</t>
  </si>
  <si>
    <t>特渠002</t>
  </si>
  <si>
    <t>DP074</t>
  </si>
  <si>
    <t>拼多多OGP时光肌旗舰店</t>
  </si>
  <si>
    <t>DP075</t>
  </si>
  <si>
    <t>京东OGP自营旗舰店</t>
  </si>
  <si>
    <t>OGP京东自营旗舰店</t>
  </si>
  <si>
    <t>DP076</t>
  </si>
  <si>
    <t>特渠馨羽</t>
  </si>
  <si>
    <t>特渠003</t>
  </si>
  <si>
    <t>DP077</t>
  </si>
  <si>
    <t>特渠兰城兴</t>
  </si>
  <si>
    <t>特渠004</t>
  </si>
  <si>
    <t>DP078</t>
  </si>
  <si>
    <t>特渠云中鹤</t>
  </si>
  <si>
    <t>特渠005</t>
  </si>
  <si>
    <t>DP079</t>
  </si>
  <si>
    <t>特渠金文</t>
  </si>
  <si>
    <t>特渠006</t>
  </si>
  <si>
    <t>花西子宜格企业店</t>
  </si>
  <si>
    <t>青诚（吴雪诚）</t>
  </si>
  <si>
    <t>HWDP020</t>
  </si>
  <si>
    <t>Tiktok花西子旗舰店</t>
  </si>
  <si>
    <t>Tiktok旗舰店</t>
  </si>
  <si>
    <t>Tiktok Shop</t>
  </si>
  <si>
    <t>宜格（香港）国际有限公司</t>
  </si>
  <si>
    <t>咻咻（吴休同）</t>
  </si>
  <si>
    <t>DP081</t>
  </si>
  <si>
    <t>微信视频号OGP时光肌旗舰店</t>
  </si>
  <si>
    <t>OGP视频号小店</t>
  </si>
  <si>
    <t>DP082</t>
  </si>
  <si>
    <t>微信小程序OGP体验中心</t>
  </si>
  <si>
    <t>OGP体验中心</t>
  </si>
  <si>
    <t>七瑞（漆芮）</t>
  </si>
  <si>
    <t>DP06401</t>
  </si>
  <si>
    <t>花西子全球旗舰店-西湖隐园小程序</t>
  </si>
  <si>
    <t>西湖旗舰店小程序</t>
  </si>
  <si>
    <t>DP084</t>
  </si>
  <si>
    <t>特渠巨擎</t>
  </si>
  <si>
    <t>特渠007</t>
  </si>
  <si>
    <t>DP085</t>
  </si>
  <si>
    <t>特渠薇特</t>
  </si>
  <si>
    <t>特渠008</t>
  </si>
  <si>
    <t>DP086</t>
  </si>
  <si>
    <t>特渠美朵拉</t>
  </si>
  <si>
    <t>特渠009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</si>
</sst>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1F2329"/>
      <name val="等线"/>
      <family val="2"/>
      <scheme val="minor"/>
    </font>
    <font>
      <sz val="10.5"/>
      <color rgb="FFF54A45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F54A45"/>
      <name val="等线"/>
      <family val="2"/>
      <scheme val="minor"/>
    </font>
    <font>
      <sz val="10.5"/>
      <color rgb="FFF54A45"/>
      <name val="等线"/>
      <family val="2"/>
      <scheme val="minor"/>
    </font>
    <font>
      <sz val="10.5"/>
      <color rgb="FFFFFFFF"/>
      <name val="等线"/>
      <family val="2"/>
      <scheme val="minor"/>
    </font>
    <font>
      <sz val="10.5"/>
      <color rgb="FFFFFFFF"/>
      <name val="等线"/>
      <family val="2"/>
      <scheme val="minor"/>
    </font>
    <font>
      <sz val="10.5"/>
      <color rgb="FF1F2329"/>
      <name val="等线"/>
      <family val="2"/>
      <scheme val="minor"/>
    </font>
    <font>
      <sz val="10.5"/>
      <color rgb="FF1F2329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1F2329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1F2329"/>
      <name val="等线"/>
      <family val="2"/>
      <scheme val="minor"/>
    </font>
    <font>
      <b/>
      <sz val="9.75"/>
      <color rgb="FFF54A45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1F2329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i/>
      <sz val="9.7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1F2329"/>
      <name val="等线"/>
      <family val="2"/>
      <scheme val="minor"/>
    </font>
    <font>
      <b/>
      <sz val="9.75"/>
      <color rgb="FF1F2329"/>
      <name val="等线"/>
      <family val="2"/>
      <scheme val="minor"/>
    </font>
    <font>
      <sz val="9.75"/>
      <color rgb="FF1F2329"/>
      <name val="等线"/>
      <family val="2"/>
      <scheme val="minor"/>
    </font>
    <font>
      <b/>
      <sz val="9.75"/>
      <color rgb="FFFFFFFF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1F2329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1F2329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trike/>
      <sz val="9.75"/>
      <color rgb="FF1F2329"/>
      <name val="等线"/>
      <family val="2"/>
      <scheme val="minor"/>
    </font>
    <font>
      <b/>
      <strike/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color rgb="FF3370FF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3370FF"/>
      <name val="等线"/>
      <family val="2"/>
      <scheme val="minor"/>
    </font>
    <font>
      <u/>
      <sz val="9.75"/>
      <color rgb="FF0000EE"/>
      <name val="等线"/>
      <family val="2"/>
      <scheme val="minor"/>
    </font>
    <font>
      <sz val="9.75"/>
      <color rgb="FF000000"/>
      <name val="等线"/>
      <family val="2"/>
      <scheme val="minor"/>
    </font>
    <font>
      <u/>
      <sz val="9.75"/>
      <color rgb="FF0000EE"/>
      <name val="等线"/>
      <family val="2"/>
      <scheme val="minor"/>
    </font>
    <font>
      <b/>
      <sz val="9"/>
      <color rgb="FF000000"/>
      <name val="等线"/>
      <family val="2"/>
      <scheme val="minor"/>
    </font>
    <font>
      <b/>
      <sz val="9"/>
      <color rgb="FF3370FF"/>
      <name val="等线"/>
      <family val="2"/>
      <scheme val="minor"/>
    </font>
    <font>
      <u/>
      <sz val="9"/>
      <color rgb="FF0000EE"/>
      <name val="等线"/>
      <family val="2"/>
      <scheme val="minor"/>
    </font>
    <font>
      <u/>
      <sz val="9.75"/>
      <color rgb="FF0000EE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1F2329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3370FF"/>
      <name val="等线"/>
      <family val="2"/>
      <scheme val="minor"/>
    </font>
    <font>
      <u/>
      <sz val="9.75"/>
      <color rgb="FF0000EE"/>
      <name val="等线"/>
      <family val="2"/>
      <scheme val="minor"/>
    </font>
    <font>
      <i/>
      <sz val="9.75"/>
      <color rgb="FF000000"/>
      <name val="Calibri"/>
      <family val="2"/>
    </font>
    <font>
      <i/>
      <u/>
      <sz val="9"/>
      <color rgb="FF4E83FD"/>
      <name val="Calibri"/>
      <family val="2"/>
    </font>
    <font>
      <sz val="9.75"/>
      <color rgb="FF000000"/>
      <name val="Calibri"/>
      <family val="2"/>
    </font>
    <font>
      <sz val="9.75"/>
      <color rgb="FF4E83FD"/>
      <name val="Calibri"/>
      <family val="2"/>
    </font>
    <font>
      <u/>
      <sz val="9.75"/>
      <color theme="10"/>
      <name val="Calibri"/>
      <family val="2"/>
    </font>
    <font>
      <u/>
      <sz val="9"/>
      <color theme="10"/>
      <name val="Calibri"/>
      <family val="2"/>
    </font>
    <font>
      <sz val="9"/>
      <name val="等线"/>
      <family val="3"/>
      <charset val="134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FFF258"/>
      </patternFill>
    </fill>
    <fill>
      <patternFill patternType="solid">
        <fgColor rgb="FFDEE0E3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2F3F5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3370FF"/>
      </patternFill>
    </fill>
    <fill>
      <patternFill patternType="solid">
        <fgColor rgb="FFBDD7EE"/>
      </patternFill>
    </fill>
    <fill>
      <patternFill patternType="solid">
        <fgColor rgb="FFF2F3F5"/>
      </patternFill>
    </fill>
    <fill>
      <patternFill patternType="solid">
        <fgColor rgb="FFF2F3F5"/>
      </patternFill>
    </fill>
    <fill>
      <patternFill patternType="solid">
        <fgColor rgb="FFE1EAFF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FFFF00"/>
      </patternFill>
    </fill>
    <fill>
      <patternFill patternType="solid">
        <fgColor rgb="FFF7F8FA"/>
      </patternFill>
    </fill>
  </fills>
  <borders count="8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9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10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5" fillId="5" borderId="15" xfId="0" applyFont="1" applyFill="1" applyBorder="1" applyAlignment="1">
      <alignment horizontal="left" vertical="center"/>
    </xf>
    <xf numFmtId="0" fontId="16" fillId="6" borderId="16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left" vertical="center"/>
    </xf>
    <xf numFmtId="49" fontId="19" fillId="0" borderId="19" xfId="0" applyNumberFormat="1" applyFont="1" applyBorder="1" applyAlignment="1">
      <alignment vertical="center"/>
    </xf>
    <xf numFmtId="49" fontId="20" fillId="0" borderId="20" xfId="0" applyNumberFormat="1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22" fillId="7" borderId="22" xfId="0" applyFont="1" applyFill="1" applyBorder="1" applyAlignment="1">
      <alignment horizontal="left" vertical="center"/>
    </xf>
    <xf numFmtId="0" fontId="23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5" fillId="8" borderId="25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9" fillId="9" borderId="29" xfId="0" applyFont="1" applyFill="1" applyBorder="1" applyAlignment="1">
      <alignment horizontal="left" vertical="center"/>
    </xf>
    <xf numFmtId="0" fontId="30" fillId="10" borderId="30" xfId="0" applyFont="1" applyFill="1" applyBorder="1" applyAlignment="1">
      <alignment horizontal="left" vertical="center"/>
    </xf>
    <xf numFmtId="0" fontId="31" fillId="11" borderId="31" xfId="0" applyFont="1" applyFill="1" applyBorder="1" applyAlignment="1">
      <alignment horizontal="left" vertical="center"/>
    </xf>
    <xf numFmtId="0" fontId="32" fillId="12" borderId="32" xfId="0" applyFont="1" applyFill="1" applyBorder="1" applyAlignment="1">
      <alignment horizontal="center" vertical="center"/>
    </xf>
    <xf numFmtId="0" fontId="33" fillId="13" borderId="33" xfId="0" applyFont="1" applyFill="1" applyBorder="1" applyAlignment="1">
      <alignment horizontal="center" vertical="center"/>
    </xf>
    <xf numFmtId="0" fontId="34" fillId="14" borderId="34" xfId="0" applyFont="1" applyFill="1" applyBorder="1" applyAlignment="1">
      <alignment horizontal="center" vertical="center"/>
    </xf>
    <xf numFmtId="0" fontId="35" fillId="0" borderId="35" xfId="0" applyFont="1" applyBorder="1" applyAlignment="1">
      <alignment vertical="center"/>
    </xf>
    <xf numFmtId="0" fontId="36" fillId="0" borderId="36" xfId="0" applyFont="1" applyBorder="1" applyAlignment="1">
      <alignment horizontal="left" vertical="center" wrapText="1"/>
    </xf>
    <xf numFmtId="0" fontId="37" fillId="0" borderId="37" xfId="0" applyFont="1" applyBorder="1" applyAlignment="1">
      <alignment vertical="center"/>
    </xf>
    <xf numFmtId="0" fontId="38" fillId="0" borderId="38" xfId="0" applyFont="1" applyBorder="1" applyAlignment="1">
      <alignment horizontal="left" vertical="center" wrapText="1"/>
    </xf>
    <xf numFmtId="0" fontId="39" fillId="0" borderId="39" xfId="0" applyFont="1" applyBorder="1" applyAlignment="1">
      <alignment vertical="center" wrapText="1"/>
    </xf>
    <xf numFmtId="0" fontId="40" fillId="15" borderId="40" xfId="0" applyFont="1" applyFill="1" applyBorder="1" applyAlignment="1">
      <alignment horizontal="left" vertical="center" wrapText="1"/>
    </xf>
    <xf numFmtId="0" fontId="41" fillId="0" borderId="41" xfId="0" applyFont="1" applyBorder="1" applyAlignment="1">
      <alignment horizontal="left" vertical="center" wrapText="1"/>
    </xf>
    <xf numFmtId="0" fontId="42" fillId="0" borderId="42" xfId="0" applyFont="1" applyBorder="1" applyAlignment="1">
      <alignment horizontal="left" vertical="center"/>
    </xf>
    <xf numFmtId="0" fontId="43" fillId="16" borderId="43" xfId="0" applyFont="1" applyFill="1" applyBorder="1" applyAlignment="1">
      <alignment horizontal="left" vertical="center" wrapText="1"/>
    </xf>
    <xf numFmtId="0" fontId="44" fillId="0" borderId="44" xfId="0" applyFont="1" applyBorder="1" applyAlignment="1">
      <alignment horizontal="left" vertical="center" wrapText="1"/>
    </xf>
    <xf numFmtId="0" fontId="45" fillId="17" borderId="45" xfId="0" applyFont="1" applyFill="1" applyBorder="1" applyAlignment="1">
      <alignment horizontal="left" vertical="center" wrapText="1"/>
    </xf>
    <xf numFmtId="0" fontId="46" fillId="18" borderId="46" xfId="0" applyFont="1" applyFill="1" applyBorder="1" applyAlignment="1">
      <alignment horizontal="left" vertical="center" wrapText="1"/>
    </xf>
    <xf numFmtId="0" fontId="47" fillId="19" borderId="47" xfId="0" applyFont="1" applyFill="1" applyBorder="1" applyAlignment="1">
      <alignment horizontal="center" vertical="center" wrapText="1"/>
    </xf>
    <xf numFmtId="0" fontId="48" fillId="20" borderId="48" xfId="0" applyFont="1" applyFill="1" applyBorder="1" applyAlignment="1">
      <alignment horizontal="center" vertical="center" wrapText="1"/>
    </xf>
    <xf numFmtId="0" fontId="49" fillId="0" borderId="49" xfId="0" applyFont="1" applyBorder="1" applyAlignment="1">
      <alignment vertical="center" wrapText="1"/>
    </xf>
    <xf numFmtId="0" fontId="50" fillId="21" borderId="50" xfId="0" applyFont="1" applyFill="1" applyBorder="1" applyAlignment="1">
      <alignment vertical="center" wrapText="1"/>
    </xf>
    <xf numFmtId="0" fontId="51" fillId="22" borderId="51" xfId="0" applyFont="1" applyFill="1" applyBorder="1" applyAlignment="1">
      <alignment vertical="center" wrapText="1"/>
    </xf>
    <xf numFmtId="0" fontId="52" fillId="0" borderId="52" xfId="0" applyFont="1" applyBorder="1" applyAlignment="1">
      <alignment horizontal="center" vertical="center" wrapText="1"/>
    </xf>
    <xf numFmtId="0" fontId="53" fillId="0" borderId="53" xfId="0" applyFont="1" applyBorder="1" applyAlignment="1">
      <alignment horizontal="left" vertical="center" wrapText="1"/>
    </xf>
    <xf numFmtId="0" fontId="54" fillId="23" borderId="54" xfId="0" applyFont="1" applyFill="1" applyBorder="1" applyAlignment="1">
      <alignment horizontal="center" vertical="center" wrapText="1"/>
    </xf>
    <xf numFmtId="0" fontId="55" fillId="0" borderId="55" xfId="0" applyFont="1" applyBorder="1" applyAlignment="1">
      <alignment horizontal="left" vertical="center" wrapText="1"/>
    </xf>
    <xf numFmtId="0" fontId="56" fillId="0" borderId="56" xfId="0" applyFont="1" applyBorder="1" applyAlignment="1">
      <alignment vertical="center" wrapText="1"/>
    </xf>
    <xf numFmtId="0" fontId="57" fillId="0" borderId="57" xfId="0" applyFont="1" applyBorder="1" applyAlignment="1">
      <alignment horizontal="left" vertical="center" wrapText="1"/>
    </xf>
    <xf numFmtId="49" fontId="58" fillId="0" borderId="58" xfId="0" applyNumberFormat="1" applyFont="1" applyBorder="1"/>
    <xf numFmtId="0" fontId="59" fillId="0" borderId="59" xfId="0" applyFont="1" applyBorder="1"/>
    <xf numFmtId="0" fontId="60" fillId="0" borderId="60" xfId="0" applyFont="1" applyBorder="1" applyAlignment="1">
      <alignment vertical="center"/>
    </xf>
    <xf numFmtId="0" fontId="61" fillId="0" borderId="61" xfId="0" applyFont="1" applyBorder="1"/>
    <xf numFmtId="0" fontId="63" fillId="0" borderId="63" xfId="0" applyFont="1" applyBorder="1" applyAlignment="1">
      <alignment vertical="center" wrapText="1"/>
    </xf>
    <xf numFmtId="0" fontId="64" fillId="0" borderId="64" xfId="0" applyFont="1" applyBorder="1" applyAlignment="1">
      <alignment vertical="center"/>
    </xf>
    <xf numFmtId="0" fontId="65" fillId="0" borderId="65" xfId="0" applyFont="1" applyBorder="1" applyAlignment="1">
      <alignment vertical="center" wrapText="1"/>
    </xf>
    <xf numFmtId="0" fontId="66" fillId="24" borderId="66" xfId="0" applyFont="1" applyFill="1" applyBorder="1" applyAlignment="1">
      <alignment vertical="center" wrapText="1"/>
    </xf>
    <xf numFmtId="0" fontId="67" fillId="0" borderId="67" xfId="0" applyFont="1" applyBorder="1" applyAlignment="1">
      <alignment vertical="center" wrapText="1"/>
    </xf>
    <xf numFmtId="0" fontId="68" fillId="0" borderId="68" xfId="0" applyFont="1" applyBorder="1" applyAlignment="1">
      <alignment vertical="center" wrapText="1"/>
    </xf>
    <xf numFmtId="0" fontId="69" fillId="0" borderId="69" xfId="0" applyFont="1" applyBorder="1" applyAlignment="1">
      <alignment vertical="center" wrapText="1"/>
    </xf>
    <xf numFmtId="0" fontId="70" fillId="0" borderId="70" xfId="0" applyFont="1" applyBorder="1" applyAlignment="1">
      <alignment wrapText="1"/>
    </xf>
    <xf numFmtId="0" fontId="71" fillId="0" borderId="71" xfId="0" applyFont="1" applyBorder="1" applyAlignment="1">
      <alignment wrapText="1"/>
    </xf>
    <xf numFmtId="0" fontId="72" fillId="0" borderId="72" xfId="0" applyFont="1" applyBorder="1" applyAlignment="1">
      <alignment vertical="center" wrapText="1"/>
    </xf>
    <xf numFmtId="0" fontId="73" fillId="0" borderId="73" xfId="0" applyFont="1" applyBorder="1" applyAlignment="1">
      <alignment vertical="center" wrapText="1"/>
    </xf>
    <xf numFmtId="0" fontId="74" fillId="0" borderId="74" xfId="0" applyFont="1" applyBorder="1" applyAlignment="1">
      <alignment vertical="center"/>
    </xf>
    <xf numFmtId="0" fontId="75" fillId="0" borderId="75" xfId="0" applyFont="1" applyBorder="1" applyAlignment="1">
      <alignment vertical="center"/>
    </xf>
    <xf numFmtId="0" fontId="76" fillId="25" borderId="76" xfId="0" applyFont="1" applyFill="1" applyBorder="1" applyAlignment="1">
      <alignment horizontal="center" wrapText="1"/>
    </xf>
    <xf numFmtId="0" fontId="77" fillId="26" borderId="77" xfId="0" applyFont="1" applyFill="1" applyBorder="1" applyAlignment="1">
      <alignment horizontal="center" wrapText="1"/>
    </xf>
    <xf numFmtId="0" fontId="78" fillId="27" borderId="78" xfId="0" applyFont="1" applyFill="1" applyBorder="1" applyAlignment="1">
      <alignment horizontal="center" wrapText="1"/>
    </xf>
    <xf numFmtId="0" fontId="79" fillId="28" borderId="79" xfId="0" applyFont="1" applyFill="1" applyBorder="1" applyAlignment="1">
      <alignment vertical="center" wrapText="1"/>
    </xf>
    <xf numFmtId="0" fontId="80" fillId="0" borderId="80" xfId="0" applyFont="1" applyBorder="1" applyAlignment="1">
      <alignment horizontal="center" vertical="center" wrapText="1"/>
    </xf>
    <xf numFmtId="0" fontId="81" fillId="0" borderId="81" xfId="0" applyFont="1" applyBorder="1" applyAlignment="1">
      <alignment horizontal="center" vertical="center" wrapText="1"/>
    </xf>
    <xf numFmtId="0" fontId="82" fillId="29" borderId="82" xfId="0" applyFont="1" applyFill="1" applyBorder="1" applyAlignment="1">
      <alignment vertical="center" wrapText="1"/>
    </xf>
    <xf numFmtId="0" fontId="47" fillId="19" borderId="47" xfId="0" applyFont="1" applyFill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62" fillId="0" borderId="62" xfId="0" applyFont="1" applyBorder="1" applyAlignment="1">
      <alignment horizontal="center" vertical="center"/>
    </xf>
    <xf numFmtId="0" fontId="52" fillId="0" borderId="52" xfId="0" applyFont="1" applyBorder="1" applyAlignment="1">
      <alignment horizontal="center" vertical="center" wrapText="1"/>
    </xf>
    <xf numFmtId="0" fontId="33" fillId="13" borderId="3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azada.sg/shop/florasis" TargetMode="External"/><Relationship Id="rId18" Type="http://schemas.openxmlformats.org/officeDocument/2006/relationships/hyperlink" Target="https://fxg.jinritemai.com/ffa/chooseEntries" TargetMode="External"/><Relationship Id="rId26" Type="http://schemas.openxmlformats.org/officeDocument/2006/relationships/hyperlink" Target="https://app.kwaixiaodian.com/merchant/shop/list?id=1121008791" TargetMode="External"/><Relationship Id="rId39" Type="http://schemas.openxmlformats.org/officeDocument/2006/relationships/hyperlink" Target="https://www.qoo10.jp/shop/Florasis-official" TargetMode="External"/><Relationship Id="rId21" Type="http://schemas.openxmlformats.org/officeDocument/2006/relationships/hyperlink" Target="https://www.florasis.com/" TargetMode="External"/><Relationship Id="rId34" Type="http://schemas.openxmlformats.org/officeDocument/2006/relationships/hyperlink" Target="http://mobile.yangkeduo.com/mall_page.html?mall_id=138048299" TargetMode="External"/><Relationship Id="rId42" Type="http://schemas.openxmlformats.org/officeDocument/2006/relationships/hyperlink" Target="https://www.lazada.co.th/shop/florasis-offcial-store" TargetMode="External"/><Relationship Id="rId7" Type="http://schemas.openxmlformats.org/officeDocument/2006/relationships/hyperlink" Target="http://mobile.yangkeduo.com/mall_page.html?mall_id=946072587" TargetMode="External"/><Relationship Id="rId2" Type="http://schemas.openxmlformats.org/officeDocument/2006/relationships/hyperlink" Target="https://www.amazon.com/florasis" TargetMode="External"/><Relationship Id="rId16" Type="http://schemas.openxmlformats.org/officeDocument/2006/relationships/hyperlink" Target="https://s.kwaixiaodian.com/zone/hm" TargetMode="External"/><Relationship Id="rId29" Type="http://schemas.openxmlformats.org/officeDocument/2006/relationships/hyperlink" Target="https://shopee.co.th/florasis.th" TargetMode="External"/><Relationship Id="rId1" Type="http://schemas.openxmlformats.org/officeDocument/2006/relationships/hyperlink" Target="https://www.lazada.com.my/shop/florasis" TargetMode="External"/><Relationship Id="rId6" Type="http://schemas.openxmlformats.org/officeDocument/2006/relationships/hyperlink" Target="https://ogphzp.tmall.com/" TargetMode="External"/><Relationship Id="rId11" Type="http://schemas.openxmlformats.org/officeDocument/2006/relationships/hyperlink" Target="https://www.amazon.co.jp/florasis" TargetMode="External"/><Relationship Id="rId24" Type="http://schemas.openxmlformats.org/officeDocument/2006/relationships/hyperlink" Target="https://h5.youzan.com/v2/showcase/homepage?alias=HYOKdeOg2M" TargetMode="External"/><Relationship Id="rId32" Type="http://schemas.openxmlformats.org/officeDocument/2006/relationships/hyperlink" Target="https://mall.jd.com/index-1000455903.html?from=pc" TargetMode="External"/><Relationship Id="rId37" Type="http://schemas.openxmlformats.org/officeDocument/2006/relationships/hyperlink" Target="https://www.lazada.com.ph/shop/florasis-offcial-store" TargetMode="External"/><Relationship Id="rId40" Type="http://schemas.openxmlformats.org/officeDocument/2006/relationships/hyperlink" Target="https://huaxizi.tmall.com/?spm=a220o.1000855.w5001-17160293638.2.56c92c566oD0Xm&amp;scene=taobao_shop" TargetMode="External"/><Relationship Id="rId45" Type="http://schemas.openxmlformats.org/officeDocument/2006/relationships/image" Target="../media/image1.png"/><Relationship Id="rId5" Type="http://schemas.openxmlformats.org/officeDocument/2006/relationships/hyperlink" Target="https://mall.jd.com/index-10262506.html?from=pc" TargetMode="External"/><Relationship Id="rId15" Type="http://schemas.openxmlformats.org/officeDocument/2006/relationships/hyperlink" Target="https://shopee.tw/florasis.tw" TargetMode="External"/><Relationship Id="rId23" Type="http://schemas.openxmlformats.org/officeDocument/2006/relationships/hyperlink" Target="https://app.kwaixiaodian.com/merchant/shop/list?id=2033150064" TargetMode="External"/><Relationship Id="rId28" Type="http://schemas.openxmlformats.org/officeDocument/2006/relationships/hyperlink" Target="https://www.lazada.com.my/shop/-florasis-offcial-store" TargetMode="External"/><Relationship Id="rId36" Type="http://schemas.openxmlformats.org/officeDocument/2006/relationships/hyperlink" Target="https://mall.jd.com/index-1000350586.html?from=pc" TargetMode="External"/><Relationship Id="rId10" Type="http://schemas.openxmlformats.org/officeDocument/2006/relationships/hyperlink" Target="https://huaxizijz.tmall.com/?spm=a217wi.openworkbeanchtmall.widgets.2.41e65e16R2ERRr" TargetMode="External"/><Relationship Id="rId19" Type="http://schemas.openxmlformats.org/officeDocument/2006/relationships/hyperlink" Target="https://www.lazada.co.id/shop/florasis-offcial-store" TargetMode="External"/><Relationship Id="rId31" Type="http://schemas.openxmlformats.org/officeDocument/2006/relationships/hyperlink" Target="https://www.amazon.co.uk/florasis" TargetMode="External"/><Relationship Id="rId44" Type="http://schemas.openxmlformats.org/officeDocument/2006/relationships/hyperlink" Target="https://h5.youzan.com/v2/showcase/homepage?alias=9yuhCdbb6j" TargetMode="External"/><Relationship Id="rId4" Type="http://schemas.openxmlformats.org/officeDocument/2006/relationships/hyperlink" Target="https://kmall.kaola.com/pc/1045137689?_fullscreen=true&amp;cdnBaseUrl=http://m.kaolacdn.com&amp;isTestEnvironment=false" TargetMode="External"/><Relationship Id="rId9" Type="http://schemas.openxmlformats.org/officeDocument/2006/relationships/hyperlink" Target="https://www.xiaohongshu.com/vendor/5e02dc43f488980001bca92e?contentId=121620&amp;preview=true&amp;naviHidden=yes" TargetMode="External"/><Relationship Id="rId14" Type="http://schemas.openxmlformats.org/officeDocument/2006/relationships/hyperlink" Target="https://shopee.sg/florasis.sg" TargetMode="External"/><Relationship Id="rId22" Type="http://schemas.openxmlformats.org/officeDocument/2006/relationships/hyperlink" Target="https://www.lazada.vn/shop/florasis-offcial-store" TargetMode="External"/><Relationship Id="rId27" Type="http://schemas.openxmlformats.org/officeDocument/2006/relationships/hyperlink" Target="https://mobile.yangkeduo.com/mall_page.html?_x_org=2&amp;refer_share_uin=&amp;refer_share_id=1O7qrdBrxbfibUeT5dSlFIMei0QCeKHH&amp;_x_query=ogp&#34013;&#38108;&#32988;&#32957;&#38754;&#38684;&amp;msn=r74qsmbizsfsfnnca7csikqd6a_axbuy&amp;refer_share_channel=copy_link&amp;_wv=41729&amp;mall_id=478070408&amp;_wvx=10" TargetMode="External"/><Relationship Id="rId30" Type="http://schemas.openxmlformats.org/officeDocument/2006/relationships/hyperlink" Target="https://www.amazon.ca/florasis" TargetMode="External"/><Relationship Id="rId35" Type="http://schemas.openxmlformats.org/officeDocument/2006/relationships/hyperlink" Target="https://category.vip.com/suggest.php?keyword=&#33457;&#35199;&#23376;&amp;ff=235|12|1|1" TargetMode="External"/><Relationship Id="rId43" Type="http://schemas.openxmlformats.org/officeDocument/2006/relationships/hyperlink" Target="https://shopee.sg/florasis.sg" TargetMode="External"/><Relationship Id="rId8" Type="http://schemas.openxmlformats.org/officeDocument/2006/relationships/hyperlink" Target="https://shopee.vn/florasis.vn" TargetMode="External"/><Relationship Id="rId3" Type="http://schemas.openxmlformats.org/officeDocument/2006/relationships/hyperlink" Target="https://www.xiaohongshu.com/vendor/5ad803591c9e8635c95a8a9e?xhsshare=CopyLink&amp;appuid=5a8fbdc311be10146f9d0482&amp;apptime=1592471178" TargetMode="External"/><Relationship Id="rId12" Type="http://schemas.openxmlformats.org/officeDocument/2006/relationships/hyperlink" Target="https://mall.jd.com/index-10177691.html?from=pc" TargetMode="External"/><Relationship Id="rId17" Type="http://schemas.openxmlformats.org/officeDocument/2006/relationships/hyperlink" Target="https://www.rakuten.ne.jp/gold/florasis/" TargetMode="External"/><Relationship Id="rId25" Type="http://schemas.openxmlformats.org/officeDocument/2006/relationships/hyperlink" Target="https://shopee.ph/florasis.ph" TargetMode="External"/><Relationship Id="rId33" Type="http://schemas.openxmlformats.org/officeDocument/2006/relationships/hyperlink" Target="https://haohuo.jinritemai.com/views/shop/index?id=rHQPvZg&amp;origin_type=604&amp;origin_id=0&amp;new_source_type=47&amp;new_source_id=0&amp;source_type=47&amp;source_id=0" TargetMode="External"/><Relationship Id="rId38" Type="http://schemas.openxmlformats.org/officeDocument/2006/relationships/hyperlink" Target="https://app.kwaixiaodian.com/page/kwaishop-c-shoplist?id=1168586727" TargetMode="External"/><Relationship Id="rId20" Type="http://schemas.openxmlformats.org/officeDocument/2006/relationships/hyperlink" Target="https://shopee.com.my/florasis.os" TargetMode="External"/><Relationship Id="rId41" Type="http://schemas.openxmlformats.org/officeDocument/2006/relationships/hyperlink" Target="https://jp.floras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1310-2DD4-45A2-AD69-A6D1C64AC0AB}">
  <sheetPr>
    <outlinePr summaryBelow="0" summaryRight="0"/>
  </sheetPr>
  <dimension ref="A1:W177"/>
  <sheetViews>
    <sheetView tabSelected="1" workbookViewId="0">
      <selection activeCell="N24" sqref="N24"/>
    </sheetView>
  </sheetViews>
  <sheetFormatPr defaultColWidth="14" defaultRowHeight="13.2" x14ac:dyDescent="0.25"/>
  <cols>
    <col min="1" max="1" width="21" customWidth="1"/>
    <col min="2" max="2" width="14" customWidth="1"/>
    <col min="3" max="3" width="15" customWidth="1"/>
    <col min="4" max="6" width="14" customWidth="1"/>
    <col min="7" max="7" width="11" customWidth="1"/>
    <col min="8" max="8" width="12" customWidth="1"/>
    <col min="9" max="9" width="14" customWidth="1"/>
    <col min="10" max="10" width="16" customWidth="1"/>
    <col min="11" max="12" width="10" customWidth="1"/>
    <col min="13" max="13" width="29" customWidth="1"/>
    <col min="14" max="14" width="30" customWidth="1"/>
    <col min="15" max="15" width="29" customWidth="1"/>
  </cols>
  <sheetData>
    <row r="1" spans="1:23" ht="13.8" x14ac:dyDescent="0.25">
      <c r="A1" s="15" t="s">
        <v>45</v>
      </c>
      <c r="B1" s="15" t="s">
        <v>46</v>
      </c>
      <c r="C1" s="15" t="s">
        <v>47</v>
      </c>
      <c r="D1" s="15" t="s">
        <v>48</v>
      </c>
      <c r="E1" s="15" t="s">
        <v>49</v>
      </c>
      <c r="F1" s="15" t="s">
        <v>50</v>
      </c>
      <c r="G1" s="15" t="s">
        <v>51</v>
      </c>
      <c r="H1" s="15" t="s">
        <v>52</v>
      </c>
      <c r="I1" s="15" t="s">
        <v>53</v>
      </c>
      <c r="J1" s="16" t="s">
        <v>54</v>
      </c>
      <c r="K1" s="15" t="s">
        <v>55</v>
      </c>
      <c r="L1" s="15" t="s">
        <v>56</v>
      </c>
      <c r="M1" s="15" t="s">
        <v>57</v>
      </c>
      <c r="N1" s="15" t="s">
        <v>58</v>
      </c>
      <c r="O1" s="15" t="s">
        <v>59</v>
      </c>
      <c r="P1" s="1"/>
      <c r="Q1" s="1"/>
      <c r="R1" s="1"/>
      <c r="S1" s="1"/>
      <c r="T1" s="1"/>
      <c r="U1" s="1"/>
      <c r="V1" s="1"/>
      <c r="W1" s="1"/>
    </row>
    <row r="2" spans="1:23" ht="13.8" x14ac:dyDescent="0.25">
      <c r="A2" s="4" t="s">
        <v>60</v>
      </c>
      <c r="B2" s="3" t="s">
        <v>61</v>
      </c>
      <c r="C2" s="3" t="s">
        <v>62</v>
      </c>
      <c r="D2" s="3" t="str">
        <f>VLOOKUP(B2,Sheet13!$A$4:$I$85,9,FALSE)</f>
        <v>天猫</v>
      </c>
      <c r="E2" s="3" t="str">
        <f>VLOOKUP(D2,渠道!$A$1:$B$28,2,FALSE)</f>
        <v>01</v>
      </c>
      <c r="F2" s="3" t="s">
        <v>63</v>
      </c>
      <c r="G2" s="3" t="s">
        <v>64</v>
      </c>
      <c r="H2" s="3" t="s">
        <v>65</v>
      </c>
      <c r="I2" s="3" t="str">
        <f>VLOOKUP(B2,Sheet13!$A$4:$M$85,13,FALSE)</f>
        <v>天猫</v>
      </c>
      <c r="J2" s="5" t="str">
        <f>VLOOKUP(I2,店铺运营分组!$A$2:$B$12,2,FALSE)</f>
        <v>01</v>
      </c>
      <c r="K2" s="3" t="s">
        <v>66</v>
      </c>
      <c r="L2" s="3" t="s">
        <v>67</v>
      </c>
      <c r="M2" s="3" t="s">
        <v>68</v>
      </c>
      <c r="N2" s="3" t="s">
        <v>68</v>
      </c>
      <c r="O2" s="3" t="s">
        <v>68</v>
      </c>
      <c r="P2" s="1"/>
      <c r="Q2" s="1"/>
      <c r="R2" s="1"/>
      <c r="S2" s="1"/>
      <c r="T2" s="1"/>
      <c r="U2" s="1"/>
      <c r="V2" s="1"/>
      <c r="W2" s="1"/>
    </row>
    <row r="3" spans="1:23" ht="13.8" x14ac:dyDescent="0.25">
      <c r="A3" s="4" t="s">
        <v>69</v>
      </c>
      <c r="B3" s="3" t="s">
        <v>70</v>
      </c>
      <c r="C3" s="3" t="s">
        <v>71</v>
      </c>
      <c r="D3" s="3" t="str">
        <f>VLOOKUP(B3,Sheet13!$A$4:$I$85,9,FALSE)</f>
        <v>抖音</v>
      </c>
      <c r="E3" s="3" t="str">
        <f>VLOOKUP(D3,渠道!$A$1:$B$28,2,FALSE)</f>
        <v>02</v>
      </c>
      <c r="F3" s="3" t="s">
        <v>72</v>
      </c>
      <c r="G3" s="3" t="s">
        <v>64</v>
      </c>
      <c r="H3" s="3" t="s">
        <v>65</v>
      </c>
      <c r="I3" s="3" t="str">
        <f>VLOOKUP(B3,Sheet13!$A$4:$M$85,13,FALSE)</f>
        <v>抖音</v>
      </c>
      <c r="J3" s="5" t="str">
        <f>VLOOKUP(I3,店铺运营分组!$A$2:$B$12,2,FALSE)</f>
        <v>02</v>
      </c>
      <c r="K3" s="3" t="s">
        <v>73</v>
      </c>
      <c r="L3" s="3" t="s">
        <v>67</v>
      </c>
      <c r="M3" s="3" t="s">
        <v>68</v>
      </c>
      <c r="N3" s="3" t="s">
        <v>68</v>
      </c>
      <c r="O3" s="3" t="s">
        <v>68</v>
      </c>
      <c r="P3" s="1"/>
      <c r="Q3" s="1"/>
      <c r="R3" s="1"/>
      <c r="S3" s="1"/>
      <c r="T3" s="1"/>
      <c r="U3" s="1"/>
      <c r="V3" s="1"/>
      <c r="W3" s="1"/>
    </row>
    <row r="4" spans="1:23" ht="13.8" x14ac:dyDescent="0.25">
      <c r="A4" s="4" t="s">
        <v>74</v>
      </c>
      <c r="B4" s="3" t="s">
        <v>75</v>
      </c>
      <c r="C4" s="3" t="s">
        <v>76</v>
      </c>
      <c r="D4" s="3" t="str">
        <f>VLOOKUP(B4,Sheet13!$A$4:$I$85,9,FALSE)</f>
        <v>快手</v>
      </c>
      <c r="E4" s="3" t="str">
        <f>VLOOKUP(D4,渠道!$A$1:$B$28,2,FALSE)</f>
        <v>05</v>
      </c>
      <c r="F4" s="3" t="s">
        <v>77</v>
      </c>
      <c r="G4" s="3" t="s">
        <v>64</v>
      </c>
      <c r="H4" s="3" t="s">
        <v>65</v>
      </c>
      <c r="I4" s="3" t="str">
        <f>VLOOKUP(B4,Sheet13!$A$4:$M$85,13,FALSE)</f>
        <v>快手</v>
      </c>
      <c r="J4" s="5" t="str">
        <f>VLOOKUP(I4,店铺运营分组!$A$2:$B$12,2,FALSE)</f>
        <v>05</v>
      </c>
      <c r="K4" s="3" t="s">
        <v>78</v>
      </c>
      <c r="L4" s="3" t="s">
        <v>67</v>
      </c>
      <c r="M4" s="3" t="s">
        <v>68</v>
      </c>
      <c r="N4" s="3" t="s">
        <v>68</v>
      </c>
      <c r="O4" s="3" t="s">
        <v>68</v>
      </c>
      <c r="P4" s="1"/>
      <c r="Q4" s="1"/>
      <c r="R4" s="1"/>
      <c r="S4" s="1"/>
      <c r="T4" s="1"/>
      <c r="U4" s="1"/>
      <c r="V4" s="1"/>
      <c r="W4" s="1"/>
    </row>
    <row r="5" spans="1:23" ht="13.8" x14ac:dyDescent="0.25">
      <c r="A5" s="4" t="s">
        <v>79</v>
      </c>
      <c r="B5" s="3" t="s">
        <v>80</v>
      </c>
      <c r="C5" s="3" t="s">
        <v>81</v>
      </c>
      <c r="D5" s="3" t="str">
        <f>VLOOKUP(B5,Sheet13!$A$4:$I$85,9,FALSE)</f>
        <v>京东</v>
      </c>
      <c r="E5" s="3" t="str">
        <f>VLOOKUP(D5,渠道!$A$1:$B$28,2,FALSE)</f>
        <v>03</v>
      </c>
      <c r="F5" s="3" t="s">
        <v>82</v>
      </c>
      <c r="G5" s="3" t="s">
        <v>64</v>
      </c>
      <c r="H5" s="3" t="s">
        <v>65</v>
      </c>
      <c r="I5" s="3" t="str">
        <f>VLOOKUP(B5,Sheet13!$A$4:$M$85,13,FALSE)</f>
        <v>京东</v>
      </c>
      <c r="J5" s="5" t="str">
        <f>VLOOKUP(I5,店铺运营分组!$A$2:$B$12,2,FALSE)</f>
        <v>03</v>
      </c>
      <c r="K5" s="3" t="s">
        <v>83</v>
      </c>
      <c r="L5" s="3" t="s">
        <v>67</v>
      </c>
      <c r="M5" s="3" t="s">
        <v>84</v>
      </c>
      <c r="N5" s="3" t="s">
        <v>84</v>
      </c>
      <c r="O5" s="3" t="s">
        <v>84</v>
      </c>
      <c r="P5" s="1"/>
      <c r="Q5" s="1"/>
      <c r="R5" s="1"/>
      <c r="S5" s="1"/>
      <c r="T5" s="1"/>
      <c r="U5" s="1"/>
      <c r="V5" s="1"/>
      <c r="W5" s="1"/>
    </row>
    <row r="6" spans="1:23" ht="13.8" x14ac:dyDescent="0.25">
      <c r="A6" s="4" t="s">
        <v>85</v>
      </c>
      <c r="B6" s="3" t="s">
        <v>86</v>
      </c>
      <c r="C6" s="3" t="s">
        <v>81</v>
      </c>
      <c r="D6" s="3" t="str">
        <f>VLOOKUP(B6,Sheet13!$A$4:$I$85,9,FALSE)</f>
        <v>京东</v>
      </c>
      <c r="E6" s="3" t="str">
        <f>VLOOKUP(D6,渠道!$A$1:$B$28,2,FALSE)</f>
        <v>03</v>
      </c>
      <c r="F6" s="3" t="s">
        <v>87</v>
      </c>
      <c r="G6" s="3" t="s">
        <v>88</v>
      </c>
      <c r="H6" s="3" t="s">
        <v>89</v>
      </c>
      <c r="I6" s="3" t="str">
        <f>VLOOKUP(B6,Sheet13!$A$4:$M$85,13,FALSE)</f>
        <v>京东</v>
      </c>
      <c r="J6" s="5" t="str">
        <f>VLOOKUP(I6,店铺运营分组!$A$2:$B$12,2,FALSE)</f>
        <v>03</v>
      </c>
      <c r="K6" s="3" t="s">
        <v>90</v>
      </c>
      <c r="L6" s="3" t="s">
        <v>67</v>
      </c>
      <c r="M6" s="3" t="s">
        <v>84</v>
      </c>
      <c r="N6" s="3" t="s">
        <v>84</v>
      </c>
      <c r="O6" s="3" t="s">
        <v>84</v>
      </c>
      <c r="P6" s="1"/>
      <c r="Q6" s="1"/>
      <c r="R6" s="1"/>
      <c r="S6" s="1"/>
      <c r="T6" s="1"/>
      <c r="U6" s="1"/>
      <c r="V6" s="1"/>
      <c r="W6" s="1"/>
    </row>
    <row r="7" spans="1:23" ht="13.8" x14ac:dyDescent="0.25">
      <c r="A7" s="4" t="s">
        <v>91</v>
      </c>
      <c r="B7" s="3" t="s">
        <v>92</v>
      </c>
      <c r="C7" s="3" t="s">
        <v>93</v>
      </c>
      <c r="D7" s="3" t="str">
        <f>VLOOKUP(B7,Sheet13!$A$4:$I$85,9,FALSE)</f>
        <v>唯品会</v>
      </c>
      <c r="E7" s="3" t="str">
        <f>VLOOKUP(D7,渠道!$A$1:$B$28,2,FALSE)</f>
        <v>04</v>
      </c>
      <c r="F7" s="3" t="s">
        <v>94</v>
      </c>
      <c r="G7" s="3" t="s">
        <v>64</v>
      </c>
      <c r="H7" s="3" t="s">
        <v>95</v>
      </c>
      <c r="I7" s="3" t="str">
        <f>VLOOKUP(B7,Sheet13!$A$4:$M$85,13,FALSE)</f>
        <v>自营其他</v>
      </c>
      <c r="J7" s="5" t="str">
        <f>VLOOKUP(I7,店铺运营分组!$A$2:$B$12,2,FALSE)</f>
        <v>08</v>
      </c>
      <c r="K7" s="3" t="s">
        <v>96</v>
      </c>
      <c r="L7" s="3" t="s">
        <v>67</v>
      </c>
      <c r="M7" s="3" t="s">
        <v>84</v>
      </c>
      <c r="N7" s="3" t="s">
        <v>84</v>
      </c>
      <c r="O7" s="3" t="s">
        <v>84</v>
      </c>
      <c r="P7" s="1"/>
      <c r="Q7" s="1"/>
      <c r="R7" s="1"/>
      <c r="S7" s="1"/>
      <c r="T7" s="1"/>
      <c r="U7" s="1"/>
      <c r="V7" s="1"/>
      <c r="W7" s="1"/>
    </row>
    <row r="8" spans="1:23" ht="13.8" x14ac:dyDescent="0.25">
      <c r="A8" s="4" t="s">
        <v>97</v>
      </c>
      <c r="B8" s="3" t="s">
        <v>98</v>
      </c>
      <c r="C8" s="3" t="s">
        <v>99</v>
      </c>
      <c r="D8" s="3" t="str">
        <f>VLOOKUP(B8,Sheet13!$A$4:$I$85,9,FALSE)</f>
        <v>天猫</v>
      </c>
      <c r="E8" s="3" t="str">
        <f>VLOOKUP(D8,渠道!$A$1:$B$28,2,FALSE)</f>
        <v>01</v>
      </c>
      <c r="F8" s="3" t="s">
        <v>100</v>
      </c>
      <c r="G8" s="3" t="s">
        <v>64</v>
      </c>
      <c r="H8" s="3" t="s">
        <v>65</v>
      </c>
      <c r="I8" s="3" t="str">
        <f>VLOOKUP(B8,Sheet13!$A$4:$M$85,13,FALSE)</f>
        <v>天猫</v>
      </c>
      <c r="J8" s="5" t="str">
        <f>VLOOKUP(I8,店铺运营分组!$A$2:$B$12,2,FALSE)</f>
        <v>01</v>
      </c>
      <c r="K8" s="3" t="s">
        <v>66</v>
      </c>
      <c r="L8" s="3" t="s">
        <v>67</v>
      </c>
      <c r="M8" s="3" t="s">
        <v>84</v>
      </c>
      <c r="N8" s="3" t="s">
        <v>84</v>
      </c>
      <c r="O8" s="3" t="s">
        <v>84</v>
      </c>
      <c r="P8" s="1"/>
      <c r="Q8" s="1"/>
      <c r="R8" s="1"/>
      <c r="S8" s="1"/>
      <c r="T8" s="1"/>
      <c r="U8" s="1"/>
      <c r="V8" s="1"/>
      <c r="W8" s="1"/>
    </row>
    <row r="9" spans="1:23" ht="13.8" x14ac:dyDescent="0.25">
      <c r="A9" s="13" t="s">
        <v>101</v>
      </c>
      <c r="B9" s="11" t="s">
        <v>102</v>
      </c>
      <c r="C9" s="11" t="s">
        <v>99</v>
      </c>
      <c r="D9" s="11" t="str">
        <f>VLOOKUP(B9,Sheet13!$A$4:$I$85,9,FALSE)</f>
        <v>得物</v>
      </c>
      <c r="E9" s="11" t="str">
        <f>VLOOKUP(D9,渠道!$A$1:$B$28,2,FALSE)</f>
        <v>06</v>
      </c>
      <c r="F9" s="11" t="s">
        <v>103</v>
      </c>
      <c r="G9" s="11" t="s">
        <v>104</v>
      </c>
      <c r="H9" s="11" t="s">
        <v>105</v>
      </c>
      <c r="I9" s="11" t="str">
        <f>VLOOKUP(B9,Sheet13!$A$4:$M$85,13,FALSE)</f>
        <v>自营其他</v>
      </c>
      <c r="J9" s="14" t="str">
        <f>VLOOKUP(I9,店铺运营分组!$A$2:$B$12,2,FALSE)</f>
        <v>08</v>
      </c>
      <c r="K9" s="11" t="s">
        <v>103</v>
      </c>
      <c r="L9" s="11" t="s">
        <v>67</v>
      </c>
      <c r="M9" s="11" t="s">
        <v>84</v>
      </c>
      <c r="N9" s="11" t="s">
        <v>84</v>
      </c>
      <c r="O9" s="11" t="s">
        <v>84</v>
      </c>
      <c r="P9" s="13"/>
      <c r="Q9" s="13"/>
      <c r="R9" s="13"/>
      <c r="S9" s="13"/>
      <c r="T9" s="13"/>
      <c r="U9" s="13"/>
      <c r="V9" s="13"/>
      <c r="W9" s="13"/>
    </row>
    <row r="10" spans="1:23" ht="13.8" x14ac:dyDescent="0.25">
      <c r="A10" s="10" t="s">
        <v>106</v>
      </c>
      <c r="B10" s="18" t="s">
        <v>107</v>
      </c>
      <c r="C10" s="18" t="s">
        <v>99</v>
      </c>
      <c r="D10" s="18" t="str">
        <f>VLOOKUP(B10,Sheet13!$A$4:$I$85,9,FALSE)</f>
        <v>考拉</v>
      </c>
      <c r="E10" s="18" t="str">
        <f>VLOOKUP(D10,渠道!$A$1:$B$28,2,FALSE)</f>
        <v>10</v>
      </c>
      <c r="F10" s="18" t="s">
        <v>108</v>
      </c>
      <c r="G10" s="18" t="s">
        <v>64</v>
      </c>
      <c r="H10" s="18" t="s">
        <v>65</v>
      </c>
      <c r="I10" s="18" t="str">
        <f>VLOOKUP(B10,Sheet13!$A$4:$M$85,13,FALSE)</f>
        <v>自营其他</v>
      </c>
      <c r="J10" s="17" t="str">
        <f>VLOOKUP(I10,店铺运营分组!$A$2:$B$12,2,FALSE)</f>
        <v>08</v>
      </c>
      <c r="K10" s="18" t="s">
        <v>109</v>
      </c>
      <c r="L10" s="18" t="s">
        <v>67</v>
      </c>
      <c r="M10" s="18" t="s">
        <v>84</v>
      </c>
      <c r="N10" s="18" t="s">
        <v>84</v>
      </c>
      <c r="O10" s="18" t="s">
        <v>84</v>
      </c>
      <c r="P10" s="10"/>
      <c r="Q10" s="10"/>
      <c r="R10" s="10"/>
      <c r="S10" s="10"/>
      <c r="T10" s="10"/>
      <c r="U10" s="10"/>
      <c r="V10" s="10"/>
      <c r="W10" s="10"/>
    </row>
    <row r="11" spans="1:23" ht="13.8" x14ac:dyDescent="0.25">
      <c r="A11" s="13" t="s">
        <v>110</v>
      </c>
      <c r="B11" s="11" t="s">
        <v>111</v>
      </c>
      <c r="C11" s="11" t="s">
        <v>99</v>
      </c>
      <c r="D11" s="11" t="str">
        <f>VLOOKUP(B11,Sheet13!$A$4:$I$85,9,FALSE)</f>
        <v>京东到家</v>
      </c>
      <c r="E11" s="11" t="s">
        <v>112</v>
      </c>
      <c r="F11" s="11" t="s">
        <v>110</v>
      </c>
      <c r="G11" s="11" t="s">
        <v>64</v>
      </c>
      <c r="H11" s="11" t="s">
        <v>65</v>
      </c>
      <c r="I11" s="11" t="str">
        <f>VLOOKUP(B11,Sheet13!$A$4:$M$85,13,FALSE)</f>
        <v>自营其他</v>
      </c>
      <c r="J11" s="14" t="str">
        <f>VLOOKUP(I11,店铺运营分组!$A$2:$B$12,2,FALSE)</f>
        <v>08</v>
      </c>
      <c r="K11" s="11" t="s">
        <v>83</v>
      </c>
      <c r="L11" s="11" t="s">
        <v>67</v>
      </c>
      <c r="M11" s="11" t="s">
        <v>84</v>
      </c>
      <c r="N11" s="11" t="s">
        <v>84</v>
      </c>
      <c r="O11" s="11" t="s">
        <v>84</v>
      </c>
      <c r="P11" s="13"/>
      <c r="Q11" s="13"/>
      <c r="R11" s="13"/>
      <c r="S11" s="13"/>
      <c r="T11" s="13"/>
      <c r="U11" s="13"/>
      <c r="V11" s="13"/>
      <c r="W11" s="13"/>
    </row>
    <row r="12" spans="1:23" ht="13.8" x14ac:dyDescent="0.25">
      <c r="A12" s="4" t="s">
        <v>113</v>
      </c>
      <c r="B12" s="3" t="s">
        <v>114</v>
      </c>
      <c r="C12" s="3" t="s">
        <v>115</v>
      </c>
      <c r="D12" s="3" t="str">
        <f>VLOOKUP(B12,Sheet13!$A$4:$I$85,9,FALSE)</f>
        <v>有赞</v>
      </c>
      <c r="E12" s="3" t="str">
        <f>VLOOKUP(D12,渠道!$A$1:$B$28,2,FALSE)</f>
        <v>14</v>
      </c>
      <c r="F12" s="3" t="s">
        <v>116</v>
      </c>
      <c r="G12" s="3" t="s">
        <v>64</v>
      </c>
      <c r="H12" s="3" t="s">
        <v>65</v>
      </c>
      <c r="I12" s="3" t="str">
        <f>VLOOKUP(B12,Sheet13!$A$4:$M$85,13,FALSE)</f>
        <v>微信</v>
      </c>
      <c r="J12" s="5" t="str">
        <f>VLOOKUP(I12,店铺运营分组!$A$2:$B$12,2,FALSE)</f>
        <v>07</v>
      </c>
      <c r="K12" s="3" t="s">
        <v>115</v>
      </c>
      <c r="L12" s="3" t="s">
        <v>67</v>
      </c>
      <c r="M12" s="3" t="s">
        <v>117</v>
      </c>
      <c r="N12" s="3" t="s">
        <v>68</v>
      </c>
      <c r="O12" s="3" t="s">
        <v>117</v>
      </c>
      <c r="P12" s="1"/>
      <c r="Q12" s="1"/>
      <c r="R12" s="1"/>
      <c r="S12" s="1"/>
      <c r="T12" s="1"/>
      <c r="U12" s="1"/>
      <c r="V12" s="1"/>
      <c r="W12" s="1"/>
    </row>
    <row r="13" spans="1:23" ht="13.8" x14ac:dyDescent="0.25">
      <c r="A13" s="4" t="s">
        <v>118</v>
      </c>
      <c r="B13" s="3" t="s">
        <v>119</v>
      </c>
      <c r="C13" s="3" t="s">
        <v>120</v>
      </c>
      <c r="D13" s="3" t="str">
        <f>VLOOKUP(B13,Sheet13!$A$4:$I$85,9,FALSE)</f>
        <v>拼多多</v>
      </c>
      <c r="E13" s="3" t="str">
        <f>VLOOKUP(D13,渠道!$A$1:$B$28,2,FALSE)</f>
        <v>07</v>
      </c>
      <c r="F13" s="3" t="s">
        <v>121</v>
      </c>
      <c r="G13" s="3" t="s">
        <v>64</v>
      </c>
      <c r="H13" s="3" t="s">
        <v>65</v>
      </c>
      <c r="I13" s="3" t="str">
        <f>VLOOKUP(B13,Sheet13!$A$4:$M$85,13,FALSE)</f>
        <v>自营其他</v>
      </c>
      <c r="J13" s="5" t="str">
        <f>VLOOKUP(I13,店铺运营分组!$A$2:$B$12,2,FALSE)</f>
        <v>08</v>
      </c>
      <c r="K13" s="3" t="s">
        <v>120</v>
      </c>
      <c r="L13" s="3" t="s">
        <v>67</v>
      </c>
      <c r="M13" s="3" t="s">
        <v>84</v>
      </c>
      <c r="N13" s="3" t="s">
        <v>84</v>
      </c>
      <c r="O13" s="3" t="s">
        <v>84</v>
      </c>
      <c r="P13" s="1"/>
      <c r="Q13" s="1"/>
      <c r="R13" s="1"/>
      <c r="S13" s="1"/>
      <c r="T13" s="1"/>
      <c r="U13" s="1"/>
      <c r="V13" s="1"/>
      <c r="W13" s="1"/>
    </row>
    <row r="14" spans="1:23" ht="13.8" x14ac:dyDescent="0.25">
      <c r="A14" s="8" t="s">
        <v>122</v>
      </c>
      <c r="B14" s="6" t="s">
        <v>123</v>
      </c>
      <c r="C14" s="6" t="s">
        <v>120</v>
      </c>
      <c r="D14" s="6" t="str">
        <f>VLOOKUP(B14,Sheet13!$A$4:$I$85,9,FALSE)</f>
        <v>拼多多</v>
      </c>
      <c r="E14" s="6" t="str">
        <f>VLOOKUP(D14,渠道!$A$1:$B$28,2,FALSE)</f>
        <v>07</v>
      </c>
      <c r="F14" s="6" t="s">
        <v>124</v>
      </c>
      <c r="G14" s="6" t="s">
        <v>64</v>
      </c>
      <c r="H14" s="6" t="s">
        <v>65</v>
      </c>
      <c r="I14" s="3" t="str">
        <f>VLOOKUP(B14,Sheet13!$A$4:$M$85,13,FALSE)</f>
        <v>自营其他</v>
      </c>
      <c r="J14" s="5" t="str">
        <f>VLOOKUP(I14,店铺运营分组!$A$2:$B$12,2,FALSE)</f>
        <v>08</v>
      </c>
      <c r="K14" s="6" t="s">
        <v>120</v>
      </c>
      <c r="L14" s="6" t="s">
        <v>67</v>
      </c>
      <c r="M14" s="6" t="s">
        <v>84</v>
      </c>
      <c r="N14" s="6" t="s">
        <v>84</v>
      </c>
      <c r="O14" s="6" t="s">
        <v>84</v>
      </c>
      <c r="P14" s="7"/>
      <c r="Q14" s="7"/>
      <c r="R14" s="7"/>
      <c r="S14" s="7"/>
      <c r="T14" s="7"/>
      <c r="U14" s="7"/>
      <c r="V14" s="7"/>
      <c r="W14" s="7"/>
    </row>
    <row r="15" spans="1:23" ht="13.8" x14ac:dyDescent="0.25">
      <c r="A15" s="4" t="s">
        <v>125</v>
      </c>
      <c r="B15" s="3" t="s">
        <v>126</v>
      </c>
      <c r="C15" s="3" t="s">
        <v>120</v>
      </c>
      <c r="D15" s="3" t="str">
        <f>VLOOKUP(B15,Sheet13!$A$4:$I$85,9,FALSE)</f>
        <v>拼多多</v>
      </c>
      <c r="E15" s="3" t="str">
        <f>VLOOKUP(D15,渠道!$A$1:$B$28,2,FALSE)</f>
        <v>07</v>
      </c>
      <c r="F15" s="3" t="s">
        <v>121</v>
      </c>
      <c r="G15" s="3" t="s">
        <v>64</v>
      </c>
      <c r="H15" s="3" t="s">
        <v>65</v>
      </c>
      <c r="I15" s="3" t="str">
        <f>VLOOKUP(B15,Sheet13!$A$4:$M$85,13,FALSE)</f>
        <v>自营其他</v>
      </c>
      <c r="J15" s="5" t="str">
        <f>VLOOKUP(I15,店铺运营分组!$A$2:$B$12,2,FALSE)</f>
        <v>08</v>
      </c>
      <c r="K15" s="3" t="s">
        <v>120</v>
      </c>
      <c r="L15" s="3" t="s">
        <v>67</v>
      </c>
      <c r="M15" s="3" t="s">
        <v>84</v>
      </c>
      <c r="N15" s="3" t="s">
        <v>84</v>
      </c>
      <c r="O15" s="3" t="s">
        <v>84</v>
      </c>
      <c r="P15" s="1"/>
      <c r="Q15" s="1"/>
      <c r="R15" s="1"/>
      <c r="S15" s="1"/>
      <c r="T15" s="1"/>
      <c r="U15" s="1"/>
      <c r="V15" s="1"/>
      <c r="W15" s="1"/>
    </row>
    <row r="16" spans="1:23" ht="13.8" x14ac:dyDescent="0.25">
      <c r="A16" s="4" t="s">
        <v>127</v>
      </c>
      <c r="B16" s="3" t="s">
        <v>128</v>
      </c>
      <c r="C16" s="3" t="s">
        <v>120</v>
      </c>
      <c r="D16" s="3" t="str">
        <f>VLOOKUP(B16,Sheet13!$A$4:$I$85,9,FALSE)</f>
        <v>拼多多</v>
      </c>
      <c r="E16" s="3" t="str">
        <f>VLOOKUP(D16,渠道!$A$1:$B$28,2,FALSE)</f>
        <v>07</v>
      </c>
      <c r="F16" s="3" t="s">
        <v>129</v>
      </c>
      <c r="G16" s="3" t="s">
        <v>64</v>
      </c>
      <c r="H16" s="3" t="s">
        <v>65</v>
      </c>
      <c r="I16" s="3" t="str">
        <f>VLOOKUP(B16,Sheet13!$A$4:$M$85,13,FALSE)</f>
        <v>自营其他</v>
      </c>
      <c r="J16" s="5" t="str">
        <f>VLOOKUP(I16,店铺运营分组!$A$2:$B$12,2,FALSE)</f>
        <v>08</v>
      </c>
      <c r="K16" s="3" t="s">
        <v>120</v>
      </c>
      <c r="L16" s="3" t="s">
        <v>67</v>
      </c>
      <c r="M16" s="3" t="s">
        <v>84</v>
      </c>
      <c r="N16" s="3" t="s">
        <v>84</v>
      </c>
      <c r="O16" s="3" t="s">
        <v>84</v>
      </c>
      <c r="P16" s="1"/>
      <c r="Q16" s="1"/>
      <c r="R16" s="1"/>
      <c r="S16" s="1"/>
      <c r="T16" s="1"/>
      <c r="U16" s="1"/>
      <c r="V16" s="1"/>
      <c r="W16" s="1"/>
    </row>
    <row r="17" spans="1:23" ht="13.8" x14ac:dyDescent="0.25">
      <c r="A17" s="4" t="s">
        <v>130</v>
      </c>
      <c r="B17" s="3" t="s">
        <v>131</v>
      </c>
      <c r="C17" s="3" t="s">
        <v>99</v>
      </c>
      <c r="D17" s="3" t="str">
        <f>VLOOKUP(B17,Sheet13!$A$4:$I$85,9,FALSE)</f>
        <v>小红书</v>
      </c>
      <c r="E17" s="3" t="str">
        <f>VLOOKUP(D17,渠道!$A$1:$B$28,2,FALSE)</f>
        <v>08</v>
      </c>
      <c r="F17" s="3" t="s">
        <v>132</v>
      </c>
      <c r="G17" s="3" t="s">
        <v>64</v>
      </c>
      <c r="H17" s="3" t="s">
        <v>65</v>
      </c>
      <c r="I17" s="3" t="str">
        <f>VLOOKUP(B17,Sheet13!$A$4:$M$85,13,FALSE)</f>
        <v>自营其他</v>
      </c>
      <c r="J17" s="5" t="str">
        <f>VLOOKUP(I17,店铺运营分组!$A$2:$B$12,2,FALSE)</f>
        <v>08</v>
      </c>
      <c r="K17" s="3" t="s">
        <v>133</v>
      </c>
      <c r="L17" s="3" t="s">
        <v>67</v>
      </c>
      <c r="M17" s="3" t="s">
        <v>68</v>
      </c>
      <c r="N17" s="3" t="s">
        <v>68</v>
      </c>
      <c r="O17" s="3" t="s">
        <v>68</v>
      </c>
      <c r="P17" s="1"/>
      <c r="Q17" s="1"/>
      <c r="R17" s="1"/>
      <c r="S17" s="1"/>
      <c r="T17" s="1"/>
      <c r="U17" s="1"/>
      <c r="V17" s="1"/>
      <c r="W17" s="1"/>
    </row>
    <row r="18" spans="1:23" ht="13.8" x14ac:dyDescent="0.25">
      <c r="A18" s="13" t="s">
        <v>134</v>
      </c>
      <c r="B18" s="11" t="s">
        <v>135</v>
      </c>
      <c r="C18" s="11" t="s">
        <v>99</v>
      </c>
      <c r="D18" s="11" t="str">
        <f>VLOOKUP(B18,Sheet13!$A$4:$I$85,9,FALSE)</f>
        <v>凯德星</v>
      </c>
      <c r="E18" s="11" t="str">
        <f>VLOOKUP(D18,渠道!$A$1:$B$28,2,FALSE)</f>
        <v>11</v>
      </c>
      <c r="F18" s="11" t="s">
        <v>136</v>
      </c>
      <c r="G18" s="11" t="s">
        <v>64</v>
      </c>
      <c r="H18" s="11" t="s">
        <v>65</v>
      </c>
      <c r="I18" s="11" t="str">
        <f>VLOOKUP(B18,Sheet13!$A$4:$M$85,13,FALSE)</f>
        <v>自营其他</v>
      </c>
      <c r="J18" s="14" t="str">
        <f>VLOOKUP(I18,店铺运营分组!$A$2:$B$12,2,FALSE)</f>
        <v>08</v>
      </c>
      <c r="K18" s="11" t="s">
        <v>136</v>
      </c>
      <c r="L18" s="11" t="s">
        <v>67</v>
      </c>
      <c r="M18" s="11" t="s">
        <v>84</v>
      </c>
      <c r="N18" s="11" t="s">
        <v>84</v>
      </c>
      <c r="O18" s="11" t="s">
        <v>84</v>
      </c>
      <c r="P18" s="13"/>
      <c r="Q18" s="13"/>
      <c r="R18" s="13"/>
      <c r="S18" s="13"/>
      <c r="T18" s="13"/>
      <c r="U18" s="13"/>
      <c r="V18" s="13"/>
      <c r="W18" s="13"/>
    </row>
    <row r="19" spans="1:23" ht="13.8" x14ac:dyDescent="0.25">
      <c r="A19" s="13" t="s">
        <v>137</v>
      </c>
      <c r="B19" s="11" t="s">
        <v>138</v>
      </c>
      <c r="C19" s="11" t="s">
        <v>99</v>
      </c>
      <c r="D19" s="11" t="str">
        <f>VLOOKUP(B19,Sheet13!$A$4:$I$85,9,FALSE)</f>
        <v>微信</v>
      </c>
      <c r="E19" s="11" t="str">
        <f>VLOOKUP(D19,渠道!$A$1:$B$28,2,FALSE)</f>
        <v>13</v>
      </c>
      <c r="F19" s="11" t="s">
        <v>139</v>
      </c>
      <c r="G19" s="11" t="s">
        <v>64</v>
      </c>
      <c r="H19" s="11" t="s">
        <v>65</v>
      </c>
      <c r="I19" s="11" t="str">
        <f>VLOOKUP(B19,Sheet13!$A$4:$M$85,13,FALSE)</f>
        <v>微信</v>
      </c>
      <c r="J19" s="14" t="str">
        <f>VLOOKUP(I19,店铺运营分组!$A$2:$B$12,2,FALSE)</f>
        <v>07</v>
      </c>
      <c r="K19" s="11" t="s">
        <v>140</v>
      </c>
      <c r="L19" s="11" t="s">
        <v>67</v>
      </c>
      <c r="M19" s="11" t="s">
        <v>68</v>
      </c>
      <c r="N19" s="11" t="s">
        <v>68</v>
      </c>
      <c r="O19" s="11" t="s">
        <v>68</v>
      </c>
      <c r="P19" s="13"/>
      <c r="Q19" s="13"/>
      <c r="R19" s="13"/>
      <c r="S19" s="13"/>
      <c r="T19" s="13"/>
      <c r="U19" s="13"/>
      <c r="V19" s="13"/>
      <c r="W19" s="13"/>
    </row>
    <row r="20" spans="1:23" ht="13.8" x14ac:dyDescent="0.25">
      <c r="A20" s="4" t="s">
        <v>141</v>
      </c>
      <c r="B20" s="3" t="s">
        <v>142</v>
      </c>
      <c r="C20" s="3" t="s">
        <v>99</v>
      </c>
      <c r="D20" s="3" t="str">
        <f>VLOOKUP(B20,Sheet13!$A$4:$I$85,9,FALSE)</f>
        <v>会员店铺</v>
      </c>
      <c r="E20" s="3" t="str">
        <f>VLOOKUP(D20,渠道!$A$1:$B$28,2,FALSE)</f>
        <v>15</v>
      </c>
      <c r="F20" s="3" t="s">
        <v>143</v>
      </c>
      <c r="G20" s="3" t="s">
        <v>64</v>
      </c>
      <c r="H20" s="3" t="s">
        <v>65</v>
      </c>
      <c r="I20" s="3" t="str">
        <f>VLOOKUP(B20,Sheet13!$A$4:$M$85,13,FALSE)</f>
        <v>自营其他</v>
      </c>
      <c r="J20" s="5" t="str">
        <f>VLOOKUP(I20,店铺运营分组!$A$2:$B$12,2,FALSE)</f>
        <v>08</v>
      </c>
      <c r="K20" s="3" t="s">
        <v>140</v>
      </c>
      <c r="L20" s="3" t="s">
        <v>67</v>
      </c>
      <c r="M20" s="3" t="s">
        <v>68</v>
      </c>
      <c r="N20" s="3" t="s">
        <v>68</v>
      </c>
      <c r="O20" s="3" t="s">
        <v>68</v>
      </c>
      <c r="P20" s="1"/>
      <c r="Q20" s="1"/>
      <c r="R20" s="1"/>
      <c r="S20" s="1"/>
      <c r="T20" s="1"/>
      <c r="U20" s="1"/>
      <c r="V20" s="1"/>
      <c r="W20" s="1"/>
    </row>
    <row r="21" spans="1:23" ht="13.8" x14ac:dyDescent="0.25">
      <c r="A21" s="3" t="s">
        <v>144</v>
      </c>
      <c r="B21" s="3" t="s">
        <v>145</v>
      </c>
      <c r="C21" s="3" t="s">
        <v>76</v>
      </c>
      <c r="D21" s="3" t="str">
        <f>VLOOKUP(B21,Sheet13!$A$4:$I$85,9,FALSE)</f>
        <v>快手</v>
      </c>
      <c r="E21" s="3" t="str">
        <f>VLOOKUP(D21,渠道!$A$1:$B$28,2,FALSE)</f>
        <v>05</v>
      </c>
      <c r="F21" s="3" t="s">
        <v>146</v>
      </c>
      <c r="G21" s="3" t="s">
        <v>64</v>
      </c>
      <c r="H21" s="3" t="s">
        <v>65</v>
      </c>
      <c r="I21" s="3" t="str">
        <f>VLOOKUP(B21,Sheet13!$A$4:$M$85,13,FALSE)</f>
        <v>快手</v>
      </c>
      <c r="J21" s="5" t="str">
        <f>VLOOKUP(I21,店铺运营分组!$A$2:$B$12,2,FALSE)</f>
        <v>05</v>
      </c>
      <c r="K21" s="3" t="s">
        <v>78</v>
      </c>
      <c r="L21" s="3" t="s">
        <v>67</v>
      </c>
      <c r="M21" s="3" t="s">
        <v>68</v>
      </c>
      <c r="N21" s="3" t="s">
        <v>68</v>
      </c>
      <c r="O21" s="3" t="s">
        <v>68</v>
      </c>
      <c r="P21" s="1"/>
      <c r="Q21" s="1"/>
      <c r="R21" s="1"/>
      <c r="S21" s="1"/>
      <c r="T21" s="1"/>
      <c r="U21" s="1"/>
      <c r="V21" s="1"/>
      <c r="W21" s="1"/>
    </row>
    <row r="22" spans="1:23" ht="13.8" x14ac:dyDescent="0.25">
      <c r="A22" s="11" t="s">
        <v>147</v>
      </c>
      <c r="B22" s="11" t="s">
        <v>148</v>
      </c>
      <c r="C22" s="11" t="s">
        <v>99</v>
      </c>
      <c r="D22" s="11" t="str">
        <f>VLOOKUP(B22,Sheet13!$A$4:$I$85,9,FALSE)</f>
        <v>微信</v>
      </c>
      <c r="E22" s="11" t="str">
        <f>VLOOKUP(D22,渠道!$A$1:$B$28,2,FALSE)</f>
        <v>13</v>
      </c>
      <c r="F22" s="11" t="s">
        <v>149</v>
      </c>
      <c r="G22" s="11" t="s">
        <v>64</v>
      </c>
      <c r="H22" s="11" t="s">
        <v>65</v>
      </c>
      <c r="I22" s="11" t="str">
        <f>VLOOKUP(B22,Sheet13!$A$4:$M$85,13,FALSE)</f>
        <v>微信</v>
      </c>
      <c r="J22" s="14" t="str">
        <f>VLOOKUP(I22,店铺运营分组!$A$2:$B$12,2,FALSE)</f>
        <v>07</v>
      </c>
      <c r="K22" s="11" t="s">
        <v>140</v>
      </c>
      <c r="L22" s="11" t="s">
        <v>67</v>
      </c>
      <c r="M22" s="11" t="s">
        <v>117</v>
      </c>
      <c r="N22" s="11" t="s">
        <v>117</v>
      </c>
      <c r="O22" s="11" t="s">
        <v>117</v>
      </c>
      <c r="P22" s="13"/>
      <c r="Q22" s="13"/>
      <c r="R22" s="13"/>
      <c r="S22" s="13"/>
      <c r="T22" s="13"/>
      <c r="U22" s="13"/>
      <c r="V22" s="13"/>
      <c r="W22" s="13"/>
    </row>
    <row r="23" spans="1:23" ht="13.8" x14ac:dyDescent="0.25">
      <c r="A23" s="1" t="s">
        <v>150</v>
      </c>
      <c r="B23" s="1" t="s">
        <v>151</v>
      </c>
      <c r="C23" s="10" t="s">
        <v>76</v>
      </c>
      <c r="D23" s="9" t="s">
        <v>78</v>
      </c>
      <c r="E23" s="12" t="s">
        <v>152</v>
      </c>
      <c r="F23" s="1" t="s">
        <v>153</v>
      </c>
      <c r="G23" s="11" t="s">
        <v>64</v>
      </c>
      <c r="H23" s="11" t="s">
        <v>65</v>
      </c>
      <c r="I23" s="1" t="s">
        <v>78</v>
      </c>
      <c r="J23" s="5" t="str">
        <f>VLOOKUP(I23,店铺运营分组!$A$2:$B$12,2,FALSE)</f>
        <v>05</v>
      </c>
      <c r="K23" s="1" t="s">
        <v>78</v>
      </c>
      <c r="L23" s="11" t="s">
        <v>67</v>
      </c>
      <c r="M23" s="3" t="s">
        <v>68</v>
      </c>
      <c r="N23" s="3" t="s">
        <v>68</v>
      </c>
      <c r="O23" s="3" t="s">
        <v>68</v>
      </c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/>
      <c r="B25" s="1"/>
      <c r="C25" s="1"/>
      <c r="D25" s="1"/>
      <c r="E25" s="1"/>
      <c r="F25" s="1"/>
      <c r="G25" s="1"/>
      <c r="H25" s="1"/>
      <c r="I25" s="1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/>
      <c r="B26" s="1"/>
      <c r="C26" s="1"/>
      <c r="D26" s="1"/>
      <c r="E26" s="1"/>
      <c r="F26" s="1"/>
      <c r="G26" s="1"/>
      <c r="H26" s="1"/>
      <c r="I26" s="1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/>
      <c r="B27" s="1"/>
      <c r="C27" s="1"/>
      <c r="D27" s="1"/>
      <c r="E27" s="1"/>
      <c r="F27" s="1"/>
      <c r="G27" s="1"/>
      <c r="H27" s="1"/>
      <c r="I27" s="1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/>
      <c r="B28" s="1"/>
      <c r="C28" s="1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/>
      <c r="B29" s="1"/>
      <c r="C29" s="1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/>
      <c r="B30" s="1"/>
      <c r="C30" s="1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</sheetData>
  <phoneticPr fontId="89" type="noConversion"/>
  <pageMargins left="0.7" right="0.7" top="0.75" bottom="0.75" header="0.3" footer="0.3"/>
  <pageSetup paperSize="9" orientation="portrait" horizontalDpi="0" verticalDpi="0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D7F3-DB95-4213-8BD1-C545EF409A1E}">
  <sheetPr>
    <outlinePr summaryBelow="0" summaryRight="0"/>
  </sheetPr>
  <dimension ref="A1:B186"/>
  <sheetViews>
    <sheetView workbookViewId="0"/>
  </sheetViews>
  <sheetFormatPr defaultColWidth="14" defaultRowHeight="13.2" x14ac:dyDescent="0.25"/>
  <cols>
    <col min="1" max="1" width="10" customWidth="1"/>
    <col min="2" max="2" width="13" customWidth="1"/>
    <col min="3" max="3" width="7" customWidth="1"/>
    <col min="4" max="4" width="12" customWidth="1"/>
    <col min="5" max="5" width="24" customWidth="1"/>
    <col min="6" max="6" width="17" customWidth="1"/>
    <col min="7" max="7" width="18" customWidth="1"/>
    <col min="18" max="18" width="14" customWidth="1"/>
  </cols>
  <sheetData>
    <row r="1" spans="1:2" ht="19.05" customHeight="1" x14ac:dyDescent="0.25">
      <c r="A1" s="21" t="s">
        <v>154</v>
      </c>
      <c r="B1" s="20" t="s">
        <v>155</v>
      </c>
    </row>
    <row r="2" spans="1:2" x14ac:dyDescent="0.25">
      <c r="A2" s="21" t="s">
        <v>66</v>
      </c>
      <c r="B2" s="20" t="s">
        <v>156</v>
      </c>
    </row>
    <row r="3" spans="1:2" x14ac:dyDescent="0.25">
      <c r="A3" s="21" t="s">
        <v>73</v>
      </c>
      <c r="B3" s="20" t="s">
        <v>157</v>
      </c>
    </row>
    <row r="4" spans="1:2" x14ac:dyDescent="0.25">
      <c r="A4" s="21" t="s">
        <v>83</v>
      </c>
      <c r="B4" s="20" t="s">
        <v>158</v>
      </c>
    </row>
    <row r="5" spans="1:2" x14ac:dyDescent="0.25">
      <c r="A5" s="21" t="s">
        <v>96</v>
      </c>
      <c r="B5" s="20" t="s">
        <v>159</v>
      </c>
    </row>
    <row r="6" spans="1:2" x14ac:dyDescent="0.25">
      <c r="A6" s="21" t="s">
        <v>78</v>
      </c>
      <c r="B6" s="20" t="s">
        <v>152</v>
      </c>
    </row>
    <row r="7" spans="1:2" x14ac:dyDescent="0.25">
      <c r="A7" s="21" t="s">
        <v>103</v>
      </c>
      <c r="B7" s="20" t="s">
        <v>160</v>
      </c>
    </row>
    <row r="8" spans="1:2" x14ac:dyDescent="0.25">
      <c r="A8" s="21" t="s">
        <v>120</v>
      </c>
      <c r="B8" s="20" t="s">
        <v>161</v>
      </c>
    </row>
    <row r="9" spans="1:2" x14ac:dyDescent="0.25">
      <c r="A9" s="21" t="s">
        <v>133</v>
      </c>
      <c r="B9" s="20" t="s">
        <v>162</v>
      </c>
    </row>
    <row r="10" spans="1:2" x14ac:dyDescent="0.25">
      <c r="A10" s="21" t="s">
        <v>163</v>
      </c>
      <c r="B10" s="20" t="s">
        <v>164</v>
      </c>
    </row>
    <row r="11" spans="1:2" x14ac:dyDescent="0.25">
      <c r="A11" s="21" t="s">
        <v>109</v>
      </c>
      <c r="B11" s="20" t="s">
        <v>165</v>
      </c>
    </row>
    <row r="12" spans="1:2" x14ac:dyDescent="0.25">
      <c r="A12" s="21" t="s">
        <v>136</v>
      </c>
      <c r="B12" s="20" t="s">
        <v>166</v>
      </c>
    </row>
    <row r="13" spans="1:2" x14ac:dyDescent="0.25">
      <c r="A13" s="21" t="s">
        <v>167</v>
      </c>
      <c r="B13" s="20" t="s">
        <v>168</v>
      </c>
    </row>
    <row r="14" spans="1:2" x14ac:dyDescent="0.25">
      <c r="A14" s="21" t="s">
        <v>140</v>
      </c>
      <c r="B14" s="20" t="s">
        <v>169</v>
      </c>
    </row>
    <row r="15" spans="1:2" x14ac:dyDescent="0.25">
      <c r="A15" s="21" t="s">
        <v>115</v>
      </c>
      <c r="B15" s="20" t="s">
        <v>170</v>
      </c>
    </row>
    <row r="16" spans="1:2" x14ac:dyDescent="0.25">
      <c r="A16" s="21" t="s">
        <v>143</v>
      </c>
      <c r="B16" s="20" t="s">
        <v>171</v>
      </c>
    </row>
    <row r="17" spans="1:2" x14ac:dyDescent="0.25">
      <c r="A17" s="21" t="s">
        <v>172</v>
      </c>
      <c r="B17" s="20" t="s">
        <v>173</v>
      </c>
    </row>
    <row r="18" spans="1:2" x14ac:dyDescent="0.25">
      <c r="A18" s="21" t="s">
        <v>174</v>
      </c>
      <c r="B18" s="20" t="s">
        <v>175</v>
      </c>
    </row>
    <row r="19" spans="1:2" x14ac:dyDescent="0.25">
      <c r="A19" s="21" t="s">
        <v>176</v>
      </c>
      <c r="B19" s="20" t="s">
        <v>177</v>
      </c>
    </row>
    <row r="20" spans="1:2" x14ac:dyDescent="0.25">
      <c r="A20" s="21" t="s">
        <v>178</v>
      </c>
      <c r="B20" s="20" t="s">
        <v>179</v>
      </c>
    </row>
    <row r="21" spans="1:2" x14ac:dyDescent="0.25">
      <c r="A21" s="21" t="s">
        <v>180</v>
      </c>
      <c r="B21" s="20" t="s">
        <v>181</v>
      </c>
    </row>
    <row r="22" spans="1:2" x14ac:dyDescent="0.25">
      <c r="A22" s="21" t="s">
        <v>182</v>
      </c>
      <c r="B22" s="20" t="s">
        <v>183</v>
      </c>
    </row>
    <row r="23" spans="1:2" x14ac:dyDescent="0.25">
      <c r="A23" s="21" t="s">
        <v>184</v>
      </c>
      <c r="B23" s="20" t="s">
        <v>185</v>
      </c>
    </row>
    <row r="24" spans="1:2" x14ac:dyDescent="0.25">
      <c r="A24" s="21" t="s">
        <v>186</v>
      </c>
      <c r="B24" s="20" t="s">
        <v>187</v>
      </c>
    </row>
    <row r="25" spans="1:2" x14ac:dyDescent="0.25">
      <c r="A25" s="21" t="s">
        <v>188</v>
      </c>
      <c r="B25" s="20" t="s">
        <v>189</v>
      </c>
    </row>
    <row r="26" spans="1:2" x14ac:dyDescent="0.25">
      <c r="A26" s="21" t="s">
        <v>190</v>
      </c>
      <c r="B26" s="20" t="s">
        <v>191</v>
      </c>
    </row>
    <row r="27" spans="1:2" x14ac:dyDescent="0.25">
      <c r="A27" s="21" t="s">
        <v>192</v>
      </c>
      <c r="B27" s="20" t="s">
        <v>193</v>
      </c>
    </row>
    <row r="28" spans="1:2" x14ac:dyDescent="0.25">
      <c r="A28" s="21" t="s">
        <v>194</v>
      </c>
      <c r="B28" s="20" t="s">
        <v>195</v>
      </c>
    </row>
    <row r="29" spans="1:2" x14ac:dyDescent="0.25">
      <c r="A29" s="9" t="s">
        <v>110</v>
      </c>
      <c r="B29" s="19" t="s">
        <v>112</v>
      </c>
    </row>
    <row r="30" spans="1:2" x14ac:dyDescent="0.25">
      <c r="B30" s="19"/>
    </row>
    <row r="31" spans="1:2" x14ac:dyDescent="0.25">
      <c r="B31" s="19"/>
    </row>
    <row r="32" spans="1:2" x14ac:dyDescent="0.25">
      <c r="B32" s="19"/>
    </row>
    <row r="33" spans="2:2" x14ac:dyDescent="0.25">
      <c r="B33" s="19"/>
    </row>
    <row r="34" spans="2:2" x14ac:dyDescent="0.25">
      <c r="B34" s="19"/>
    </row>
    <row r="35" spans="2:2" x14ac:dyDescent="0.25">
      <c r="B35" s="19"/>
    </row>
    <row r="36" spans="2:2" x14ac:dyDescent="0.25">
      <c r="B36" s="19"/>
    </row>
    <row r="37" spans="2:2" x14ac:dyDescent="0.25">
      <c r="B37" s="19"/>
    </row>
    <row r="38" spans="2:2" x14ac:dyDescent="0.25">
      <c r="B38" s="19"/>
    </row>
    <row r="39" spans="2:2" x14ac:dyDescent="0.25">
      <c r="B39" s="19"/>
    </row>
    <row r="40" spans="2:2" x14ac:dyDescent="0.25">
      <c r="B40" s="19"/>
    </row>
    <row r="41" spans="2:2" x14ac:dyDescent="0.25">
      <c r="B41" s="19"/>
    </row>
    <row r="42" spans="2:2" x14ac:dyDescent="0.25">
      <c r="B42" s="19"/>
    </row>
    <row r="43" spans="2:2" x14ac:dyDescent="0.25">
      <c r="B43" s="19"/>
    </row>
    <row r="44" spans="2:2" x14ac:dyDescent="0.25">
      <c r="B44" s="19"/>
    </row>
    <row r="45" spans="2:2" x14ac:dyDescent="0.25">
      <c r="B45" s="19"/>
    </row>
    <row r="46" spans="2:2" x14ac:dyDescent="0.25">
      <c r="B46" s="19"/>
    </row>
    <row r="47" spans="2:2" x14ac:dyDescent="0.25">
      <c r="B47" s="19"/>
    </row>
    <row r="48" spans="2:2" x14ac:dyDescent="0.25">
      <c r="B48" s="19"/>
    </row>
    <row r="49" spans="2:2" x14ac:dyDescent="0.25">
      <c r="B49" s="19"/>
    </row>
    <row r="50" spans="2:2" x14ac:dyDescent="0.25">
      <c r="B50" s="19"/>
    </row>
    <row r="51" spans="2:2" x14ac:dyDescent="0.25">
      <c r="B51" s="19"/>
    </row>
    <row r="52" spans="2:2" x14ac:dyDescent="0.25">
      <c r="B52" s="19"/>
    </row>
    <row r="53" spans="2:2" x14ac:dyDescent="0.25">
      <c r="B53" s="19"/>
    </row>
    <row r="54" spans="2:2" x14ac:dyDescent="0.25">
      <c r="B54" s="19"/>
    </row>
    <row r="55" spans="2:2" x14ac:dyDescent="0.25">
      <c r="B55" s="19"/>
    </row>
    <row r="56" spans="2:2" x14ac:dyDescent="0.25">
      <c r="B56" s="19"/>
    </row>
    <row r="57" spans="2:2" x14ac:dyDescent="0.25">
      <c r="B57" s="19"/>
    </row>
    <row r="58" spans="2:2" x14ac:dyDescent="0.25">
      <c r="B58" s="19"/>
    </row>
    <row r="59" spans="2:2" x14ac:dyDescent="0.25">
      <c r="B59" s="19"/>
    </row>
    <row r="60" spans="2:2" x14ac:dyDescent="0.25">
      <c r="B60" s="19"/>
    </row>
    <row r="61" spans="2:2" x14ac:dyDescent="0.25">
      <c r="B61" s="19"/>
    </row>
    <row r="62" spans="2:2" x14ac:dyDescent="0.25">
      <c r="B62" s="19"/>
    </row>
    <row r="63" spans="2:2" x14ac:dyDescent="0.25">
      <c r="B63" s="19"/>
    </row>
    <row r="64" spans="2:2" x14ac:dyDescent="0.25">
      <c r="B64" s="19"/>
    </row>
    <row r="65" spans="2:2" x14ac:dyDescent="0.25">
      <c r="B65" s="19"/>
    </row>
    <row r="66" spans="2:2" x14ac:dyDescent="0.25">
      <c r="B66" s="19"/>
    </row>
    <row r="67" spans="2:2" x14ac:dyDescent="0.25">
      <c r="B67" s="19"/>
    </row>
    <row r="68" spans="2:2" x14ac:dyDescent="0.25">
      <c r="B68" s="19"/>
    </row>
    <row r="69" spans="2:2" x14ac:dyDescent="0.25">
      <c r="B69" s="19"/>
    </row>
    <row r="70" spans="2:2" x14ac:dyDescent="0.25">
      <c r="B70" s="19"/>
    </row>
    <row r="71" spans="2:2" x14ac:dyDescent="0.25">
      <c r="B71" s="19"/>
    </row>
    <row r="72" spans="2:2" x14ac:dyDescent="0.25">
      <c r="B72" s="19"/>
    </row>
    <row r="73" spans="2:2" x14ac:dyDescent="0.25">
      <c r="B73" s="19"/>
    </row>
    <row r="74" spans="2:2" x14ac:dyDescent="0.25">
      <c r="B74" s="19"/>
    </row>
    <row r="75" spans="2:2" x14ac:dyDescent="0.25">
      <c r="B75" s="19"/>
    </row>
    <row r="76" spans="2:2" x14ac:dyDescent="0.25">
      <c r="B76" s="19"/>
    </row>
    <row r="77" spans="2:2" x14ac:dyDescent="0.25">
      <c r="B77" s="19"/>
    </row>
    <row r="78" spans="2:2" x14ac:dyDescent="0.25">
      <c r="B78" s="19"/>
    </row>
    <row r="79" spans="2:2" x14ac:dyDescent="0.25">
      <c r="B79" s="19"/>
    </row>
    <row r="80" spans="2:2" x14ac:dyDescent="0.25">
      <c r="B80" s="19"/>
    </row>
    <row r="81" spans="2:2" x14ac:dyDescent="0.25">
      <c r="B81" s="19"/>
    </row>
    <row r="82" spans="2:2" x14ac:dyDescent="0.25">
      <c r="B82" s="19"/>
    </row>
    <row r="83" spans="2:2" x14ac:dyDescent="0.25">
      <c r="B83" s="19"/>
    </row>
    <row r="84" spans="2:2" x14ac:dyDescent="0.25">
      <c r="B84" s="19"/>
    </row>
    <row r="85" spans="2:2" x14ac:dyDescent="0.25">
      <c r="B85" s="19"/>
    </row>
    <row r="86" spans="2:2" x14ac:dyDescent="0.25">
      <c r="B86" s="19"/>
    </row>
    <row r="87" spans="2:2" x14ac:dyDescent="0.25">
      <c r="B87" s="19"/>
    </row>
    <row r="88" spans="2:2" x14ac:dyDescent="0.25">
      <c r="B88" s="19"/>
    </row>
    <row r="89" spans="2:2" x14ac:dyDescent="0.25">
      <c r="B89" s="19"/>
    </row>
    <row r="90" spans="2:2" x14ac:dyDescent="0.25">
      <c r="B90" s="19"/>
    </row>
    <row r="91" spans="2:2" x14ac:dyDescent="0.25">
      <c r="B91" s="19"/>
    </row>
    <row r="92" spans="2:2" x14ac:dyDescent="0.25">
      <c r="B92" s="19"/>
    </row>
    <row r="93" spans="2:2" x14ac:dyDescent="0.25">
      <c r="B93" s="19"/>
    </row>
    <row r="94" spans="2:2" x14ac:dyDescent="0.25">
      <c r="B94" s="19"/>
    </row>
    <row r="95" spans="2:2" x14ac:dyDescent="0.25">
      <c r="B95" s="19"/>
    </row>
    <row r="96" spans="2:2" x14ac:dyDescent="0.25">
      <c r="B96" s="19"/>
    </row>
    <row r="97" spans="2:2" x14ac:dyDescent="0.25">
      <c r="B97" s="19"/>
    </row>
    <row r="98" spans="2:2" x14ac:dyDescent="0.25">
      <c r="B98" s="19"/>
    </row>
    <row r="99" spans="2:2" x14ac:dyDescent="0.25">
      <c r="B99" s="19"/>
    </row>
    <row r="100" spans="2:2" x14ac:dyDescent="0.25">
      <c r="B100" s="19"/>
    </row>
    <row r="101" spans="2:2" x14ac:dyDescent="0.25">
      <c r="B101" s="19"/>
    </row>
    <row r="102" spans="2:2" x14ac:dyDescent="0.25">
      <c r="B102" s="19"/>
    </row>
    <row r="103" spans="2:2" x14ac:dyDescent="0.25">
      <c r="B103" s="19"/>
    </row>
    <row r="104" spans="2:2" x14ac:dyDescent="0.25">
      <c r="B104" s="19"/>
    </row>
    <row r="105" spans="2:2" x14ac:dyDescent="0.25">
      <c r="B105" s="19"/>
    </row>
    <row r="106" spans="2:2" x14ac:dyDescent="0.25">
      <c r="B106" s="19"/>
    </row>
    <row r="107" spans="2:2" x14ac:dyDescent="0.25">
      <c r="B107" s="19"/>
    </row>
    <row r="108" spans="2:2" x14ac:dyDescent="0.25">
      <c r="B108" s="19"/>
    </row>
    <row r="109" spans="2:2" x14ac:dyDescent="0.25">
      <c r="B109" s="19"/>
    </row>
    <row r="110" spans="2:2" x14ac:dyDescent="0.25">
      <c r="B110" s="19"/>
    </row>
    <row r="111" spans="2:2" x14ac:dyDescent="0.25">
      <c r="B111" s="19"/>
    </row>
    <row r="112" spans="2:2" x14ac:dyDescent="0.25">
      <c r="B112" s="19"/>
    </row>
    <row r="113" spans="2:2" x14ac:dyDescent="0.25">
      <c r="B113" s="19"/>
    </row>
    <row r="114" spans="2:2" x14ac:dyDescent="0.25">
      <c r="B114" s="19"/>
    </row>
    <row r="115" spans="2:2" x14ac:dyDescent="0.25">
      <c r="B115" s="19"/>
    </row>
    <row r="116" spans="2:2" x14ac:dyDescent="0.25">
      <c r="B116" s="19"/>
    </row>
    <row r="117" spans="2:2" x14ac:dyDescent="0.25">
      <c r="B117" s="19"/>
    </row>
    <row r="118" spans="2:2" x14ac:dyDescent="0.25">
      <c r="B118" s="19"/>
    </row>
    <row r="119" spans="2:2" x14ac:dyDescent="0.25">
      <c r="B119" s="19"/>
    </row>
    <row r="120" spans="2:2" x14ac:dyDescent="0.25">
      <c r="B120" s="19"/>
    </row>
    <row r="121" spans="2:2" x14ac:dyDescent="0.25">
      <c r="B121" s="19"/>
    </row>
    <row r="122" spans="2:2" x14ac:dyDescent="0.25">
      <c r="B122" s="19"/>
    </row>
    <row r="123" spans="2:2" x14ac:dyDescent="0.25">
      <c r="B123" s="19"/>
    </row>
    <row r="124" spans="2:2" x14ac:dyDescent="0.25">
      <c r="B124" s="19"/>
    </row>
    <row r="125" spans="2:2" x14ac:dyDescent="0.25">
      <c r="B125" s="19"/>
    </row>
    <row r="126" spans="2:2" x14ac:dyDescent="0.25">
      <c r="B126" s="19"/>
    </row>
    <row r="127" spans="2:2" x14ac:dyDescent="0.25">
      <c r="B127" s="19"/>
    </row>
    <row r="128" spans="2:2" x14ac:dyDescent="0.25">
      <c r="B128" s="19"/>
    </row>
    <row r="129" spans="2:2" x14ac:dyDescent="0.25">
      <c r="B129" s="19"/>
    </row>
    <row r="130" spans="2:2" x14ac:dyDescent="0.25">
      <c r="B130" s="19"/>
    </row>
    <row r="131" spans="2:2" x14ac:dyDescent="0.25">
      <c r="B131" s="19"/>
    </row>
    <row r="132" spans="2:2" x14ac:dyDescent="0.25">
      <c r="B132" s="19"/>
    </row>
    <row r="133" spans="2:2" x14ac:dyDescent="0.25">
      <c r="B133" s="19"/>
    </row>
    <row r="134" spans="2:2" x14ac:dyDescent="0.25">
      <c r="B134" s="19"/>
    </row>
    <row r="135" spans="2:2" x14ac:dyDescent="0.25">
      <c r="B135" s="19"/>
    </row>
    <row r="136" spans="2:2" x14ac:dyDescent="0.25">
      <c r="B136" s="19"/>
    </row>
    <row r="137" spans="2:2" x14ac:dyDescent="0.25">
      <c r="B137" s="19"/>
    </row>
    <row r="138" spans="2:2" x14ac:dyDescent="0.25">
      <c r="B138" s="19"/>
    </row>
    <row r="139" spans="2:2" x14ac:dyDescent="0.25">
      <c r="B139" s="19"/>
    </row>
    <row r="140" spans="2:2" x14ac:dyDescent="0.25">
      <c r="B140" s="19"/>
    </row>
    <row r="141" spans="2:2" x14ac:dyDescent="0.25">
      <c r="B141" s="19"/>
    </row>
    <row r="142" spans="2:2" x14ac:dyDescent="0.25">
      <c r="B142" s="19"/>
    </row>
    <row r="143" spans="2:2" x14ac:dyDescent="0.25">
      <c r="B143" s="19"/>
    </row>
    <row r="144" spans="2:2" x14ac:dyDescent="0.25">
      <c r="B144" s="19"/>
    </row>
    <row r="145" spans="2:2" x14ac:dyDescent="0.25">
      <c r="B145" s="19"/>
    </row>
    <row r="146" spans="2:2" x14ac:dyDescent="0.25">
      <c r="B146" s="19"/>
    </row>
    <row r="147" spans="2:2" x14ac:dyDescent="0.25">
      <c r="B147" s="19"/>
    </row>
    <row r="148" spans="2:2" x14ac:dyDescent="0.25">
      <c r="B148" s="19"/>
    </row>
    <row r="149" spans="2:2" x14ac:dyDescent="0.25">
      <c r="B149" s="19"/>
    </row>
    <row r="150" spans="2:2" x14ac:dyDescent="0.25">
      <c r="B150" s="19"/>
    </row>
    <row r="151" spans="2:2" x14ac:dyDescent="0.25">
      <c r="B151" s="19"/>
    </row>
    <row r="152" spans="2:2" x14ac:dyDescent="0.25">
      <c r="B152" s="19"/>
    </row>
    <row r="153" spans="2:2" x14ac:dyDescent="0.25">
      <c r="B153" s="19"/>
    </row>
    <row r="154" spans="2:2" x14ac:dyDescent="0.25">
      <c r="B154" s="19"/>
    </row>
    <row r="155" spans="2:2" x14ac:dyDescent="0.25">
      <c r="B155" s="19"/>
    </row>
    <row r="156" spans="2:2" x14ac:dyDescent="0.25">
      <c r="B156" s="19"/>
    </row>
    <row r="157" spans="2:2" x14ac:dyDescent="0.25">
      <c r="B157" s="19"/>
    </row>
    <row r="158" spans="2:2" x14ac:dyDescent="0.25">
      <c r="B158" s="19"/>
    </row>
    <row r="159" spans="2:2" x14ac:dyDescent="0.25">
      <c r="B159" s="19"/>
    </row>
    <row r="160" spans="2:2" x14ac:dyDescent="0.25">
      <c r="B160" s="19"/>
    </row>
    <row r="161" spans="2:2" x14ac:dyDescent="0.25">
      <c r="B161" s="19"/>
    </row>
    <row r="162" spans="2:2" x14ac:dyDescent="0.25">
      <c r="B162" s="19"/>
    </row>
    <row r="163" spans="2:2" x14ac:dyDescent="0.25">
      <c r="B163" s="19"/>
    </row>
    <row r="164" spans="2:2" x14ac:dyDescent="0.25">
      <c r="B164" s="19"/>
    </row>
    <row r="165" spans="2:2" x14ac:dyDescent="0.25">
      <c r="B165" s="19"/>
    </row>
    <row r="166" spans="2:2" x14ac:dyDescent="0.25">
      <c r="B166" s="19"/>
    </row>
    <row r="167" spans="2:2" x14ac:dyDescent="0.25">
      <c r="B167" s="19"/>
    </row>
    <row r="168" spans="2:2" x14ac:dyDescent="0.25">
      <c r="B168" s="19"/>
    </row>
    <row r="169" spans="2:2" x14ac:dyDescent="0.25">
      <c r="B169" s="19"/>
    </row>
    <row r="170" spans="2:2" x14ac:dyDescent="0.25">
      <c r="B170" s="19"/>
    </row>
    <row r="171" spans="2:2" x14ac:dyDescent="0.25">
      <c r="B171" s="19"/>
    </row>
    <row r="172" spans="2:2" x14ac:dyDescent="0.25">
      <c r="B172" s="19"/>
    </row>
    <row r="173" spans="2:2" x14ac:dyDescent="0.25">
      <c r="B173" s="19"/>
    </row>
    <row r="174" spans="2:2" x14ac:dyDescent="0.25">
      <c r="B174" s="19"/>
    </row>
    <row r="175" spans="2:2" x14ac:dyDescent="0.25">
      <c r="B175" s="19"/>
    </row>
    <row r="176" spans="2:2" x14ac:dyDescent="0.25">
      <c r="B176" s="19"/>
    </row>
    <row r="177" spans="2:2" x14ac:dyDescent="0.25">
      <c r="B177" s="19"/>
    </row>
    <row r="178" spans="2:2" x14ac:dyDescent="0.25">
      <c r="B178" s="19"/>
    </row>
    <row r="179" spans="2:2" x14ac:dyDescent="0.25">
      <c r="B179" s="19"/>
    </row>
    <row r="180" spans="2:2" x14ac:dyDescent="0.25">
      <c r="B180" s="19"/>
    </row>
    <row r="181" spans="2:2" x14ac:dyDescent="0.25">
      <c r="B181" s="19"/>
    </row>
    <row r="182" spans="2:2" x14ac:dyDescent="0.25">
      <c r="B182" s="19"/>
    </row>
    <row r="183" spans="2:2" x14ac:dyDescent="0.25">
      <c r="B183" s="19"/>
    </row>
    <row r="184" spans="2:2" x14ac:dyDescent="0.25">
      <c r="B184" s="19"/>
    </row>
    <row r="185" spans="2:2" x14ac:dyDescent="0.25">
      <c r="B185" s="19"/>
    </row>
    <row r="186" spans="2:2" x14ac:dyDescent="0.25">
      <c r="B186" s="19"/>
    </row>
  </sheetData>
  <phoneticPr fontId="89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1B6C-D546-4360-AD8E-58B216B45F20}">
  <sheetPr>
    <outlinePr summaryBelow="0" summaryRight="0"/>
  </sheetPr>
  <dimension ref="A1:U217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1" width="21" customWidth="1"/>
    <col min="2" max="2" width="14" customWidth="1"/>
    <col min="3" max="3" width="10" customWidth="1"/>
    <col min="4" max="4" width="14" customWidth="1"/>
    <col min="5" max="5" width="28" customWidth="1"/>
    <col min="6" max="6" width="19" customWidth="1"/>
    <col min="7" max="7" width="29" customWidth="1"/>
    <col min="8" max="8" width="19" customWidth="1"/>
    <col min="9" max="9" width="39" customWidth="1"/>
    <col min="10" max="21" width="14" customWidth="1"/>
  </cols>
  <sheetData>
    <row r="1" spans="1:21" x14ac:dyDescent="0.25">
      <c r="A1" s="27" t="s">
        <v>196</v>
      </c>
      <c r="B1" s="26" t="s">
        <v>46</v>
      </c>
      <c r="C1" s="28" t="s">
        <v>47</v>
      </c>
      <c r="D1" s="26" t="s">
        <v>155</v>
      </c>
      <c r="E1" s="29" t="s">
        <v>197</v>
      </c>
      <c r="F1" s="26" t="s">
        <v>198</v>
      </c>
      <c r="G1" s="30" t="s">
        <v>199</v>
      </c>
      <c r="H1" s="26" t="s">
        <v>198</v>
      </c>
      <c r="I1" s="2" t="s">
        <v>200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24" t="s">
        <v>60</v>
      </c>
      <c r="B2" s="24" t="s">
        <v>61</v>
      </c>
      <c r="C2" s="23" t="str">
        <f>VLOOKUP(B2,收集数据表!$B$2:$D$22,3,FALSE)</f>
        <v>天猫</v>
      </c>
      <c r="D2" s="23" t="str">
        <f>VLOOKUP(B2,收集数据表!$B$2:$E$22,4,FALSE)</f>
        <v>01</v>
      </c>
      <c r="E2" s="4" t="s">
        <v>201</v>
      </c>
      <c r="F2" s="24" t="s">
        <v>202</v>
      </c>
      <c r="G2" s="25" t="s">
        <v>201</v>
      </c>
      <c r="H2" s="2" t="s">
        <v>203</v>
      </c>
      <c r="I2" s="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4" t="s">
        <v>60</v>
      </c>
      <c r="B3" s="24" t="s">
        <v>61</v>
      </c>
      <c r="C3" s="23" t="str">
        <f>VLOOKUP(B3,收集数据表!$B$2:$D$22,3,FALSE)</f>
        <v>天猫</v>
      </c>
      <c r="D3" s="23" t="str">
        <f>VLOOKUP(B3,收集数据表!$B$2:$E$22,4,FALSE)</f>
        <v>01</v>
      </c>
      <c r="E3" s="4" t="s">
        <v>204</v>
      </c>
      <c r="F3" s="24" t="s">
        <v>205</v>
      </c>
      <c r="G3" s="25" t="s">
        <v>204</v>
      </c>
      <c r="H3" s="2" t="s">
        <v>206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60</v>
      </c>
      <c r="B4" s="24" t="s">
        <v>61</v>
      </c>
      <c r="C4" s="23" t="str">
        <f>VLOOKUP(B4,收集数据表!$B$2:$D$22,3,FALSE)</f>
        <v>天猫</v>
      </c>
      <c r="D4" s="23" t="str">
        <f>VLOOKUP(B4,收集数据表!$B$2:$E$22,4,FALSE)</f>
        <v>01</v>
      </c>
      <c r="E4" s="8" t="s">
        <v>207</v>
      </c>
      <c r="F4" s="24" t="s">
        <v>208</v>
      </c>
      <c r="G4" s="25" t="s">
        <v>207</v>
      </c>
      <c r="H4" s="2" t="s">
        <v>209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24" t="s">
        <v>60</v>
      </c>
      <c r="B5" s="24" t="s">
        <v>61</v>
      </c>
      <c r="C5" s="23" t="str">
        <f>VLOOKUP(B5,收集数据表!$B$2:$D$22,3,FALSE)</f>
        <v>天猫</v>
      </c>
      <c r="D5" s="23" t="str">
        <f>VLOOKUP(B5,收集数据表!$B$2:$E$22,4,FALSE)</f>
        <v>01</v>
      </c>
      <c r="E5" s="8" t="s">
        <v>210</v>
      </c>
      <c r="F5" s="24" t="s">
        <v>211</v>
      </c>
      <c r="G5" s="25" t="s">
        <v>210</v>
      </c>
      <c r="H5" s="24" t="s">
        <v>212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4" t="s">
        <v>69</v>
      </c>
      <c r="B6" s="24" t="s">
        <v>70</v>
      </c>
      <c r="C6" s="23" t="str">
        <f>VLOOKUP(B6,收集数据表!$B$2:$D$22,3,FALSE)</f>
        <v>抖音</v>
      </c>
      <c r="D6" s="23" t="str">
        <f>VLOOKUP(B6,收集数据表!$B$2:$E$22,4,FALSE)</f>
        <v>02</v>
      </c>
      <c r="E6" s="31" t="s">
        <v>213</v>
      </c>
      <c r="F6" s="32" t="s">
        <v>214</v>
      </c>
      <c r="G6" s="25" t="s">
        <v>215</v>
      </c>
      <c r="H6" s="32" t="s">
        <v>216</v>
      </c>
      <c r="I6" s="1" t="s">
        <v>217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4" t="s">
        <v>69</v>
      </c>
      <c r="B7" s="24" t="s">
        <v>70</v>
      </c>
      <c r="C7" s="23" t="str">
        <f>VLOOKUP(B7,收集数据表!$B$2:$D$22,3,FALSE)</f>
        <v>抖音</v>
      </c>
      <c r="D7" s="23" t="str">
        <f>VLOOKUP(B7,收集数据表!$B$2:$E$22,4,FALSE)</f>
        <v>02</v>
      </c>
      <c r="E7" s="31" t="s">
        <v>213</v>
      </c>
      <c r="F7" s="32" t="s">
        <v>214</v>
      </c>
      <c r="G7" s="25" t="s">
        <v>218</v>
      </c>
      <c r="H7" s="32" t="s">
        <v>219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4" t="s">
        <v>69</v>
      </c>
      <c r="B8" s="24" t="s">
        <v>70</v>
      </c>
      <c r="C8" s="23" t="str">
        <f>VLOOKUP(B8,收集数据表!$B$2:$D$22,3,FALSE)</f>
        <v>抖音</v>
      </c>
      <c r="D8" s="23" t="str">
        <f>VLOOKUP(B8,收集数据表!$B$2:$E$22,4,FALSE)</f>
        <v>02</v>
      </c>
      <c r="E8" s="31" t="s">
        <v>213</v>
      </c>
      <c r="F8" s="32" t="s">
        <v>214</v>
      </c>
      <c r="G8" s="25" t="s">
        <v>220</v>
      </c>
      <c r="H8" s="32" t="s">
        <v>221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24" t="s">
        <v>69</v>
      </c>
      <c r="B9" s="24" t="s">
        <v>70</v>
      </c>
      <c r="C9" s="23" t="str">
        <f>VLOOKUP(B9,收集数据表!$B$2:$D$22,3,FALSE)</f>
        <v>抖音</v>
      </c>
      <c r="D9" s="23" t="str">
        <f>VLOOKUP(B9,收集数据表!$B$2:$E$22,4,FALSE)</f>
        <v>02</v>
      </c>
      <c r="E9" s="31" t="s">
        <v>213</v>
      </c>
      <c r="F9" s="32" t="s">
        <v>214</v>
      </c>
      <c r="G9" s="25" t="s">
        <v>222</v>
      </c>
      <c r="H9" s="32" t="s">
        <v>223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24" t="s">
        <v>69</v>
      </c>
      <c r="B10" s="24" t="s">
        <v>70</v>
      </c>
      <c r="C10" s="23" t="str">
        <f>VLOOKUP(B10,收集数据表!$B$2:$D$22,3,FALSE)</f>
        <v>抖音</v>
      </c>
      <c r="D10" s="23" t="str">
        <f>VLOOKUP(B10,收集数据表!$B$2:$E$22,4,FALSE)</f>
        <v>02</v>
      </c>
      <c r="E10" s="31" t="s">
        <v>213</v>
      </c>
      <c r="F10" s="32" t="s">
        <v>214</v>
      </c>
      <c r="G10" s="25" t="s">
        <v>224</v>
      </c>
      <c r="H10" s="32" t="s">
        <v>225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24" t="s">
        <v>69</v>
      </c>
      <c r="B11" s="24" t="s">
        <v>70</v>
      </c>
      <c r="C11" s="23" t="str">
        <f>VLOOKUP(B11,收集数据表!$B$2:$D$22,3,FALSE)</f>
        <v>抖音</v>
      </c>
      <c r="D11" s="23" t="str">
        <f>VLOOKUP(B11,收集数据表!$B$2:$E$22,4,FALSE)</f>
        <v>02</v>
      </c>
      <c r="E11" s="31" t="s">
        <v>213</v>
      </c>
      <c r="F11" s="32" t="s">
        <v>214</v>
      </c>
      <c r="G11" s="25" t="s">
        <v>226</v>
      </c>
      <c r="H11" s="32" t="s">
        <v>227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24" t="s">
        <v>69</v>
      </c>
      <c r="B12" s="24" t="s">
        <v>70</v>
      </c>
      <c r="C12" s="23" t="str">
        <f>VLOOKUP(B12,收集数据表!$B$2:$D$22,3,FALSE)</f>
        <v>抖音</v>
      </c>
      <c r="D12" s="23" t="str">
        <f>VLOOKUP(B12,收集数据表!$B$2:$E$22,4,FALSE)</f>
        <v>02</v>
      </c>
      <c r="E12" s="31" t="s">
        <v>213</v>
      </c>
      <c r="F12" s="32" t="s">
        <v>214</v>
      </c>
      <c r="G12" s="25" t="s">
        <v>228</v>
      </c>
      <c r="H12" s="32" t="s">
        <v>229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24" t="s">
        <v>69</v>
      </c>
      <c r="B13" s="24" t="s">
        <v>70</v>
      </c>
      <c r="C13" s="23" t="str">
        <f>VLOOKUP(B13,收集数据表!$B$2:$D$22,3,FALSE)</f>
        <v>抖音</v>
      </c>
      <c r="D13" s="23" t="str">
        <f>VLOOKUP(B13,收集数据表!$B$2:$E$22,4,FALSE)</f>
        <v>02</v>
      </c>
      <c r="E13" s="31" t="s">
        <v>213</v>
      </c>
      <c r="F13" s="32" t="s">
        <v>214</v>
      </c>
      <c r="G13" s="25" t="s">
        <v>230</v>
      </c>
      <c r="H13" s="32" t="s">
        <v>231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24" t="s">
        <v>69</v>
      </c>
      <c r="B14" s="24" t="s">
        <v>70</v>
      </c>
      <c r="C14" s="23" t="str">
        <f>VLOOKUP(B14,收集数据表!$B$2:$D$22,3,FALSE)</f>
        <v>抖音</v>
      </c>
      <c r="D14" s="23" t="str">
        <f>VLOOKUP(B14,收集数据表!$B$2:$E$22,4,FALSE)</f>
        <v>02</v>
      </c>
      <c r="E14" s="31" t="s">
        <v>213</v>
      </c>
      <c r="F14" s="32" t="s">
        <v>214</v>
      </c>
      <c r="G14" s="25" t="s">
        <v>232</v>
      </c>
      <c r="H14" s="32" t="s">
        <v>233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24" t="s">
        <v>69</v>
      </c>
      <c r="B15" s="24" t="s">
        <v>70</v>
      </c>
      <c r="C15" s="23" t="str">
        <f>VLOOKUP(B15,收集数据表!$B$2:$D$22,3,FALSE)</f>
        <v>抖音</v>
      </c>
      <c r="D15" s="23" t="str">
        <f>VLOOKUP(B15,收集数据表!$B$2:$E$22,4,FALSE)</f>
        <v>02</v>
      </c>
      <c r="E15" s="4" t="s">
        <v>234</v>
      </c>
      <c r="F15" s="24" t="s">
        <v>235</v>
      </c>
      <c r="G15" s="25" t="s">
        <v>234</v>
      </c>
      <c r="H15" s="24" t="s">
        <v>236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24" t="s">
        <v>69</v>
      </c>
      <c r="B16" s="24" t="s">
        <v>70</v>
      </c>
      <c r="C16" s="23" t="str">
        <f>VLOOKUP(B16,收集数据表!$B$2:$D$22,3,FALSE)</f>
        <v>抖音</v>
      </c>
      <c r="D16" s="23" t="str">
        <f>VLOOKUP(B16,收集数据表!$B$2:$E$22,4,FALSE)</f>
        <v>02</v>
      </c>
      <c r="E16" s="8" t="s">
        <v>237</v>
      </c>
      <c r="F16" s="24" t="s">
        <v>238</v>
      </c>
      <c r="G16" s="25" t="s">
        <v>237</v>
      </c>
      <c r="H16" s="24" t="s">
        <v>239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24" t="s">
        <v>69</v>
      </c>
      <c r="B17" s="24" t="s">
        <v>70</v>
      </c>
      <c r="C17" s="23" t="str">
        <f>VLOOKUP(B17,收集数据表!$B$2:$D$22,3,FALSE)</f>
        <v>抖音</v>
      </c>
      <c r="D17" s="23" t="str">
        <f>VLOOKUP(B17,收集数据表!$B$2:$E$22,4,FALSE)</f>
        <v>02</v>
      </c>
      <c r="E17" s="8" t="s">
        <v>240</v>
      </c>
      <c r="F17" s="24" t="s">
        <v>241</v>
      </c>
      <c r="G17" s="25" t="s">
        <v>240</v>
      </c>
      <c r="H17" s="24" t="s">
        <v>242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24" t="s">
        <v>69</v>
      </c>
      <c r="B18" s="24" t="s">
        <v>70</v>
      </c>
      <c r="C18" s="23" t="str">
        <f>VLOOKUP(B18,收集数据表!$B$2:$D$22,3,FALSE)</f>
        <v>抖音</v>
      </c>
      <c r="D18" s="23" t="str">
        <f>VLOOKUP(B18,收集数据表!$B$2:$E$22,4,FALSE)</f>
        <v>02</v>
      </c>
      <c r="E18" s="4" t="s">
        <v>243</v>
      </c>
      <c r="F18" s="24" t="s">
        <v>244</v>
      </c>
      <c r="G18" s="25" t="s">
        <v>243</v>
      </c>
      <c r="H18" s="24" t="s">
        <v>245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24" t="s">
        <v>74</v>
      </c>
      <c r="B19" s="24" t="s">
        <v>75</v>
      </c>
      <c r="C19" s="23" t="str">
        <f>VLOOKUP(B19,收集数据表!$B$2:$D$22,3,FALSE)</f>
        <v>快手</v>
      </c>
      <c r="D19" s="23" t="str">
        <f>VLOOKUP(B19,收集数据表!$B$2:$E$22,4,FALSE)</f>
        <v>05</v>
      </c>
      <c r="E19" s="4" t="s">
        <v>246</v>
      </c>
      <c r="F19" s="24" t="s">
        <v>247</v>
      </c>
      <c r="G19" s="25" t="s">
        <v>246</v>
      </c>
      <c r="H19" s="24" t="s">
        <v>248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24" t="s">
        <v>74</v>
      </c>
      <c r="B20" s="24" t="s">
        <v>75</v>
      </c>
      <c r="C20" s="23" t="str">
        <f>VLOOKUP(B20,收集数据表!$B$2:$D$22,3,FALSE)</f>
        <v>快手</v>
      </c>
      <c r="D20" s="23" t="str">
        <f>VLOOKUP(B20,收集数据表!$B$2:$E$22,4,FALSE)</f>
        <v>05</v>
      </c>
      <c r="E20" s="4" t="s">
        <v>249</v>
      </c>
      <c r="F20" s="24" t="s">
        <v>250</v>
      </c>
      <c r="G20" s="25" t="s">
        <v>249</v>
      </c>
      <c r="H20" s="24" t="s">
        <v>251</v>
      </c>
      <c r="I20" s="1" t="s">
        <v>252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24" t="s">
        <v>144</v>
      </c>
      <c r="B21" s="24" t="s">
        <v>145</v>
      </c>
      <c r="C21" s="23" t="str">
        <f>VLOOKUP(B21,收集数据表!$B$2:$D$22,3,FALSE)</f>
        <v>快手</v>
      </c>
      <c r="D21" s="23" t="str">
        <f>VLOOKUP(B21,收集数据表!$B$2:$E$22,4,FALSE)</f>
        <v>05</v>
      </c>
      <c r="E21" s="4" t="s">
        <v>146</v>
      </c>
      <c r="F21" s="24" t="s">
        <v>253</v>
      </c>
      <c r="G21" s="25" t="s">
        <v>146</v>
      </c>
      <c r="H21" s="24" t="s">
        <v>254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24" t="s">
        <v>79</v>
      </c>
      <c r="B22" s="24" t="s">
        <v>80</v>
      </c>
      <c r="C22" s="23" t="str">
        <f>VLOOKUP(B22,收集数据表!$B$2:$D$22,3,FALSE)</f>
        <v>京东</v>
      </c>
      <c r="D22" s="23" t="str">
        <f>VLOOKUP(B22,收集数据表!$B$2:$E$22,4,FALSE)</f>
        <v>03</v>
      </c>
      <c r="E22" s="4" t="s">
        <v>79</v>
      </c>
      <c r="F22" s="24" t="s">
        <v>255</v>
      </c>
      <c r="G22" s="25" t="s">
        <v>79</v>
      </c>
      <c r="H22" s="24" t="s">
        <v>256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24" t="s">
        <v>85</v>
      </c>
      <c r="B23" s="24" t="s">
        <v>86</v>
      </c>
      <c r="C23" s="23" t="str">
        <f>VLOOKUP(B23,收集数据表!$B$2:$D$22,3,FALSE)</f>
        <v>京东</v>
      </c>
      <c r="D23" s="23" t="str">
        <f>VLOOKUP(B23,收集数据表!$B$2:$E$22,4,FALSE)</f>
        <v>03</v>
      </c>
      <c r="E23" s="4" t="s">
        <v>85</v>
      </c>
      <c r="F23" s="24" t="s">
        <v>257</v>
      </c>
      <c r="G23" s="25" t="s">
        <v>85</v>
      </c>
      <c r="H23" s="24" t="s">
        <v>258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24" t="s">
        <v>91</v>
      </c>
      <c r="B24" s="24" t="s">
        <v>92</v>
      </c>
      <c r="C24" s="23" t="str">
        <f>VLOOKUP(B24,收集数据表!$B$2:$D$22,3,FALSE)</f>
        <v>唯品会</v>
      </c>
      <c r="D24" s="23" t="str">
        <f>VLOOKUP(B24,收集数据表!$B$2:$E$22,4,FALSE)</f>
        <v>04</v>
      </c>
      <c r="E24" s="4" t="s">
        <v>91</v>
      </c>
      <c r="F24" s="24" t="s">
        <v>259</v>
      </c>
      <c r="G24" s="25" t="s">
        <v>91</v>
      </c>
      <c r="H24" s="24" t="s">
        <v>260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24" t="s">
        <v>97</v>
      </c>
      <c r="B25" s="24" t="s">
        <v>98</v>
      </c>
      <c r="C25" s="23" t="str">
        <f>VLOOKUP(B25,收集数据表!$B$2:$D$22,3,FALSE)</f>
        <v>天猫</v>
      </c>
      <c r="D25" s="23" t="str">
        <f>VLOOKUP(B25,收集数据表!$B$2:$E$22,4,FALSE)</f>
        <v>01</v>
      </c>
      <c r="E25" s="4" t="s">
        <v>97</v>
      </c>
      <c r="F25" s="24" t="s">
        <v>261</v>
      </c>
      <c r="G25" s="25" t="s">
        <v>97</v>
      </c>
      <c r="H25" s="24" t="s">
        <v>262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24" t="s">
        <v>101</v>
      </c>
      <c r="B26" s="24" t="s">
        <v>102</v>
      </c>
      <c r="C26" s="23" t="str">
        <f>VLOOKUP(B26,收集数据表!$B$2:$D$22,3,FALSE)</f>
        <v>得物</v>
      </c>
      <c r="D26" s="23" t="str">
        <f>VLOOKUP(B26,收集数据表!$B$2:$E$22,4,FALSE)</f>
        <v>06</v>
      </c>
      <c r="E26" s="4" t="s">
        <v>101</v>
      </c>
      <c r="F26" s="24" t="s">
        <v>263</v>
      </c>
      <c r="G26" s="25" t="s">
        <v>101</v>
      </c>
      <c r="H26" s="24" t="s">
        <v>264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24" t="s">
        <v>106</v>
      </c>
      <c r="B27" s="24" t="s">
        <v>107</v>
      </c>
      <c r="C27" s="23" t="str">
        <f>VLOOKUP(B27,收集数据表!$B$2:$D$22,3,FALSE)</f>
        <v>考拉</v>
      </c>
      <c r="D27" s="23" t="str">
        <f>VLOOKUP(B27,收集数据表!$B$2:$E$22,4,FALSE)</f>
        <v>10</v>
      </c>
      <c r="E27" s="4" t="s">
        <v>106</v>
      </c>
      <c r="F27" s="24" t="s">
        <v>265</v>
      </c>
      <c r="G27" s="25" t="s">
        <v>106</v>
      </c>
      <c r="H27" s="24" t="s">
        <v>266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33" t="s">
        <v>110</v>
      </c>
      <c r="B28" s="33" t="s">
        <v>111</v>
      </c>
      <c r="C28" s="34" t="str">
        <f>VLOOKUP(B28,收集数据表!$B$2:$D$22,3,FALSE)</f>
        <v>京东到家</v>
      </c>
      <c r="D28" s="34" t="str">
        <f>VLOOKUP(B28,收集数据表!$B$2:$E$22,4,FALSE)</f>
        <v>28</v>
      </c>
      <c r="E28" s="8" t="s">
        <v>110</v>
      </c>
      <c r="F28" s="33" t="s">
        <v>267</v>
      </c>
      <c r="G28" s="25" t="s">
        <v>110</v>
      </c>
      <c r="H28" s="33" t="s">
        <v>268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5">
      <c r="A29" s="24" t="s">
        <v>113</v>
      </c>
      <c r="B29" s="24" t="s">
        <v>114</v>
      </c>
      <c r="C29" s="23" t="str">
        <f>VLOOKUP(B29,收集数据表!$B$2:$D$22,3,FALSE)</f>
        <v>有赞</v>
      </c>
      <c r="D29" s="23" t="str">
        <f>VLOOKUP(B29,收集数据表!$B$2:$E$22,4,FALSE)</f>
        <v>14</v>
      </c>
      <c r="E29" s="4" t="s">
        <v>113</v>
      </c>
      <c r="F29" s="24" t="s">
        <v>269</v>
      </c>
      <c r="G29" s="25" t="s">
        <v>113</v>
      </c>
      <c r="H29" s="24" t="s">
        <v>270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24" t="s">
        <v>118</v>
      </c>
      <c r="B30" s="24" t="s">
        <v>119</v>
      </c>
      <c r="C30" s="23" t="str">
        <f>VLOOKUP(B30,收集数据表!$B$2:$D$22,3,FALSE)</f>
        <v>拼多多</v>
      </c>
      <c r="D30" s="23" t="str">
        <f>VLOOKUP(B30,收集数据表!$B$2:$E$22,4,FALSE)</f>
        <v>07</v>
      </c>
      <c r="E30" s="4" t="s">
        <v>118</v>
      </c>
      <c r="F30" s="24" t="s">
        <v>271</v>
      </c>
      <c r="G30" s="25" t="s">
        <v>118</v>
      </c>
      <c r="H30" s="24" t="s">
        <v>272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24" t="s">
        <v>122</v>
      </c>
      <c r="B31" s="24" t="s">
        <v>123</v>
      </c>
      <c r="C31" s="23" t="str">
        <f>VLOOKUP(B31,收集数据表!$B$2:$D$22,3,FALSE)</f>
        <v>拼多多</v>
      </c>
      <c r="D31" s="23" t="str">
        <f>VLOOKUP(B31,收集数据表!$B$2:$E$22,4,FALSE)</f>
        <v>07</v>
      </c>
      <c r="E31" s="4" t="s">
        <v>122</v>
      </c>
      <c r="F31" s="2" t="s">
        <v>273</v>
      </c>
      <c r="G31" s="25" t="s">
        <v>122</v>
      </c>
      <c r="H31" s="2" t="s">
        <v>274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24" t="s">
        <v>125</v>
      </c>
      <c r="B32" s="24" t="s">
        <v>126</v>
      </c>
      <c r="C32" s="23" t="str">
        <f>VLOOKUP(B32,收集数据表!$B$2:$D$22,3,FALSE)</f>
        <v>拼多多</v>
      </c>
      <c r="D32" s="23" t="str">
        <f>VLOOKUP(B32,收集数据表!$B$2:$E$22,4,FALSE)</f>
        <v>07</v>
      </c>
      <c r="E32" s="4" t="s">
        <v>125</v>
      </c>
      <c r="F32" s="24" t="s">
        <v>275</v>
      </c>
      <c r="G32" s="25" t="s">
        <v>125</v>
      </c>
      <c r="H32" s="24" t="s">
        <v>276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24" t="s">
        <v>127</v>
      </c>
      <c r="B33" s="24" t="s">
        <v>128</v>
      </c>
      <c r="C33" s="23" t="str">
        <f>VLOOKUP(B33,收集数据表!$B$2:$D$22,3,FALSE)</f>
        <v>拼多多</v>
      </c>
      <c r="D33" s="23" t="str">
        <f>VLOOKUP(B33,收集数据表!$B$2:$E$22,4,FALSE)</f>
        <v>07</v>
      </c>
      <c r="E33" s="4" t="s">
        <v>127</v>
      </c>
      <c r="F33" s="24" t="s">
        <v>277</v>
      </c>
      <c r="G33" s="25" t="s">
        <v>127</v>
      </c>
      <c r="H33" s="24" t="s">
        <v>278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24" t="s">
        <v>130</v>
      </c>
      <c r="B34" s="24" t="s">
        <v>131</v>
      </c>
      <c r="C34" s="23" t="str">
        <f>VLOOKUP(B34,收集数据表!$B$2:$D$22,3,FALSE)</f>
        <v>小红书</v>
      </c>
      <c r="D34" s="23" t="str">
        <f>VLOOKUP(B34,收集数据表!$B$2:$E$22,4,FALSE)</f>
        <v>08</v>
      </c>
      <c r="E34" s="4" t="s">
        <v>130</v>
      </c>
      <c r="F34" s="24" t="s">
        <v>279</v>
      </c>
      <c r="G34" s="25" t="s">
        <v>130</v>
      </c>
      <c r="H34" s="24" t="s">
        <v>280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24" t="s">
        <v>134</v>
      </c>
      <c r="B35" s="24" t="s">
        <v>135</v>
      </c>
      <c r="C35" s="23" t="str">
        <f>VLOOKUP(B35,收集数据表!$B$2:$D$22,3,FALSE)</f>
        <v>凯德星</v>
      </c>
      <c r="D35" s="23" t="str">
        <f>VLOOKUP(B35,收集数据表!$B$2:$E$22,4,FALSE)</f>
        <v>11</v>
      </c>
      <c r="E35" s="4" t="s">
        <v>134</v>
      </c>
      <c r="F35" s="2" t="s">
        <v>281</v>
      </c>
      <c r="G35" s="25" t="s">
        <v>134</v>
      </c>
      <c r="H35" s="2" t="s">
        <v>282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24" t="s">
        <v>141</v>
      </c>
      <c r="B36" s="24" t="s">
        <v>142</v>
      </c>
      <c r="C36" s="23" t="str">
        <f>VLOOKUP(B36,收集数据表!$B$2:$D$22,3,FALSE)</f>
        <v>会员店铺</v>
      </c>
      <c r="D36" s="23" t="str">
        <f>VLOOKUP(B36,收集数据表!$B$2:$E$22,4,FALSE)</f>
        <v>15</v>
      </c>
      <c r="E36" s="4" t="s">
        <v>141</v>
      </c>
      <c r="F36" s="24" t="s">
        <v>283</v>
      </c>
      <c r="G36" s="25" t="s">
        <v>141</v>
      </c>
      <c r="H36" s="24" t="s">
        <v>284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24" t="s">
        <v>147</v>
      </c>
      <c r="B37" s="24" t="s">
        <v>148</v>
      </c>
      <c r="C37" s="23" t="str">
        <f>VLOOKUP(B37,收集数据表!$B$2:$D$22,3,FALSE)</f>
        <v>微信</v>
      </c>
      <c r="D37" s="23" t="str">
        <f>VLOOKUP(B37,收集数据表!$B$2:$E$22,4,FALSE)</f>
        <v>13</v>
      </c>
      <c r="E37" s="4" t="s">
        <v>147</v>
      </c>
      <c r="F37" s="24" t="s">
        <v>285</v>
      </c>
      <c r="G37" s="25" t="s">
        <v>147</v>
      </c>
      <c r="H37" s="24" t="s">
        <v>286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2" t="s">
        <v>150</v>
      </c>
      <c r="B38" s="2" t="s">
        <v>151</v>
      </c>
      <c r="C38" s="23" t="s">
        <v>78</v>
      </c>
      <c r="D38" s="2" t="s">
        <v>152</v>
      </c>
      <c r="E38" s="1" t="s">
        <v>150</v>
      </c>
      <c r="F38" s="2" t="s">
        <v>287</v>
      </c>
      <c r="G38" s="1" t="s">
        <v>150</v>
      </c>
      <c r="H38" s="2" t="s">
        <v>288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2"/>
      <c r="B39" s="2"/>
      <c r="C39" s="23"/>
      <c r="D39" s="2"/>
      <c r="E39" s="1"/>
      <c r="F39" s="2"/>
      <c r="G39" s="2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2"/>
      <c r="B40" s="2"/>
      <c r="C40" s="23"/>
      <c r="D40" s="2"/>
      <c r="E40" s="1"/>
      <c r="F40" s="2"/>
      <c r="G40" s="2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2"/>
      <c r="B41" s="2"/>
      <c r="C41" s="23"/>
      <c r="D41" s="2"/>
      <c r="E41" s="1"/>
      <c r="F41" s="2"/>
      <c r="G41" s="2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2"/>
      <c r="B42" s="2"/>
      <c r="C42" s="23"/>
      <c r="D42" s="2"/>
      <c r="E42" s="1"/>
      <c r="F42" s="2"/>
      <c r="G42" s="2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2"/>
      <c r="B43" s="2"/>
      <c r="C43" s="23"/>
      <c r="D43" s="2"/>
      <c r="E43" s="1"/>
      <c r="F43" s="2"/>
      <c r="G43" s="2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2"/>
      <c r="B44" s="2"/>
      <c r="C44" s="23"/>
      <c r="D44" s="2"/>
      <c r="E44" s="1"/>
      <c r="F44" s="2"/>
      <c r="G44" s="2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2"/>
      <c r="B45" s="2"/>
      <c r="C45" s="23"/>
      <c r="D45" s="2"/>
      <c r="E45" s="1"/>
      <c r="F45" s="2"/>
      <c r="G45" s="2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2"/>
      <c r="B46" s="2"/>
      <c r="C46" s="23"/>
      <c r="D46" s="2"/>
      <c r="E46" s="1"/>
      <c r="F46" s="2"/>
      <c r="G46" s="2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2"/>
      <c r="B47" s="2"/>
      <c r="C47" s="23"/>
      <c r="D47" s="2"/>
      <c r="E47" s="1"/>
      <c r="F47" s="2"/>
      <c r="G47" s="2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2"/>
      <c r="B48" s="2"/>
      <c r="C48" s="23"/>
      <c r="D48" s="2"/>
      <c r="E48" s="1"/>
      <c r="F48" s="2"/>
      <c r="G48" s="2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2"/>
      <c r="B49" s="2"/>
      <c r="C49" s="23"/>
      <c r="D49" s="2"/>
      <c r="E49" s="1"/>
      <c r="F49" s="2"/>
      <c r="G49" s="2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2"/>
      <c r="B50" s="2"/>
      <c r="C50" s="23"/>
      <c r="D50" s="2"/>
      <c r="E50" s="1"/>
      <c r="F50" s="2"/>
      <c r="G50" s="2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2"/>
      <c r="B51" s="2"/>
      <c r="C51" s="23"/>
      <c r="D51" s="2"/>
      <c r="E51" s="1"/>
      <c r="F51" s="2"/>
      <c r="G51" s="2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2"/>
      <c r="B52" s="2"/>
      <c r="C52" s="23"/>
      <c r="D52" s="2"/>
      <c r="E52" s="1"/>
      <c r="F52" s="2"/>
      <c r="G52" s="2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2"/>
      <c r="B53" s="2"/>
      <c r="C53" s="23"/>
      <c r="D53" s="2"/>
      <c r="E53" s="1"/>
      <c r="F53" s="2"/>
      <c r="G53" s="2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5">
      <c r="A54" s="2"/>
      <c r="B54" s="2"/>
      <c r="C54" s="23"/>
      <c r="D54" s="2"/>
      <c r="E54" s="1"/>
      <c r="F54" s="2"/>
      <c r="G54" s="2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2"/>
      <c r="B55" s="2"/>
      <c r="C55" s="23"/>
      <c r="D55" s="2"/>
      <c r="E55" s="1"/>
      <c r="F55" s="2"/>
      <c r="G55" s="2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2"/>
      <c r="B56" s="2"/>
      <c r="C56" s="23"/>
      <c r="D56" s="2"/>
      <c r="E56" s="1"/>
      <c r="F56" s="2"/>
      <c r="G56" s="2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5">
      <c r="A57" s="2"/>
      <c r="B57" s="2"/>
      <c r="C57" s="23"/>
      <c r="D57" s="2"/>
      <c r="E57" s="1"/>
      <c r="F57" s="2"/>
      <c r="G57" s="2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5">
      <c r="A58" s="2"/>
      <c r="B58" s="2"/>
      <c r="C58" s="23"/>
      <c r="D58" s="2"/>
      <c r="E58" s="1"/>
      <c r="F58" s="2"/>
      <c r="G58" s="2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5">
      <c r="A59" s="2"/>
      <c r="B59" s="2"/>
      <c r="C59" s="23"/>
      <c r="D59" s="2"/>
      <c r="E59" s="1"/>
      <c r="F59" s="2"/>
      <c r="G59" s="2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5">
      <c r="A60" s="2"/>
      <c r="B60" s="2"/>
      <c r="C60" s="23"/>
      <c r="D60" s="2"/>
      <c r="E60" s="1"/>
      <c r="F60" s="2"/>
      <c r="G60" s="2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5">
      <c r="A61" s="2"/>
      <c r="B61" s="2"/>
      <c r="C61" s="23"/>
      <c r="D61" s="2"/>
      <c r="E61" s="1"/>
      <c r="F61" s="2"/>
      <c r="G61" s="2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5">
      <c r="A62" s="2"/>
      <c r="B62" s="2"/>
      <c r="C62" s="23"/>
      <c r="D62" s="2"/>
      <c r="E62" s="1"/>
      <c r="F62" s="2"/>
      <c r="G62" s="2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5">
      <c r="A63" s="2"/>
      <c r="B63" s="2"/>
      <c r="C63" s="23"/>
      <c r="D63" s="2"/>
      <c r="E63" s="1"/>
      <c r="F63" s="2"/>
      <c r="G63" s="2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25">
      <c r="A64" s="2"/>
      <c r="B64" s="2"/>
      <c r="C64" s="23"/>
      <c r="D64" s="2"/>
      <c r="E64" s="1"/>
      <c r="F64" s="2"/>
      <c r="G64" s="2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25">
      <c r="A65" s="2"/>
      <c r="B65" s="2"/>
      <c r="C65" s="23"/>
      <c r="D65" s="2"/>
      <c r="E65" s="1"/>
      <c r="F65" s="2"/>
      <c r="G65" s="2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5">
      <c r="A66" s="2"/>
      <c r="B66" s="2"/>
      <c r="C66" s="23"/>
      <c r="D66" s="2"/>
      <c r="E66" s="1"/>
      <c r="F66" s="2"/>
      <c r="G66" s="2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25">
      <c r="A67" s="2"/>
      <c r="B67" s="2"/>
      <c r="C67" s="23"/>
      <c r="D67" s="2"/>
      <c r="E67" s="1"/>
      <c r="F67" s="2"/>
      <c r="G67" s="2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25">
      <c r="A68" s="2"/>
      <c r="B68" s="2"/>
      <c r="C68" s="23"/>
      <c r="D68" s="2"/>
      <c r="E68" s="1"/>
      <c r="F68" s="2"/>
      <c r="G68" s="2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5">
      <c r="A69" s="2"/>
      <c r="B69" s="2"/>
      <c r="C69" s="23"/>
      <c r="D69" s="2"/>
      <c r="E69" s="1"/>
      <c r="F69" s="2"/>
      <c r="G69" s="2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5">
      <c r="A70" s="2"/>
      <c r="B70" s="2"/>
      <c r="C70" s="23"/>
      <c r="D70" s="2"/>
      <c r="E70" s="1"/>
      <c r="F70" s="2"/>
      <c r="G70" s="2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5">
      <c r="A71" s="2"/>
      <c r="B71" s="2"/>
      <c r="C71" s="23"/>
      <c r="D71" s="2"/>
      <c r="E71" s="1"/>
      <c r="F71" s="2"/>
      <c r="G71" s="2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5">
      <c r="A72" s="2"/>
      <c r="B72" s="2"/>
      <c r="C72" s="23"/>
      <c r="D72" s="2"/>
      <c r="E72" s="1"/>
      <c r="F72" s="2"/>
      <c r="G72" s="2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5">
      <c r="A73" s="2"/>
      <c r="B73" s="2"/>
      <c r="C73" s="23"/>
      <c r="D73" s="2"/>
      <c r="E73" s="1"/>
      <c r="F73" s="2"/>
      <c r="G73" s="2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5">
      <c r="A74" s="2"/>
      <c r="B74" s="2"/>
      <c r="C74" s="23"/>
      <c r="D74" s="2"/>
      <c r="E74" s="1"/>
      <c r="F74" s="2"/>
      <c r="G74" s="2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5">
      <c r="A75" s="2"/>
      <c r="B75" s="2"/>
      <c r="C75" s="23"/>
      <c r="D75" s="2"/>
      <c r="E75" s="1"/>
      <c r="F75" s="2"/>
      <c r="G75" s="2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25">
      <c r="A76" s="2"/>
      <c r="B76" s="2"/>
      <c r="C76" s="23"/>
      <c r="D76" s="2"/>
      <c r="E76" s="1"/>
      <c r="F76" s="2"/>
      <c r="G76" s="2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25">
      <c r="A77" s="2"/>
      <c r="B77" s="2"/>
      <c r="C77" s="23"/>
      <c r="D77" s="2"/>
      <c r="E77" s="1"/>
      <c r="F77" s="2"/>
      <c r="G77" s="2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25">
      <c r="A78" s="2"/>
      <c r="B78" s="2"/>
      <c r="C78" s="23"/>
      <c r="D78" s="2"/>
      <c r="E78" s="1"/>
      <c r="F78" s="2"/>
      <c r="G78" s="2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25">
      <c r="A79" s="2"/>
      <c r="B79" s="2"/>
      <c r="C79" s="23"/>
      <c r="D79" s="2"/>
      <c r="E79" s="1"/>
      <c r="F79" s="2"/>
      <c r="G79" s="2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25">
      <c r="A80" s="2"/>
      <c r="B80" s="2"/>
      <c r="C80" s="23"/>
      <c r="D80" s="2"/>
      <c r="E80" s="1"/>
      <c r="F80" s="2"/>
      <c r="G80" s="2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2"/>
      <c r="B81" s="2"/>
      <c r="C81" s="23"/>
      <c r="D81" s="2"/>
      <c r="E81" s="1"/>
      <c r="F81" s="2"/>
      <c r="G81" s="2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2"/>
      <c r="B82" s="2"/>
      <c r="C82" s="23"/>
      <c r="D82" s="2"/>
      <c r="E82" s="1"/>
      <c r="F82" s="2"/>
      <c r="G82" s="2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2"/>
      <c r="B83" s="2"/>
      <c r="C83" s="23"/>
      <c r="D83" s="2"/>
      <c r="E83" s="1"/>
      <c r="F83" s="2"/>
      <c r="G83" s="2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2"/>
      <c r="B84" s="2"/>
      <c r="C84" s="23"/>
      <c r="D84" s="2"/>
      <c r="E84" s="1"/>
      <c r="F84" s="2"/>
      <c r="G84" s="2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2"/>
      <c r="B85" s="2"/>
      <c r="C85" s="23"/>
      <c r="D85" s="2"/>
      <c r="E85" s="1"/>
      <c r="F85" s="2"/>
      <c r="G85" s="2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2"/>
      <c r="B86" s="2"/>
      <c r="C86" s="23"/>
      <c r="D86" s="2"/>
      <c r="E86" s="1"/>
      <c r="F86" s="2"/>
      <c r="G86" s="2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2"/>
      <c r="B87" s="2"/>
      <c r="C87" s="23"/>
      <c r="D87" s="2"/>
      <c r="E87" s="1"/>
      <c r="F87" s="2"/>
      <c r="G87" s="2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2"/>
      <c r="B88" s="2"/>
      <c r="C88" s="23"/>
      <c r="D88" s="2"/>
      <c r="E88" s="1"/>
      <c r="F88" s="2"/>
      <c r="G88" s="2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2"/>
      <c r="B89" s="2"/>
      <c r="C89" s="23"/>
      <c r="D89" s="2"/>
      <c r="E89" s="1"/>
      <c r="F89" s="2"/>
      <c r="G89" s="2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2"/>
      <c r="B90" s="2"/>
      <c r="C90" s="23"/>
      <c r="D90" s="2"/>
      <c r="E90" s="1"/>
      <c r="F90" s="2"/>
      <c r="G90" s="2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2"/>
      <c r="B91" s="2"/>
      <c r="C91" s="23"/>
      <c r="D91" s="2"/>
      <c r="E91" s="1"/>
      <c r="F91" s="2"/>
      <c r="G91" s="2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5">
      <c r="A92" s="2"/>
      <c r="B92" s="2"/>
      <c r="C92" s="23"/>
      <c r="D92" s="2"/>
      <c r="E92" s="1"/>
      <c r="F92" s="2"/>
      <c r="G92" s="2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25">
      <c r="A93" s="2"/>
      <c r="B93" s="2"/>
      <c r="C93" s="23"/>
      <c r="D93" s="2"/>
      <c r="E93" s="1"/>
      <c r="F93" s="2"/>
      <c r="G93" s="2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25">
      <c r="A94" s="2"/>
      <c r="B94" s="2"/>
      <c r="C94" s="23"/>
      <c r="D94" s="2"/>
      <c r="E94" s="1"/>
      <c r="F94" s="2"/>
      <c r="G94" s="2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25">
      <c r="A95" s="2"/>
      <c r="B95" s="2"/>
      <c r="C95" s="23"/>
      <c r="D95" s="2"/>
      <c r="E95" s="1"/>
      <c r="F95" s="2"/>
      <c r="G95" s="2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25">
      <c r="A96" s="2"/>
      <c r="B96" s="2"/>
      <c r="C96" s="23"/>
      <c r="D96" s="2"/>
      <c r="E96" s="1"/>
      <c r="F96" s="2"/>
      <c r="G96" s="2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5">
      <c r="A97" s="2"/>
      <c r="B97" s="2"/>
      <c r="C97" s="23"/>
      <c r="D97" s="2"/>
      <c r="E97" s="1"/>
      <c r="F97" s="2"/>
      <c r="G97" s="2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5">
      <c r="A98" s="2"/>
      <c r="B98" s="2"/>
      <c r="C98" s="23"/>
      <c r="D98" s="2"/>
      <c r="E98" s="1"/>
      <c r="F98" s="2"/>
      <c r="G98" s="2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25">
      <c r="A99" s="2"/>
      <c r="B99" s="2"/>
      <c r="C99" s="23"/>
      <c r="D99" s="2"/>
      <c r="E99" s="1"/>
      <c r="F99" s="2"/>
      <c r="G99" s="2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25">
      <c r="A100" s="2"/>
      <c r="B100" s="2"/>
      <c r="C100" s="23"/>
      <c r="D100" s="2"/>
      <c r="E100" s="1"/>
      <c r="F100" s="2"/>
      <c r="G100" s="2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25">
      <c r="A101" s="2"/>
      <c r="B101" s="2"/>
      <c r="C101" s="23"/>
      <c r="D101" s="2"/>
      <c r="E101" s="1"/>
      <c r="F101" s="2"/>
      <c r="G101" s="2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25">
      <c r="A102" s="2"/>
      <c r="B102" s="2"/>
      <c r="C102" s="23"/>
      <c r="D102" s="2"/>
      <c r="E102" s="1"/>
      <c r="F102" s="2"/>
      <c r="G102" s="2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25">
      <c r="A103" s="2"/>
      <c r="B103" s="2"/>
      <c r="C103" s="23"/>
      <c r="D103" s="2"/>
      <c r="E103" s="1"/>
      <c r="F103" s="2"/>
      <c r="G103" s="2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25">
      <c r="A104" s="2"/>
      <c r="B104" s="2"/>
      <c r="C104" s="23"/>
      <c r="D104" s="2"/>
      <c r="E104" s="1"/>
      <c r="F104" s="2"/>
      <c r="G104" s="2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25">
      <c r="A105" s="2"/>
      <c r="B105" s="2"/>
      <c r="C105" s="23"/>
      <c r="D105" s="2"/>
      <c r="E105" s="1"/>
      <c r="F105" s="2"/>
      <c r="G105" s="2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25">
      <c r="A106" s="2"/>
      <c r="B106" s="2"/>
      <c r="C106" s="23"/>
      <c r="D106" s="2"/>
      <c r="E106" s="1"/>
      <c r="F106" s="2"/>
      <c r="G106" s="2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25">
      <c r="A107" s="2"/>
      <c r="B107" s="2"/>
      <c r="C107" s="23"/>
      <c r="D107" s="2"/>
      <c r="E107" s="1"/>
      <c r="F107" s="2"/>
      <c r="G107" s="2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5">
      <c r="A108" s="2"/>
      <c r="B108" s="2"/>
      <c r="C108" s="23"/>
      <c r="D108" s="2"/>
      <c r="E108" s="1"/>
      <c r="F108" s="2"/>
      <c r="G108" s="2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25">
      <c r="A109" s="2"/>
      <c r="B109" s="2"/>
      <c r="C109" s="23"/>
      <c r="D109" s="2"/>
      <c r="E109" s="1"/>
      <c r="F109" s="2"/>
      <c r="G109" s="2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25">
      <c r="A110" s="2"/>
      <c r="B110" s="2"/>
      <c r="C110" s="23"/>
      <c r="D110" s="2"/>
      <c r="E110" s="1"/>
      <c r="F110" s="2"/>
      <c r="G110" s="2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25">
      <c r="A111" s="2"/>
      <c r="B111" s="2"/>
      <c r="C111" s="23"/>
      <c r="D111" s="2"/>
      <c r="E111" s="1"/>
      <c r="F111" s="2"/>
      <c r="G111" s="2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25">
      <c r="A112" s="2"/>
      <c r="B112" s="2"/>
      <c r="C112" s="23"/>
      <c r="D112" s="2"/>
      <c r="E112" s="1"/>
      <c r="F112" s="2"/>
      <c r="G112" s="2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25">
      <c r="A113" s="2"/>
      <c r="B113" s="2"/>
      <c r="C113" s="23"/>
      <c r="D113" s="2"/>
      <c r="E113" s="1"/>
      <c r="F113" s="2"/>
      <c r="G113" s="2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25">
      <c r="A114" s="2"/>
      <c r="B114" s="2"/>
      <c r="C114" s="23"/>
      <c r="D114" s="2"/>
      <c r="E114" s="1"/>
      <c r="F114" s="2"/>
      <c r="G114" s="2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25">
      <c r="A115" s="2"/>
      <c r="B115" s="2"/>
      <c r="C115" s="23"/>
      <c r="D115" s="2"/>
      <c r="E115" s="1"/>
      <c r="F115" s="2"/>
      <c r="G115" s="2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25">
      <c r="A116" s="2"/>
      <c r="B116" s="2"/>
      <c r="C116" s="23"/>
      <c r="D116" s="2"/>
      <c r="E116" s="1"/>
      <c r="F116" s="2"/>
      <c r="G116" s="2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25">
      <c r="A117" s="2"/>
      <c r="B117" s="2"/>
      <c r="C117" s="23"/>
      <c r="D117" s="2"/>
      <c r="E117" s="1"/>
      <c r="F117" s="2"/>
      <c r="G117" s="2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25">
      <c r="A118" s="2"/>
      <c r="B118" s="2"/>
      <c r="C118" s="23"/>
      <c r="D118" s="2"/>
      <c r="E118" s="1"/>
      <c r="F118" s="2"/>
      <c r="G118" s="2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5">
      <c r="A119" s="2"/>
      <c r="B119" s="2"/>
      <c r="C119" s="23"/>
      <c r="D119" s="2"/>
      <c r="E119" s="1"/>
      <c r="F119" s="2"/>
      <c r="G119" s="2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5">
      <c r="A120" s="2"/>
      <c r="B120" s="2"/>
      <c r="C120" s="23"/>
      <c r="D120" s="2"/>
      <c r="E120" s="1"/>
      <c r="F120" s="2"/>
      <c r="G120" s="2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5">
      <c r="A121" s="2"/>
      <c r="B121" s="2"/>
      <c r="C121" s="23"/>
      <c r="D121" s="2"/>
      <c r="E121" s="1"/>
      <c r="F121" s="2"/>
      <c r="G121" s="2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5">
      <c r="A122" s="2"/>
      <c r="B122" s="2"/>
      <c r="C122" s="23"/>
      <c r="D122" s="2"/>
      <c r="E122" s="1"/>
      <c r="F122" s="2"/>
      <c r="G122" s="2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5">
      <c r="A123" s="2"/>
      <c r="B123" s="2"/>
      <c r="C123" s="23"/>
      <c r="D123" s="2"/>
      <c r="E123" s="1"/>
      <c r="F123" s="2"/>
      <c r="G123" s="2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5">
      <c r="A124" s="2"/>
      <c r="B124" s="2"/>
      <c r="C124" s="23"/>
      <c r="D124" s="2"/>
      <c r="E124" s="1"/>
      <c r="F124" s="2"/>
      <c r="G124" s="2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5">
      <c r="A125" s="2"/>
      <c r="B125" s="2"/>
      <c r="C125" s="23"/>
      <c r="D125" s="2"/>
      <c r="E125" s="1"/>
      <c r="F125" s="2"/>
      <c r="G125" s="2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5">
      <c r="A126" s="2"/>
      <c r="B126" s="2"/>
      <c r="C126" s="23"/>
      <c r="D126" s="2"/>
      <c r="E126" s="1"/>
      <c r="F126" s="2"/>
      <c r="G126" s="2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5">
      <c r="A127" s="2"/>
      <c r="B127" s="2"/>
      <c r="C127" s="23"/>
      <c r="D127" s="2"/>
      <c r="E127" s="1"/>
      <c r="F127" s="2"/>
      <c r="G127" s="2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5">
      <c r="A128" s="2"/>
      <c r="B128" s="2"/>
      <c r="C128" s="23"/>
      <c r="D128" s="2"/>
      <c r="E128" s="1"/>
      <c r="F128" s="2"/>
      <c r="G128" s="2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5">
      <c r="A129" s="2"/>
      <c r="B129" s="2"/>
      <c r="C129" s="23"/>
      <c r="D129" s="2"/>
      <c r="E129" s="1"/>
      <c r="F129" s="2"/>
      <c r="G129" s="2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5">
      <c r="A130" s="2"/>
      <c r="B130" s="2"/>
      <c r="C130" s="23"/>
      <c r="D130" s="2"/>
      <c r="E130" s="1"/>
      <c r="F130" s="2"/>
      <c r="G130" s="2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5">
      <c r="A131" s="2"/>
      <c r="B131" s="2"/>
      <c r="C131" s="23"/>
      <c r="D131" s="2"/>
      <c r="E131" s="1"/>
      <c r="F131" s="2"/>
      <c r="G131" s="2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5">
      <c r="A132" s="2"/>
      <c r="B132" s="2"/>
      <c r="C132" s="23"/>
      <c r="D132" s="2"/>
      <c r="E132" s="1"/>
      <c r="F132" s="2"/>
      <c r="G132" s="2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25">
      <c r="A133" s="2"/>
      <c r="B133" s="2"/>
      <c r="C133" s="23"/>
      <c r="D133" s="2"/>
      <c r="E133" s="1"/>
      <c r="F133" s="2"/>
      <c r="G133" s="2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25">
      <c r="A134" s="2"/>
      <c r="B134" s="2"/>
      <c r="C134" s="23"/>
      <c r="D134" s="2"/>
      <c r="E134" s="1"/>
      <c r="F134" s="2"/>
      <c r="G134" s="2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25">
      <c r="A135" s="2"/>
      <c r="B135" s="2"/>
      <c r="C135" s="23"/>
      <c r="D135" s="2"/>
      <c r="E135" s="1"/>
      <c r="F135" s="2"/>
      <c r="G135" s="2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25">
      <c r="A136" s="2"/>
      <c r="B136" s="2"/>
      <c r="C136" s="23"/>
      <c r="D136" s="2"/>
      <c r="E136" s="1"/>
      <c r="F136" s="2"/>
      <c r="G136" s="2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25">
      <c r="A137" s="2"/>
      <c r="B137" s="2"/>
      <c r="C137" s="23"/>
      <c r="D137" s="2"/>
      <c r="E137" s="1"/>
      <c r="F137" s="2"/>
      <c r="G137" s="2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25">
      <c r="A138" s="2"/>
      <c r="B138" s="2"/>
      <c r="C138" s="23"/>
      <c r="D138" s="2"/>
      <c r="E138" s="1"/>
      <c r="F138" s="2"/>
      <c r="G138" s="2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25">
      <c r="A139" s="2"/>
      <c r="B139" s="2"/>
      <c r="C139" s="23"/>
      <c r="D139" s="2"/>
      <c r="E139" s="1"/>
      <c r="F139" s="2"/>
      <c r="G139" s="2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25">
      <c r="A140" s="2"/>
      <c r="B140" s="2"/>
      <c r="C140" s="23"/>
      <c r="D140" s="2"/>
      <c r="E140" s="1"/>
      <c r="F140" s="2"/>
      <c r="G140" s="2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25">
      <c r="A141" s="2"/>
      <c r="B141" s="2"/>
      <c r="C141" s="23"/>
      <c r="D141" s="2"/>
      <c r="E141" s="1"/>
      <c r="F141" s="2"/>
      <c r="G141" s="2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25">
      <c r="A142" s="2"/>
      <c r="B142" s="2"/>
      <c r="C142" s="23"/>
      <c r="D142" s="2"/>
      <c r="E142" s="1"/>
      <c r="F142" s="2"/>
      <c r="G142" s="2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25">
      <c r="A143" s="2"/>
      <c r="B143" s="2"/>
      <c r="C143" s="23"/>
      <c r="D143" s="2"/>
      <c r="E143" s="1"/>
      <c r="F143" s="2"/>
      <c r="G143" s="2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25">
      <c r="A144" s="2"/>
      <c r="B144" s="2"/>
      <c r="C144" s="23"/>
      <c r="D144" s="2"/>
      <c r="E144" s="1"/>
      <c r="F144" s="2"/>
      <c r="G144" s="2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25">
      <c r="A145" s="2"/>
      <c r="B145" s="2"/>
      <c r="C145" s="23"/>
      <c r="D145" s="2"/>
      <c r="E145" s="1"/>
      <c r="F145" s="2"/>
      <c r="G145" s="2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25">
      <c r="A146" s="2"/>
      <c r="B146" s="2"/>
      <c r="C146" s="23"/>
      <c r="D146" s="2"/>
      <c r="E146" s="1"/>
      <c r="F146" s="2"/>
      <c r="G146" s="2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25">
      <c r="A147" s="2"/>
      <c r="B147" s="2"/>
      <c r="C147" s="23"/>
      <c r="D147" s="2"/>
      <c r="E147" s="1"/>
      <c r="F147" s="2"/>
      <c r="G147" s="2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25">
      <c r="A148" s="2"/>
      <c r="B148" s="2"/>
      <c r="C148" s="23"/>
      <c r="D148" s="2"/>
      <c r="E148" s="1"/>
      <c r="F148" s="2"/>
      <c r="G148" s="2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25">
      <c r="A149" s="2"/>
      <c r="B149" s="2"/>
      <c r="C149" s="23"/>
      <c r="D149" s="2"/>
      <c r="E149" s="1"/>
      <c r="F149" s="2"/>
      <c r="G149" s="2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25">
      <c r="A150" s="2"/>
      <c r="B150" s="2"/>
      <c r="C150" s="23"/>
      <c r="D150" s="2"/>
      <c r="E150" s="1"/>
      <c r="F150" s="2"/>
      <c r="G150" s="2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25">
      <c r="A151" s="2"/>
      <c r="B151" s="2"/>
      <c r="C151" s="23"/>
      <c r="D151" s="2"/>
      <c r="E151" s="1"/>
      <c r="F151" s="2"/>
      <c r="G151" s="2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25">
      <c r="A152" s="2"/>
      <c r="B152" s="2"/>
      <c r="C152" s="23"/>
      <c r="D152" s="2"/>
      <c r="E152" s="1"/>
      <c r="F152" s="2"/>
      <c r="G152" s="2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25">
      <c r="A153" s="2"/>
      <c r="B153" s="2"/>
      <c r="C153" s="23"/>
      <c r="D153" s="2"/>
      <c r="E153" s="1"/>
      <c r="F153" s="2"/>
      <c r="G153" s="2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25">
      <c r="A154" s="2"/>
      <c r="B154" s="2"/>
      <c r="C154" s="23"/>
      <c r="D154" s="2"/>
      <c r="E154" s="1"/>
      <c r="F154" s="2"/>
      <c r="G154" s="2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25">
      <c r="A155" s="2"/>
      <c r="B155" s="2"/>
      <c r="C155" s="23"/>
      <c r="D155" s="2"/>
      <c r="E155" s="1"/>
      <c r="F155" s="2"/>
      <c r="G155" s="2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25">
      <c r="A156" s="2"/>
      <c r="B156" s="2"/>
      <c r="C156" s="23"/>
      <c r="D156" s="2"/>
      <c r="E156" s="1"/>
      <c r="F156" s="2"/>
      <c r="G156" s="2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25">
      <c r="A157" s="2"/>
      <c r="B157" s="2"/>
      <c r="C157" s="23"/>
      <c r="D157" s="2"/>
      <c r="E157" s="1"/>
      <c r="F157" s="2"/>
      <c r="G157" s="2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25">
      <c r="A158" s="2"/>
      <c r="B158" s="2"/>
      <c r="C158" s="23"/>
      <c r="D158" s="2"/>
      <c r="E158" s="1"/>
      <c r="F158" s="2"/>
      <c r="G158" s="2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25">
      <c r="A159" s="2"/>
      <c r="B159" s="2"/>
      <c r="C159" s="23"/>
      <c r="D159" s="2"/>
      <c r="E159" s="1"/>
      <c r="F159" s="2"/>
      <c r="G159" s="2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25">
      <c r="A160" s="2"/>
      <c r="B160" s="2"/>
      <c r="C160" s="23"/>
      <c r="D160" s="2"/>
      <c r="E160" s="1"/>
      <c r="F160" s="2"/>
      <c r="G160" s="2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25">
      <c r="A161" s="2"/>
      <c r="B161" s="2"/>
      <c r="C161" s="23"/>
      <c r="D161" s="2"/>
      <c r="E161" s="1"/>
      <c r="F161" s="2"/>
      <c r="G161" s="2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25">
      <c r="A162" s="2"/>
      <c r="B162" s="2"/>
      <c r="C162" s="23"/>
      <c r="D162" s="2"/>
      <c r="E162" s="1"/>
      <c r="F162" s="2"/>
      <c r="G162" s="2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25">
      <c r="A163" s="2"/>
      <c r="B163" s="2"/>
      <c r="C163" s="23"/>
      <c r="D163" s="2"/>
      <c r="E163" s="1"/>
      <c r="F163" s="2"/>
      <c r="G163" s="2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25">
      <c r="A164" s="2"/>
      <c r="B164" s="2"/>
      <c r="C164" s="23"/>
      <c r="D164" s="2"/>
      <c r="E164" s="1"/>
      <c r="F164" s="2"/>
      <c r="G164" s="2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25">
      <c r="A165" s="2"/>
      <c r="B165" s="2"/>
      <c r="C165" s="23"/>
      <c r="D165" s="2"/>
      <c r="E165" s="1"/>
      <c r="F165" s="2"/>
      <c r="G165" s="2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25">
      <c r="A166" s="2"/>
      <c r="B166" s="2"/>
      <c r="C166" s="23"/>
      <c r="D166" s="2"/>
      <c r="E166" s="1"/>
      <c r="F166" s="2"/>
      <c r="G166" s="2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25">
      <c r="A167" s="2"/>
      <c r="B167" s="2"/>
      <c r="C167" s="23"/>
      <c r="D167" s="2"/>
      <c r="E167" s="1"/>
      <c r="F167" s="2"/>
      <c r="G167" s="2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25">
      <c r="A168" s="2"/>
      <c r="B168" s="2"/>
      <c r="C168" s="23"/>
      <c r="D168" s="2"/>
      <c r="E168" s="1"/>
      <c r="F168" s="2"/>
      <c r="G168" s="2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25">
      <c r="A169" s="2"/>
      <c r="B169" s="2"/>
      <c r="C169" s="23"/>
      <c r="D169" s="2"/>
      <c r="E169" s="1"/>
      <c r="F169" s="2"/>
      <c r="G169" s="2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25">
      <c r="A170" s="2"/>
      <c r="B170" s="2"/>
      <c r="C170" s="23"/>
      <c r="D170" s="2"/>
      <c r="E170" s="1"/>
      <c r="F170" s="2"/>
      <c r="G170" s="2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25">
      <c r="A171" s="2"/>
      <c r="B171" s="2"/>
      <c r="C171" s="23"/>
      <c r="D171" s="2"/>
      <c r="E171" s="1"/>
      <c r="F171" s="2"/>
      <c r="G171" s="2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25">
      <c r="A172" s="2"/>
      <c r="B172" s="2"/>
      <c r="C172" s="23"/>
      <c r="D172" s="2"/>
      <c r="E172" s="1"/>
      <c r="F172" s="2"/>
      <c r="G172" s="2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25">
      <c r="A173" s="2"/>
      <c r="B173" s="2"/>
      <c r="C173" s="23"/>
      <c r="D173" s="2"/>
      <c r="E173" s="1"/>
      <c r="F173" s="2"/>
      <c r="G173" s="2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25">
      <c r="A174" s="2"/>
      <c r="B174" s="2"/>
      <c r="C174" s="23"/>
      <c r="D174" s="2"/>
      <c r="E174" s="1"/>
      <c r="F174" s="2"/>
      <c r="G174" s="2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25">
      <c r="A175" s="2"/>
      <c r="B175" s="2"/>
      <c r="C175" s="23"/>
      <c r="D175" s="2"/>
      <c r="E175" s="1"/>
      <c r="F175" s="2"/>
      <c r="G175" s="2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25">
      <c r="A176" s="2"/>
      <c r="B176" s="2"/>
      <c r="C176" s="23"/>
      <c r="D176" s="2"/>
      <c r="E176" s="1"/>
      <c r="F176" s="2"/>
      <c r="G176" s="2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25">
      <c r="A177" s="2"/>
      <c r="B177" s="2"/>
      <c r="C177" s="23"/>
      <c r="D177" s="2"/>
      <c r="E177" s="1"/>
      <c r="F177" s="2"/>
      <c r="G177" s="2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25">
      <c r="A178" s="2"/>
      <c r="B178" s="2"/>
      <c r="C178" s="23"/>
      <c r="D178" s="2"/>
      <c r="E178" s="1"/>
      <c r="F178" s="2"/>
      <c r="G178" s="2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25">
      <c r="A179" s="2"/>
      <c r="B179" s="2"/>
      <c r="C179" s="23"/>
      <c r="D179" s="2"/>
      <c r="E179" s="1"/>
      <c r="F179" s="2"/>
      <c r="G179" s="2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25">
      <c r="A180" s="2"/>
      <c r="B180" s="2"/>
      <c r="C180" s="23"/>
      <c r="D180" s="2"/>
      <c r="E180" s="1"/>
      <c r="F180" s="2"/>
      <c r="G180" s="2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25">
      <c r="A181" s="2"/>
      <c r="B181" s="2"/>
      <c r="C181" s="23"/>
      <c r="D181" s="2"/>
      <c r="E181" s="1"/>
      <c r="F181" s="2"/>
      <c r="G181" s="2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25">
      <c r="A182" s="2"/>
      <c r="B182" s="2"/>
      <c r="C182" s="23"/>
      <c r="D182" s="2"/>
      <c r="E182" s="1"/>
      <c r="F182" s="2"/>
      <c r="G182" s="2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25">
      <c r="A183" s="2"/>
      <c r="B183" s="2"/>
      <c r="C183" s="23"/>
      <c r="D183" s="2"/>
      <c r="E183" s="1"/>
      <c r="F183" s="2"/>
      <c r="G183" s="2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25">
      <c r="A184" s="2"/>
      <c r="B184" s="2"/>
      <c r="C184" s="23"/>
      <c r="D184" s="2"/>
      <c r="E184" s="1"/>
      <c r="F184" s="2"/>
      <c r="G184" s="2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25">
      <c r="A185" s="2"/>
      <c r="B185" s="2"/>
      <c r="C185" s="23"/>
      <c r="D185" s="2"/>
      <c r="E185" s="1"/>
      <c r="F185" s="2"/>
      <c r="G185" s="2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25">
      <c r="A186" s="2"/>
      <c r="B186" s="2"/>
      <c r="C186" s="23"/>
      <c r="D186" s="2"/>
      <c r="E186" s="1"/>
      <c r="F186" s="2"/>
      <c r="G186" s="2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25">
      <c r="A187" s="2"/>
      <c r="B187" s="2"/>
      <c r="C187" s="23"/>
      <c r="D187" s="2"/>
      <c r="E187" s="1"/>
      <c r="F187" s="2"/>
      <c r="G187" s="2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25">
      <c r="A188" s="2"/>
      <c r="B188" s="2"/>
      <c r="C188" s="23"/>
      <c r="D188" s="2"/>
      <c r="E188" s="1"/>
      <c r="F188" s="2"/>
      <c r="G188" s="2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25">
      <c r="A189" s="2"/>
      <c r="B189" s="2"/>
      <c r="C189" s="23"/>
      <c r="D189" s="2"/>
      <c r="E189" s="1"/>
      <c r="F189" s="2"/>
      <c r="G189" s="2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25">
      <c r="A190" s="2"/>
      <c r="B190" s="2"/>
      <c r="C190" s="23"/>
      <c r="D190" s="2"/>
      <c r="E190" s="1"/>
      <c r="F190" s="2"/>
      <c r="G190" s="2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25">
      <c r="A191" s="2"/>
      <c r="B191" s="2"/>
      <c r="C191" s="23"/>
      <c r="D191" s="2"/>
      <c r="E191" s="1"/>
      <c r="F191" s="2"/>
      <c r="G191" s="2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25">
      <c r="A192" s="2"/>
      <c r="B192" s="2"/>
      <c r="C192" s="23"/>
      <c r="D192" s="2"/>
      <c r="E192" s="1"/>
      <c r="F192" s="2"/>
      <c r="G192" s="2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25">
      <c r="A193" s="2"/>
      <c r="B193" s="2"/>
      <c r="C193" s="23"/>
      <c r="D193" s="2"/>
      <c r="E193" s="1"/>
      <c r="F193" s="2"/>
      <c r="G193" s="2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25">
      <c r="A194" s="2"/>
      <c r="B194" s="2"/>
      <c r="C194" s="23"/>
      <c r="D194" s="2"/>
      <c r="E194" s="1"/>
      <c r="F194" s="2"/>
      <c r="G194" s="2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25">
      <c r="A195" s="2"/>
      <c r="B195" s="2"/>
      <c r="C195" s="23"/>
      <c r="D195" s="2"/>
      <c r="E195" s="1"/>
      <c r="F195" s="2"/>
      <c r="G195" s="2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25">
      <c r="A196" s="2"/>
      <c r="B196" s="2"/>
      <c r="C196" s="23"/>
      <c r="D196" s="2"/>
      <c r="E196" s="1"/>
      <c r="F196" s="2"/>
      <c r="G196" s="2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25">
      <c r="A197" s="2"/>
      <c r="B197" s="2"/>
      <c r="C197" s="23"/>
      <c r="D197" s="2"/>
      <c r="E197" s="1"/>
      <c r="F197" s="2"/>
      <c r="G197" s="2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25">
      <c r="A198" s="2"/>
      <c r="B198" s="2"/>
      <c r="C198" s="23"/>
      <c r="D198" s="2"/>
      <c r="E198" s="1"/>
      <c r="F198" s="2"/>
      <c r="G198" s="2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25">
      <c r="A199" s="2"/>
      <c r="B199" s="2"/>
      <c r="C199" s="23"/>
      <c r="D199" s="2"/>
      <c r="E199" s="1"/>
      <c r="F199" s="2"/>
      <c r="G199" s="2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25">
      <c r="A200" s="2"/>
      <c r="B200" s="2"/>
      <c r="C200" s="23"/>
      <c r="D200" s="2"/>
      <c r="E200" s="1"/>
      <c r="F200" s="2"/>
      <c r="G200" s="2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25">
      <c r="A201" s="2"/>
      <c r="B201" s="2"/>
      <c r="C201" s="23"/>
      <c r="D201" s="2"/>
      <c r="E201" s="1"/>
      <c r="F201" s="2"/>
      <c r="G201" s="2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25">
      <c r="A202" s="2"/>
      <c r="B202" s="2"/>
      <c r="C202" s="23"/>
      <c r="D202" s="2"/>
      <c r="E202" s="1"/>
      <c r="F202" s="2"/>
      <c r="G202" s="2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25">
      <c r="A203" s="2"/>
      <c r="B203" s="2"/>
      <c r="C203" s="23"/>
      <c r="D203" s="2"/>
      <c r="E203" s="1"/>
      <c r="F203" s="2"/>
      <c r="G203" s="2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25">
      <c r="A204" s="2"/>
      <c r="B204" s="2"/>
      <c r="C204" s="23"/>
      <c r="D204" s="2"/>
      <c r="E204" s="1"/>
      <c r="F204" s="2"/>
      <c r="G204" s="2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25">
      <c r="A205" s="2"/>
      <c r="B205" s="2"/>
      <c r="C205" s="23"/>
      <c r="D205" s="2"/>
      <c r="E205" s="1"/>
      <c r="F205" s="2"/>
      <c r="G205" s="2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25">
      <c r="A206" s="2"/>
      <c r="B206" s="2"/>
      <c r="C206" s="23"/>
      <c r="D206" s="2"/>
      <c r="E206" s="1"/>
      <c r="F206" s="2"/>
      <c r="G206" s="2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25">
      <c r="A207" s="2"/>
      <c r="B207" s="2"/>
      <c r="C207" s="23"/>
      <c r="D207" s="2"/>
      <c r="E207" s="1"/>
      <c r="F207" s="2"/>
      <c r="G207" s="2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25">
      <c r="A208" s="2"/>
      <c r="B208" s="2"/>
      <c r="C208" s="23"/>
      <c r="D208" s="2"/>
      <c r="E208" s="1"/>
      <c r="F208" s="2"/>
      <c r="G208" s="2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25">
      <c r="A209" s="2"/>
      <c r="B209" s="2"/>
      <c r="C209" s="23"/>
      <c r="D209" s="2"/>
      <c r="E209" s="1"/>
      <c r="F209" s="2"/>
      <c r="G209" s="2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25">
      <c r="A210" s="2"/>
      <c r="B210" s="2"/>
      <c r="C210" s="23"/>
      <c r="D210" s="2"/>
      <c r="E210" s="1"/>
      <c r="F210" s="2"/>
      <c r="G210" s="2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25">
      <c r="A211" s="2"/>
      <c r="B211" s="2"/>
      <c r="C211" s="23"/>
      <c r="D211" s="2"/>
      <c r="E211" s="1"/>
      <c r="F211" s="2"/>
      <c r="G211" s="2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25">
      <c r="A212" s="2"/>
      <c r="B212" s="2"/>
      <c r="C212" s="23"/>
      <c r="D212" s="2"/>
      <c r="E212" s="1"/>
      <c r="F212" s="2"/>
      <c r="G212" s="2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25">
      <c r="A213" s="2"/>
      <c r="B213" s="2"/>
      <c r="C213" s="23"/>
      <c r="D213" s="2"/>
      <c r="E213" s="1"/>
      <c r="F213" s="2"/>
      <c r="G213" s="2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25">
      <c r="A214" s="2"/>
      <c r="B214" s="2"/>
      <c r="C214" s="23"/>
      <c r="D214" s="2"/>
      <c r="E214" s="1"/>
      <c r="F214" s="2"/>
      <c r="G214" s="2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25">
      <c r="A215" s="2"/>
      <c r="B215" s="2"/>
      <c r="C215" s="23"/>
      <c r="D215" s="2"/>
      <c r="E215" s="1"/>
      <c r="F215" s="2"/>
      <c r="G215" s="2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25">
      <c r="A216" s="2"/>
      <c r="B216" s="2"/>
      <c r="C216" s="23"/>
      <c r="D216" s="2"/>
      <c r="E216" s="1"/>
      <c r="F216" s="2"/>
      <c r="G216" s="2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25">
      <c r="A217" s="2"/>
      <c r="B217" s="2"/>
      <c r="C217" s="23"/>
      <c r="D217" s="2"/>
      <c r="E217" s="1"/>
      <c r="F217" s="2"/>
      <c r="G217" s="2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</sheetData>
  <phoneticPr fontId="89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4017-EFAD-42A7-9AA3-13C1CB9F70E2}">
  <sheetPr>
    <outlinePr summaryBelow="0" summaryRight="0"/>
  </sheetPr>
  <dimension ref="A1:B201"/>
  <sheetViews>
    <sheetView workbookViewId="0"/>
  </sheetViews>
  <sheetFormatPr defaultColWidth="14" defaultRowHeight="13.2" x14ac:dyDescent="0.25"/>
  <sheetData>
    <row r="1" spans="1:2" ht="19.05" customHeight="1" x14ac:dyDescent="0.25">
      <c r="A1" s="21" t="s">
        <v>289</v>
      </c>
      <c r="B1" s="20" t="s">
        <v>290</v>
      </c>
    </row>
    <row r="2" spans="1:2" x14ac:dyDescent="0.25">
      <c r="A2" s="21" t="s">
        <v>66</v>
      </c>
      <c r="B2" s="20" t="s">
        <v>156</v>
      </c>
    </row>
    <row r="3" spans="1:2" x14ac:dyDescent="0.25">
      <c r="A3" s="21" t="s">
        <v>73</v>
      </c>
      <c r="B3" s="20" t="s">
        <v>157</v>
      </c>
    </row>
    <row r="4" spans="1:2" x14ac:dyDescent="0.25">
      <c r="A4" s="21" t="s">
        <v>83</v>
      </c>
      <c r="B4" s="20" t="s">
        <v>158</v>
      </c>
    </row>
    <row r="5" spans="1:2" x14ac:dyDescent="0.25">
      <c r="A5" s="21" t="s">
        <v>96</v>
      </c>
      <c r="B5" s="20" t="s">
        <v>159</v>
      </c>
    </row>
    <row r="6" spans="1:2" x14ac:dyDescent="0.25">
      <c r="A6" s="21" t="s">
        <v>78</v>
      </c>
      <c r="B6" s="20" t="s">
        <v>152</v>
      </c>
    </row>
    <row r="7" spans="1:2" x14ac:dyDescent="0.25">
      <c r="A7" s="21" t="s">
        <v>291</v>
      </c>
      <c r="B7" s="20" t="s">
        <v>160</v>
      </c>
    </row>
    <row r="8" spans="1:2" x14ac:dyDescent="0.25">
      <c r="A8" s="21" t="s">
        <v>140</v>
      </c>
      <c r="B8" s="20" t="s">
        <v>161</v>
      </c>
    </row>
    <row r="9" spans="1:2" x14ac:dyDescent="0.25">
      <c r="A9" s="21" t="s">
        <v>292</v>
      </c>
      <c r="B9" s="20" t="s">
        <v>162</v>
      </c>
    </row>
    <row r="10" spans="1:2" x14ac:dyDescent="0.25">
      <c r="A10" s="21" t="s">
        <v>163</v>
      </c>
      <c r="B10" s="20" t="s">
        <v>164</v>
      </c>
    </row>
    <row r="11" spans="1:2" x14ac:dyDescent="0.25">
      <c r="A11" s="21" t="s">
        <v>188</v>
      </c>
      <c r="B11" s="20" t="s">
        <v>165</v>
      </c>
    </row>
    <row r="12" spans="1:2" x14ac:dyDescent="0.25">
      <c r="A12" s="21" t="s">
        <v>190</v>
      </c>
      <c r="B12" s="20" t="s">
        <v>166</v>
      </c>
    </row>
    <row r="13" spans="1:2" x14ac:dyDescent="0.25">
      <c r="B13" s="19"/>
    </row>
    <row r="14" spans="1:2" x14ac:dyDescent="0.25">
      <c r="B14" s="19"/>
    </row>
    <row r="15" spans="1:2" x14ac:dyDescent="0.25">
      <c r="B15" s="19"/>
    </row>
    <row r="16" spans="1:2" x14ac:dyDescent="0.25">
      <c r="B16" s="19"/>
    </row>
    <row r="17" spans="2:2" x14ac:dyDescent="0.25">
      <c r="B17" s="19"/>
    </row>
    <row r="18" spans="2:2" x14ac:dyDescent="0.25">
      <c r="B18" s="19"/>
    </row>
    <row r="19" spans="2:2" x14ac:dyDescent="0.25">
      <c r="B19" s="19"/>
    </row>
    <row r="20" spans="2:2" x14ac:dyDescent="0.25">
      <c r="B20" s="19"/>
    </row>
    <row r="21" spans="2:2" x14ac:dyDescent="0.25">
      <c r="B21" s="19"/>
    </row>
    <row r="22" spans="2:2" x14ac:dyDescent="0.25">
      <c r="B22" s="19"/>
    </row>
    <row r="23" spans="2:2" x14ac:dyDescent="0.25">
      <c r="B23" s="19"/>
    </row>
    <row r="24" spans="2:2" x14ac:dyDescent="0.25">
      <c r="B24" s="19"/>
    </row>
    <row r="25" spans="2:2" x14ac:dyDescent="0.25">
      <c r="B25" s="19"/>
    </row>
    <row r="26" spans="2:2" x14ac:dyDescent="0.25">
      <c r="B26" s="19"/>
    </row>
    <row r="27" spans="2:2" x14ac:dyDescent="0.25">
      <c r="B27" s="19"/>
    </row>
    <row r="28" spans="2:2" x14ac:dyDescent="0.25">
      <c r="B28" s="19"/>
    </row>
    <row r="29" spans="2:2" x14ac:dyDescent="0.25">
      <c r="B29" s="19"/>
    </row>
    <row r="30" spans="2:2" x14ac:dyDescent="0.25">
      <c r="B30" s="19"/>
    </row>
    <row r="31" spans="2:2" x14ac:dyDescent="0.25">
      <c r="B31" s="19"/>
    </row>
    <row r="32" spans="2:2" x14ac:dyDescent="0.25">
      <c r="B32" s="19"/>
    </row>
    <row r="33" spans="2:2" x14ac:dyDescent="0.25">
      <c r="B33" s="19"/>
    </row>
    <row r="34" spans="2:2" x14ac:dyDescent="0.25">
      <c r="B34" s="19"/>
    </row>
    <row r="35" spans="2:2" x14ac:dyDescent="0.25">
      <c r="B35" s="19"/>
    </row>
    <row r="36" spans="2:2" x14ac:dyDescent="0.25">
      <c r="B36" s="19"/>
    </row>
    <row r="37" spans="2:2" x14ac:dyDescent="0.25">
      <c r="B37" s="19"/>
    </row>
    <row r="38" spans="2:2" x14ac:dyDescent="0.25">
      <c r="B38" s="19"/>
    </row>
    <row r="39" spans="2:2" x14ac:dyDescent="0.25">
      <c r="B39" s="19"/>
    </row>
    <row r="40" spans="2:2" x14ac:dyDescent="0.25">
      <c r="B40" s="19"/>
    </row>
    <row r="41" spans="2:2" x14ac:dyDescent="0.25">
      <c r="B41" s="19"/>
    </row>
    <row r="42" spans="2:2" x14ac:dyDescent="0.25">
      <c r="B42" s="19"/>
    </row>
    <row r="43" spans="2:2" x14ac:dyDescent="0.25">
      <c r="B43" s="19"/>
    </row>
    <row r="44" spans="2:2" x14ac:dyDescent="0.25">
      <c r="B44" s="19"/>
    </row>
    <row r="45" spans="2:2" x14ac:dyDescent="0.25">
      <c r="B45" s="19"/>
    </row>
    <row r="46" spans="2:2" x14ac:dyDescent="0.25">
      <c r="B46" s="19"/>
    </row>
    <row r="47" spans="2:2" x14ac:dyDescent="0.25">
      <c r="B47" s="19"/>
    </row>
    <row r="48" spans="2:2" x14ac:dyDescent="0.25">
      <c r="B48" s="19"/>
    </row>
    <row r="49" spans="2:2" x14ac:dyDescent="0.25">
      <c r="B49" s="19"/>
    </row>
    <row r="50" spans="2:2" x14ac:dyDescent="0.25">
      <c r="B50" s="19"/>
    </row>
    <row r="51" spans="2:2" x14ac:dyDescent="0.25">
      <c r="B51" s="19"/>
    </row>
    <row r="52" spans="2:2" x14ac:dyDescent="0.25">
      <c r="B52" s="19"/>
    </row>
    <row r="53" spans="2:2" x14ac:dyDescent="0.25">
      <c r="B53" s="19"/>
    </row>
    <row r="54" spans="2:2" x14ac:dyDescent="0.25">
      <c r="B54" s="19"/>
    </row>
    <row r="55" spans="2:2" x14ac:dyDescent="0.25">
      <c r="B55" s="19"/>
    </row>
    <row r="56" spans="2:2" x14ac:dyDescent="0.25">
      <c r="B56" s="19"/>
    </row>
    <row r="57" spans="2:2" x14ac:dyDescent="0.25">
      <c r="B57" s="19"/>
    </row>
    <row r="58" spans="2:2" x14ac:dyDescent="0.25">
      <c r="B58" s="19"/>
    </row>
    <row r="59" spans="2:2" x14ac:dyDescent="0.25">
      <c r="B59" s="19"/>
    </row>
    <row r="60" spans="2:2" x14ac:dyDescent="0.25">
      <c r="B60" s="19"/>
    </row>
    <row r="61" spans="2:2" x14ac:dyDescent="0.25">
      <c r="B61" s="19"/>
    </row>
    <row r="62" spans="2:2" x14ac:dyDescent="0.25">
      <c r="B62" s="19"/>
    </row>
    <row r="63" spans="2:2" x14ac:dyDescent="0.25">
      <c r="B63" s="19"/>
    </row>
    <row r="64" spans="2:2" x14ac:dyDescent="0.25">
      <c r="B64" s="19"/>
    </row>
    <row r="65" spans="2:2" x14ac:dyDescent="0.25">
      <c r="B65" s="19"/>
    </row>
    <row r="66" spans="2:2" x14ac:dyDescent="0.25">
      <c r="B66" s="19"/>
    </row>
    <row r="67" spans="2:2" x14ac:dyDescent="0.25">
      <c r="B67" s="19"/>
    </row>
    <row r="68" spans="2:2" x14ac:dyDescent="0.25">
      <c r="B68" s="19"/>
    </row>
    <row r="69" spans="2:2" x14ac:dyDescent="0.25">
      <c r="B69" s="19"/>
    </row>
    <row r="70" spans="2:2" x14ac:dyDescent="0.25">
      <c r="B70" s="19"/>
    </row>
    <row r="71" spans="2:2" x14ac:dyDescent="0.25">
      <c r="B71" s="19"/>
    </row>
    <row r="72" spans="2:2" x14ac:dyDescent="0.25">
      <c r="B72" s="19"/>
    </row>
    <row r="73" spans="2:2" x14ac:dyDescent="0.25">
      <c r="B73" s="19"/>
    </row>
    <row r="74" spans="2:2" x14ac:dyDescent="0.25">
      <c r="B74" s="19"/>
    </row>
    <row r="75" spans="2:2" x14ac:dyDescent="0.25">
      <c r="B75" s="19"/>
    </row>
    <row r="76" spans="2:2" x14ac:dyDescent="0.25">
      <c r="B76" s="19"/>
    </row>
    <row r="77" spans="2:2" x14ac:dyDescent="0.25">
      <c r="B77" s="19"/>
    </row>
    <row r="78" spans="2:2" x14ac:dyDescent="0.25">
      <c r="B78" s="19"/>
    </row>
    <row r="79" spans="2:2" x14ac:dyDescent="0.25">
      <c r="B79" s="19"/>
    </row>
    <row r="80" spans="2:2" x14ac:dyDescent="0.25">
      <c r="B80" s="19"/>
    </row>
    <row r="81" spans="2:2" x14ac:dyDescent="0.25">
      <c r="B81" s="19"/>
    </row>
    <row r="82" spans="2:2" x14ac:dyDescent="0.25">
      <c r="B82" s="19"/>
    </row>
    <row r="83" spans="2:2" x14ac:dyDescent="0.25">
      <c r="B83" s="19"/>
    </row>
    <row r="84" spans="2:2" x14ac:dyDescent="0.25">
      <c r="B84" s="19"/>
    </row>
    <row r="85" spans="2:2" x14ac:dyDescent="0.25">
      <c r="B85" s="19"/>
    </row>
    <row r="86" spans="2:2" x14ac:dyDescent="0.25">
      <c r="B86" s="19"/>
    </row>
    <row r="87" spans="2:2" x14ac:dyDescent="0.25">
      <c r="B87" s="19"/>
    </row>
    <row r="88" spans="2:2" x14ac:dyDescent="0.25">
      <c r="B88" s="19"/>
    </row>
    <row r="89" spans="2:2" x14ac:dyDescent="0.25">
      <c r="B89" s="19"/>
    </row>
    <row r="90" spans="2:2" x14ac:dyDescent="0.25">
      <c r="B90" s="19"/>
    </row>
    <row r="91" spans="2:2" x14ac:dyDescent="0.25">
      <c r="B91" s="19"/>
    </row>
    <row r="92" spans="2:2" x14ac:dyDescent="0.25">
      <c r="B92" s="19"/>
    </row>
    <row r="93" spans="2:2" x14ac:dyDescent="0.25">
      <c r="B93" s="19"/>
    </row>
    <row r="94" spans="2:2" x14ac:dyDescent="0.25">
      <c r="B94" s="19"/>
    </row>
    <row r="95" spans="2:2" x14ac:dyDescent="0.25">
      <c r="B95" s="19"/>
    </row>
    <row r="96" spans="2:2" x14ac:dyDescent="0.25">
      <c r="B96" s="19"/>
    </row>
    <row r="97" spans="2:2" x14ac:dyDescent="0.25">
      <c r="B97" s="19"/>
    </row>
    <row r="98" spans="2:2" x14ac:dyDescent="0.25">
      <c r="B98" s="19"/>
    </row>
    <row r="99" spans="2:2" x14ac:dyDescent="0.25">
      <c r="B99" s="19"/>
    </row>
    <row r="100" spans="2:2" x14ac:dyDescent="0.25">
      <c r="B100" s="19"/>
    </row>
    <row r="101" spans="2:2" x14ac:dyDescent="0.25">
      <c r="B101" s="19"/>
    </row>
    <row r="102" spans="2:2" x14ac:dyDescent="0.25">
      <c r="B102" s="19"/>
    </row>
    <row r="103" spans="2:2" x14ac:dyDescent="0.25">
      <c r="B103" s="19"/>
    </row>
    <row r="104" spans="2:2" x14ac:dyDescent="0.25">
      <c r="B104" s="19"/>
    </row>
    <row r="105" spans="2:2" x14ac:dyDescent="0.25">
      <c r="B105" s="19"/>
    </row>
    <row r="106" spans="2:2" x14ac:dyDescent="0.25">
      <c r="B106" s="19"/>
    </row>
    <row r="107" spans="2:2" x14ac:dyDescent="0.25">
      <c r="B107" s="19"/>
    </row>
    <row r="108" spans="2:2" x14ac:dyDescent="0.25">
      <c r="B108" s="19"/>
    </row>
    <row r="109" spans="2:2" x14ac:dyDescent="0.25">
      <c r="B109" s="19"/>
    </row>
    <row r="110" spans="2:2" x14ac:dyDescent="0.25">
      <c r="B110" s="19"/>
    </row>
    <row r="111" spans="2:2" x14ac:dyDescent="0.25">
      <c r="B111" s="19"/>
    </row>
    <row r="112" spans="2:2" x14ac:dyDescent="0.25">
      <c r="B112" s="19"/>
    </row>
    <row r="113" spans="2:2" x14ac:dyDescent="0.25">
      <c r="B113" s="19"/>
    </row>
    <row r="114" spans="2:2" x14ac:dyDescent="0.25">
      <c r="B114" s="19"/>
    </row>
    <row r="115" spans="2:2" x14ac:dyDescent="0.25">
      <c r="B115" s="19"/>
    </row>
    <row r="116" spans="2:2" x14ac:dyDescent="0.25">
      <c r="B116" s="19"/>
    </row>
    <row r="117" spans="2:2" x14ac:dyDescent="0.25">
      <c r="B117" s="19"/>
    </row>
    <row r="118" spans="2:2" x14ac:dyDescent="0.25">
      <c r="B118" s="19"/>
    </row>
    <row r="119" spans="2:2" x14ac:dyDescent="0.25">
      <c r="B119" s="19"/>
    </row>
    <row r="120" spans="2:2" x14ac:dyDescent="0.25">
      <c r="B120" s="19"/>
    </row>
    <row r="121" spans="2:2" x14ac:dyDescent="0.25">
      <c r="B121" s="19"/>
    </row>
    <row r="122" spans="2:2" x14ac:dyDescent="0.25">
      <c r="B122" s="19"/>
    </row>
    <row r="123" spans="2:2" x14ac:dyDescent="0.25">
      <c r="B123" s="19"/>
    </row>
    <row r="124" spans="2:2" x14ac:dyDescent="0.25">
      <c r="B124" s="19"/>
    </row>
    <row r="125" spans="2:2" x14ac:dyDescent="0.25">
      <c r="B125" s="19"/>
    </row>
    <row r="126" spans="2:2" x14ac:dyDescent="0.25">
      <c r="B126" s="19"/>
    </row>
    <row r="127" spans="2:2" x14ac:dyDescent="0.25">
      <c r="B127" s="19"/>
    </row>
    <row r="128" spans="2:2" x14ac:dyDescent="0.25">
      <c r="B128" s="19"/>
    </row>
    <row r="129" spans="2:2" x14ac:dyDescent="0.25">
      <c r="B129" s="19"/>
    </row>
    <row r="130" spans="2:2" x14ac:dyDescent="0.25">
      <c r="B130" s="19"/>
    </row>
    <row r="131" spans="2:2" x14ac:dyDescent="0.25">
      <c r="B131" s="19"/>
    </row>
    <row r="132" spans="2:2" x14ac:dyDescent="0.25">
      <c r="B132" s="19"/>
    </row>
    <row r="133" spans="2:2" x14ac:dyDescent="0.25">
      <c r="B133" s="19"/>
    </row>
    <row r="134" spans="2:2" x14ac:dyDescent="0.25">
      <c r="B134" s="19"/>
    </row>
    <row r="135" spans="2:2" x14ac:dyDescent="0.25">
      <c r="B135" s="19"/>
    </row>
    <row r="136" spans="2:2" x14ac:dyDescent="0.25">
      <c r="B136" s="19"/>
    </row>
    <row r="137" spans="2:2" x14ac:dyDescent="0.25">
      <c r="B137" s="19"/>
    </row>
    <row r="138" spans="2:2" x14ac:dyDescent="0.25">
      <c r="B138" s="19"/>
    </row>
    <row r="139" spans="2:2" x14ac:dyDescent="0.25">
      <c r="B139" s="19"/>
    </row>
    <row r="140" spans="2:2" x14ac:dyDescent="0.25">
      <c r="B140" s="19"/>
    </row>
    <row r="141" spans="2:2" x14ac:dyDescent="0.25">
      <c r="B141" s="19"/>
    </row>
    <row r="142" spans="2:2" x14ac:dyDescent="0.25">
      <c r="B142" s="19"/>
    </row>
    <row r="143" spans="2:2" x14ac:dyDescent="0.25">
      <c r="B143" s="19"/>
    </row>
    <row r="144" spans="2:2" x14ac:dyDescent="0.25">
      <c r="B144" s="19"/>
    </row>
    <row r="145" spans="2:2" x14ac:dyDescent="0.25">
      <c r="B145" s="19"/>
    </row>
    <row r="146" spans="2:2" x14ac:dyDescent="0.25">
      <c r="B146" s="19"/>
    </row>
    <row r="147" spans="2:2" x14ac:dyDescent="0.25">
      <c r="B147" s="19"/>
    </row>
    <row r="148" spans="2:2" x14ac:dyDescent="0.25">
      <c r="B148" s="19"/>
    </row>
    <row r="149" spans="2:2" x14ac:dyDescent="0.25">
      <c r="B149" s="19"/>
    </row>
    <row r="150" spans="2:2" x14ac:dyDescent="0.25">
      <c r="B150" s="19"/>
    </row>
    <row r="151" spans="2:2" x14ac:dyDescent="0.25">
      <c r="B151" s="19"/>
    </row>
    <row r="152" spans="2:2" x14ac:dyDescent="0.25">
      <c r="B152" s="19"/>
    </row>
    <row r="153" spans="2:2" x14ac:dyDescent="0.25">
      <c r="B153" s="19"/>
    </row>
    <row r="154" spans="2:2" x14ac:dyDescent="0.25">
      <c r="B154" s="19"/>
    </row>
    <row r="155" spans="2:2" x14ac:dyDescent="0.25">
      <c r="B155" s="19"/>
    </row>
    <row r="156" spans="2:2" x14ac:dyDescent="0.25">
      <c r="B156" s="19"/>
    </row>
    <row r="157" spans="2:2" x14ac:dyDescent="0.25">
      <c r="B157" s="19"/>
    </row>
    <row r="158" spans="2:2" x14ac:dyDescent="0.25">
      <c r="B158" s="19"/>
    </row>
    <row r="159" spans="2:2" x14ac:dyDescent="0.25">
      <c r="B159" s="19"/>
    </row>
    <row r="160" spans="2:2" x14ac:dyDescent="0.25">
      <c r="B160" s="19"/>
    </row>
    <row r="161" spans="2:2" x14ac:dyDescent="0.25">
      <c r="B161" s="19"/>
    </row>
    <row r="162" spans="2:2" x14ac:dyDescent="0.25">
      <c r="B162" s="19"/>
    </row>
    <row r="163" spans="2:2" x14ac:dyDescent="0.25">
      <c r="B163" s="19"/>
    </row>
    <row r="164" spans="2:2" x14ac:dyDescent="0.25">
      <c r="B164" s="19"/>
    </row>
    <row r="165" spans="2:2" x14ac:dyDescent="0.25">
      <c r="B165" s="19"/>
    </row>
    <row r="166" spans="2:2" x14ac:dyDescent="0.25">
      <c r="B166" s="19"/>
    </row>
    <row r="167" spans="2:2" x14ac:dyDescent="0.25">
      <c r="B167" s="19"/>
    </row>
    <row r="168" spans="2:2" x14ac:dyDescent="0.25">
      <c r="B168" s="19"/>
    </row>
    <row r="169" spans="2:2" x14ac:dyDescent="0.25">
      <c r="B169" s="19"/>
    </row>
    <row r="170" spans="2:2" x14ac:dyDescent="0.25">
      <c r="B170" s="19"/>
    </row>
    <row r="171" spans="2:2" x14ac:dyDescent="0.25">
      <c r="B171" s="19"/>
    </row>
    <row r="172" spans="2:2" x14ac:dyDescent="0.25">
      <c r="B172" s="19"/>
    </row>
    <row r="173" spans="2:2" x14ac:dyDescent="0.25">
      <c r="B173" s="19"/>
    </row>
    <row r="174" spans="2:2" x14ac:dyDescent="0.25">
      <c r="B174" s="19"/>
    </row>
    <row r="175" spans="2:2" x14ac:dyDescent="0.25">
      <c r="B175" s="19"/>
    </row>
    <row r="176" spans="2:2" x14ac:dyDescent="0.25">
      <c r="B176" s="19"/>
    </row>
    <row r="177" spans="2:2" x14ac:dyDescent="0.25">
      <c r="B177" s="19"/>
    </row>
    <row r="178" spans="2:2" x14ac:dyDescent="0.25">
      <c r="B178" s="19"/>
    </row>
    <row r="179" spans="2:2" x14ac:dyDescent="0.25">
      <c r="B179" s="19"/>
    </row>
    <row r="180" spans="2:2" x14ac:dyDescent="0.25">
      <c r="B180" s="19"/>
    </row>
    <row r="181" spans="2:2" x14ac:dyDescent="0.25">
      <c r="B181" s="19"/>
    </row>
    <row r="182" spans="2:2" x14ac:dyDescent="0.25">
      <c r="B182" s="19"/>
    </row>
    <row r="183" spans="2:2" x14ac:dyDescent="0.25">
      <c r="B183" s="19"/>
    </row>
    <row r="184" spans="2:2" x14ac:dyDescent="0.25">
      <c r="B184" s="19"/>
    </row>
    <row r="185" spans="2:2" x14ac:dyDescent="0.25">
      <c r="B185" s="19"/>
    </row>
    <row r="186" spans="2:2" x14ac:dyDescent="0.25">
      <c r="B186" s="19"/>
    </row>
    <row r="187" spans="2:2" x14ac:dyDescent="0.25">
      <c r="B187" s="19"/>
    </row>
    <row r="188" spans="2:2" x14ac:dyDescent="0.25">
      <c r="B188" s="19"/>
    </row>
    <row r="189" spans="2:2" x14ac:dyDescent="0.25">
      <c r="B189" s="19"/>
    </row>
    <row r="190" spans="2:2" x14ac:dyDescent="0.25">
      <c r="B190" s="19"/>
    </row>
    <row r="191" spans="2:2" x14ac:dyDescent="0.25">
      <c r="B191" s="19"/>
    </row>
    <row r="192" spans="2:2" x14ac:dyDescent="0.25">
      <c r="B192" s="19"/>
    </row>
    <row r="193" spans="2:2" x14ac:dyDescent="0.25">
      <c r="B193" s="19"/>
    </row>
    <row r="194" spans="2:2" x14ac:dyDescent="0.25">
      <c r="B194" s="19"/>
    </row>
    <row r="195" spans="2:2" x14ac:dyDescent="0.25">
      <c r="B195" s="19"/>
    </row>
    <row r="196" spans="2:2" x14ac:dyDescent="0.25">
      <c r="B196" s="19"/>
    </row>
    <row r="197" spans="2:2" x14ac:dyDescent="0.25">
      <c r="B197" s="19"/>
    </row>
    <row r="198" spans="2:2" x14ac:dyDescent="0.25">
      <c r="B198" s="19"/>
    </row>
    <row r="199" spans="2:2" x14ac:dyDescent="0.25">
      <c r="B199" s="19"/>
    </row>
    <row r="200" spans="2:2" x14ac:dyDescent="0.25">
      <c r="B200" s="19"/>
    </row>
    <row r="201" spans="2:2" x14ac:dyDescent="0.25">
      <c r="B201" s="19"/>
    </row>
  </sheetData>
  <phoneticPr fontId="89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08E2-B0B3-45A5-9F07-88212913BA57}">
  <sheetPr>
    <outlinePr summaryBelow="0" summaryRight="0"/>
  </sheetPr>
  <dimension ref="A1:B26"/>
  <sheetViews>
    <sheetView workbookViewId="0"/>
  </sheetViews>
  <sheetFormatPr defaultColWidth="14" defaultRowHeight="13.2" x14ac:dyDescent="0.25"/>
  <cols>
    <col min="1" max="1" width="15" customWidth="1"/>
    <col min="2" max="2" width="29" customWidth="1"/>
  </cols>
  <sheetData>
    <row r="1" spans="1:2" x14ac:dyDescent="0.25">
      <c r="A1" s="9" t="s">
        <v>290</v>
      </c>
      <c r="B1" s="9" t="s">
        <v>293</v>
      </c>
    </row>
    <row r="2" spans="1:2" ht="13.8" x14ac:dyDescent="0.25">
      <c r="A2" s="35" t="s">
        <v>294</v>
      </c>
      <c r="B2" s="35" t="s">
        <v>295</v>
      </c>
    </row>
    <row r="3" spans="1:2" ht="13.8" x14ac:dyDescent="0.25">
      <c r="A3" s="35" t="s">
        <v>296</v>
      </c>
      <c r="B3" s="35" t="s">
        <v>83</v>
      </c>
    </row>
    <row r="4" spans="1:2" ht="13.8" x14ac:dyDescent="0.25">
      <c r="A4" s="35" t="s">
        <v>297</v>
      </c>
      <c r="B4" s="35" t="s">
        <v>96</v>
      </c>
    </row>
    <row r="5" spans="1:2" ht="13.8" x14ac:dyDescent="0.25">
      <c r="A5" s="35" t="s">
        <v>298</v>
      </c>
      <c r="B5" s="35" t="s">
        <v>109</v>
      </c>
    </row>
    <row r="6" spans="1:2" ht="13.8" x14ac:dyDescent="0.25">
      <c r="A6" s="35" t="s">
        <v>299</v>
      </c>
      <c r="B6" s="35" t="s">
        <v>110</v>
      </c>
    </row>
    <row r="7" spans="1:2" ht="13.8" x14ac:dyDescent="0.25">
      <c r="A7" s="35" t="s">
        <v>300</v>
      </c>
      <c r="B7" s="35" t="s">
        <v>301</v>
      </c>
    </row>
    <row r="8" spans="1:2" ht="13.8" x14ac:dyDescent="0.25">
      <c r="A8" s="35" t="s">
        <v>302</v>
      </c>
      <c r="B8" s="35" t="s">
        <v>73</v>
      </c>
    </row>
    <row r="9" spans="1:2" ht="13.8" x14ac:dyDescent="0.25">
      <c r="A9" s="35" t="s">
        <v>303</v>
      </c>
      <c r="B9" s="35" t="s">
        <v>133</v>
      </c>
    </row>
    <row r="10" spans="1:2" ht="13.8" x14ac:dyDescent="0.25">
      <c r="A10" s="35" t="s">
        <v>304</v>
      </c>
      <c r="B10" s="35" t="s">
        <v>305</v>
      </c>
    </row>
    <row r="11" spans="1:2" ht="13.8" x14ac:dyDescent="0.25">
      <c r="A11" s="35" t="s">
        <v>306</v>
      </c>
      <c r="B11" s="35" t="s">
        <v>307</v>
      </c>
    </row>
    <row r="12" spans="1:2" ht="13.8" x14ac:dyDescent="0.25">
      <c r="A12" s="35" t="s">
        <v>308</v>
      </c>
      <c r="B12" s="35" t="s">
        <v>309</v>
      </c>
    </row>
    <row r="13" spans="1:2" ht="13.8" x14ac:dyDescent="0.25">
      <c r="A13" s="35" t="s">
        <v>310</v>
      </c>
      <c r="B13" s="35" t="s">
        <v>311</v>
      </c>
    </row>
    <row r="14" spans="1:2" ht="13.8" x14ac:dyDescent="0.25">
      <c r="A14" s="35" t="s">
        <v>312</v>
      </c>
      <c r="B14" s="35" t="s">
        <v>313</v>
      </c>
    </row>
    <row r="15" spans="1:2" ht="13.8" x14ac:dyDescent="0.25">
      <c r="A15" s="35" t="s">
        <v>314</v>
      </c>
      <c r="B15" s="35" t="s">
        <v>315</v>
      </c>
    </row>
    <row r="16" spans="1:2" ht="13.8" x14ac:dyDescent="0.25">
      <c r="A16" s="35" t="s">
        <v>316</v>
      </c>
      <c r="B16" s="35" t="s">
        <v>317</v>
      </c>
    </row>
    <row r="17" spans="1:2" ht="13.8" x14ac:dyDescent="0.25">
      <c r="A17" s="35" t="s">
        <v>318</v>
      </c>
      <c r="B17" s="35" t="s">
        <v>319</v>
      </c>
    </row>
    <row r="18" spans="1:2" ht="13.8" x14ac:dyDescent="0.25">
      <c r="A18" s="35" t="s">
        <v>320</v>
      </c>
      <c r="B18" s="35" t="s">
        <v>321</v>
      </c>
    </row>
    <row r="19" spans="1:2" ht="13.8" x14ac:dyDescent="0.25">
      <c r="A19" s="35" t="s">
        <v>322</v>
      </c>
      <c r="B19" s="35" t="s">
        <v>66</v>
      </c>
    </row>
    <row r="20" spans="1:2" ht="13.8" x14ac:dyDescent="0.25">
      <c r="A20" s="35" t="s">
        <v>323</v>
      </c>
      <c r="B20" s="35" t="s">
        <v>120</v>
      </c>
    </row>
    <row r="21" spans="1:2" ht="13.8" x14ac:dyDescent="0.25">
      <c r="A21" s="35" t="s">
        <v>324</v>
      </c>
      <c r="B21" s="35" t="s">
        <v>78</v>
      </c>
    </row>
    <row r="22" spans="1:2" ht="13.8" x14ac:dyDescent="0.25">
      <c r="A22" s="35" t="s">
        <v>325</v>
      </c>
      <c r="B22" s="9" t="s">
        <v>140</v>
      </c>
    </row>
    <row r="23" spans="1:2" ht="13.8" x14ac:dyDescent="0.25">
      <c r="A23" s="35" t="s">
        <v>326</v>
      </c>
      <c r="B23" s="9" t="s">
        <v>90</v>
      </c>
    </row>
    <row r="24" spans="1:2" ht="13.8" x14ac:dyDescent="0.25">
      <c r="A24" s="35" t="s">
        <v>327</v>
      </c>
      <c r="B24" s="9" t="s">
        <v>103</v>
      </c>
    </row>
    <row r="25" spans="1:2" ht="13.8" x14ac:dyDescent="0.25">
      <c r="A25" s="35" t="s">
        <v>328</v>
      </c>
      <c r="B25" s="9" t="s">
        <v>115</v>
      </c>
    </row>
    <row r="26" spans="1:2" ht="13.8" x14ac:dyDescent="0.25">
      <c r="A26" s="35" t="s">
        <v>329</v>
      </c>
      <c r="B26" s="9" t="s">
        <v>136</v>
      </c>
    </row>
  </sheetData>
  <phoneticPr fontId="89" type="noConversion"/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0475-1507-4D6B-9429-A0846ED9E10D}">
  <sheetPr>
    <outlinePr summaryBelow="0" summaryRight="0"/>
  </sheetPr>
  <dimension ref="A1:P202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1" width="17" customWidth="1"/>
    <col min="2" max="2" width="14" customWidth="1"/>
    <col min="3" max="3" width="42" customWidth="1"/>
    <col min="4" max="4" width="41" customWidth="1"/>
    <col min="5" max="5" width="20" customWidth="1"/>
    <col min="6" max="8" width="8" customWidth="1"/>
    <col min="16" max="16" width="14" customWidth="1"/>
  </cols>
  <sheetData>
    <row r="1" spans="1:16" x14ac:dyDescent="0.25">
      <c r="A1" s="47" t="s">
        <v>330</v>
      </c>
      <c r="B1" s="47" t="s">
        <v>331</v>
      </c>
      <c r="C1" s="47" t="s">
        <v>332</v>
      </c>
      <c r="D1" s="47" t="s">
        <v>333</v>
      </c>
      <c r="E1" s="48" t="s">
        <v>334</v>
      </c>
      <c r="F1" s="48" t="s">
        <v>335</v>
      </c>
      <c r="G1" s="48" t="s">
        <v>336</v>
      </c>
      <c r="H1" s="48" t="s">
        <v>337</v>
      </c>
      <c r="I1" s="9"/>
      <c r="J1" s="9"/>
      <c r="K1" s="9"/>
      <c r="L1" s="9"/>
      <c r="M1" s="9"/>
      <c r="N1" s="9"/>
      <c r="O1" s="9"/>
      <c r="P1" s="1"/>
    </row>
    <row r="2" spans="1:16" x14ac:dyDescent="0.25">
      <c r="A2" s="43" t="s">
        <v>338</v>
      </c>
      <c r="B2" s="43"/>
      <c r="C2" s="43" t="s">
        <v>339</v>
      </c>
      <c r="D2" s="43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"/>
    </row>
    <row r="3" spans="1:16" x14ac:dyDescent="0.25">
      <c r="A3" s="45" t="s">
        <v>340</v>
      </c>
      <c r="B3" s="46" t="s">
        <v>341</v>
      </c>
      <c r="C3" s="46" t="s">
        <v>342</v>
      </c>
      <c r="D3" s="44" t="s">
        <v>343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"/>
    </row>
    <row r="4" spans="1:16" x14ac:dyDescent="0.25">
      <c r="A4" s="38" t="s">
        <v>344</v>
      </c>
      <c r="B4" s="36" t="s">
        <v>341</v>
      </c>
      <c r="C4" s="36" t="s">
        <v>345</v>
      </c>
      <c r="D4" s="36"/>
      <c r="E4" s="37" t="s">
        <v>346</v>
      </c>
      <c r="F4" s="9"/>
      <c r="G4" s="9"/>
      <c r="H4" s="9"/>
      <c r="I4" s="9"/>
      <c r="J4" s="9"/>
      <c r="K4" s="9"/>
      <c r="L4" s="9"/>
      <c r="M4" s="9"/>
      <c r="N4" s="9"/>
      <c r="O4" s="9"/>
      <c r="P4" s="1"/>
    </row>
    <row r="5" spans="1:16" x14ac:dyDescent="0.25">
      <c r="A5" s="38" t="s">
        <v>347</v>
      </c>
      <c r="B5" s="36" t="s">
        <v>341</v>
      </c>
      <c r="C5" s="36" t="s">
        <v>50</v>
      </c>
      <c r="D5" s="36"/>
      <c r="E5" s="37" t="s">
        <v>348</v>
      </c>
      <c r="F5" s="9"/>
      <c r="G5" s="9"/>
      <c r="H5" s="9"/>
      <c r="I5" s="9"/>
      <c r="J5" s="9"/>
      <c r="K5" s="9"/>
      <c r="L5" s="9"/>
      <c r="M5" s="9"/>
      <c r="N5" s="9"/>
      <c r="O5" s="9"/>
      <c r="P5" s="1"/>
    </row>
    <row r="6" spans="1:16" x14ac:dyDescent="0.25">
      <c r="A6" s="38" t="s">
        <v>349</v>
      </c>
      <c r="B6" s="36" t="s">
        <v>350</v>
      </c>
      <c r="C6" s="36" t="s">
        <v>351</v>
      </c>
      <c r="D6" s="36"/>
      <c r="E6" s="37" t="s">
        <v>352</v>
      </c>
      <c r="F6" s="9"/>
      <c r="G6" s="9"/>
      <c r="H6" s="9"/>
      <c r="I6" s="9"/>
      <c r="J6" s="9"/>
      <c r="K6" s="9"/>
      <c r="L6" s="9"/>
      <c r="M6" s="9"/>
      <c r="N6" s="9"/>
      <c r="O6" s="9"/>
      <c r="P6" s="1"/>
    </row>
    <row r="7" spans="1:16" x14ac:dyDescent="0.25">
      <c r="A7" s="38" t="s">
        <v>47</v>
      </c>
      <c r="B7" s="36" t="s">
        <v>350</v>
      </c>
      <c r="C7" s="36" t="s">
        <v>353</v>
      </c>
      <c r="D7" s="36"/>
      <c r="E7" s="37" t="s">
        <v>354</v>
      </c>
      <c r="F7" s="9"/>
      <c r="G7" s="9"/>
      <c r="H7" s="9"/>
      <c r="I7" s="9"/>
      <c r="J7" s="9"/>
      <c r="K7" s="9"/>
      <c r="L7" s="9"/>
      <c r="M7" s="9"/>
      <c r="N7" s="9"/>
      <c r="O7" s="9"/>
      <c r="P7" s="1"/>
    </row>
    <row r="8" spans="1:16" x14ac:dyDescent="0.25">
      <c r="A8" s="38" t="s">
        <v>355</v>
      </c>
      <c r="B8" s="36" t="s">
        <v>341</v>
      </c>
      <c r="C8" s="36" t="s">
        <v>356</v>
      </c>
      <c r="D8" s="36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"/>
    </row>
    <row r="9" spans="1:16" ht="25.2" x14ac:dyDescent="0.25">
      <c r="A9" s="38" t="s">
        <v>51</v>
      </c>
      <c r="B9" s="36" t="s">
        <v>350</v>
      </c>
      <c r="C9" s="36" t="s">
        <v>357</v>
      </c>
      <c r="D9" s="36" t="s">
        <v>358</v>
      </c>
      <c r="E9" s="37" t="s">
        <v>359</v>
      </c>
      <c r="F9" s="9"/>
      <c r="G9" s="9"/>
      <c r="H9" s="9"/>
      <c r="I9" s="9"/>
      <c r="J9" s="9"/>
      <c r="K9" s="9"/>
      <c r="L9" s="9"/>
      <c r="M9" s="9"/>
      <c r="N9" s="9"/>
      <c r="O9" s="9"/>
      <c r="P9" s="1"/>
    </row>
    <row r="10" spans="1:16" x14ac:dyDescent="0.25">
      <c r="A10" s="38" t="s">
        <v>52</v>
      </c>
      <c r="B10" s="36" t="s">
        <v>350</v>
      </c>
      <c r="C10" s="36" t="s">
        <v>360</v>
      </c>
      <c r="D10" s="36"/>
      <c r="E10" s="37" t="s">
        <v>361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1"/>
    </row>
    <row r="11" spans="1:16" x14ac:dyDescent="0.25">
      <c r="A11" s="38" t="s">
        <v>362</v>
      </c>
      <c r="B11" s="36" t="s">
        <v>350</v>
      </c>
      <c r="C11" s="36" t="s">
        <v>363</v>
      </c>
      <c r="D11" s="3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"/>
    </row>
    <row r="12" spans="1:16" x14ac:dyDescent="0.25">
      <c r="A12" s="38" t="s">
        <v>364</v>
      </c>
      <c r="B12" s="36" t="s">
        <v>350</v>
      </c>
      <c r="C12" s="36" t="s">
        <v>365</v>
      </c>
      <c r="D12" s="36" t="s">
        <v>366</v>
      </c>
      <c r="E12" s="37" t="s">
        <v>367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1"/>
    </row>
    <row r="13" spans="1:16" ht="46.05" customHeight="1" x14ac:dyDescent="0.25">
      <c r="A13" s="38" t="s">
        <v>368</v>
      </c>
      <c r="B13" s="36" t="s">
        <v>350</v>
      </c>
      <c r="C13" s="36" t="s">
        <v>369</v>
      </c>
      <c r="D13" s="36"/>
      <c r="E13" s="37" t="s">
        <v>370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1"/>
    </row>
    <row r="14" spans="1:16" ht="37.799999999999997" x14ac:dyDescent="0.25">
      <c r="A14" s="38" t="s">
        <v>371</v>
      </c>
      <c r="B14" s="36" t="s">
        <v>350</v>
      </c>
      <c r="C14" s="36" t="s">
        <v>372</v>
      </c>
      <c r="D14" s="36" t="s">
        <v>373</v>
      </c>
      <c r="E14" s="37" t="s">
        <v>374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1"/>
    </row>
    <row r="15" spans="1:16" ht="36.6" x14ac:dyDescent="0.25">
      <c r="A15" s="40" t="s">
        <v>59</v>
      </c>
      <c r="B15" s="36" t="s">
        <v>350</v>
      </c>
      <c r="C15" s="41" t="s">
        <v>0</v>
      </c>
      <c r="D15" s="36" t="s">
        <v>375</v>
      </c>
      <c r="E15" s="37" t="s">
        <v>376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1"/>
    </row>
    <row r="16" spans="1:16" x14ac:dyDescent="0.25">
      <c r="A16" s="38" t="s">
        <v>377</v>
      </c>
      <c r="B16" s="36" t="s">
        <v>341</v>
      </c>
      <c r="C16" s="36" t="s">
        <v>378</v>
      </c>
      <c r="D16" s="36" t="s">
        <v>379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"/>
    </row>
    <row r="17" spans="1:16" ht="25.2" x14ac:dyDescent="0.25">
      <c r="A17" s="40" t="s">
        <v>58</v>
      </c>
      <c r="B17" s="36" t="s">
        <v>350</v>
      </c>
      <c r="C17" s="36" t="s">
        <v>1</v>
      </c>
      <c r="D17" s="36" t="s">
        <v>380</v>
      </c>
      <c r="E17" s="37" t="s">
        <v>381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1"/>
    </row>
    <row r="18" spans="1:16" ht="25.2" x14ac:dyDescent="0.25">
      <c r="A18" s="38" t="s">
        <v>382</v>
      </c>
      <c r="B18" s="36" t="s">
        <v>350</v>
      </c>
      <c r="C18" s="36" t="s">
        <v>383</v>
      </c>
      <c r="D18" s="36"/>
      <c r="E18" s="37" t="s">
        <v>384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1"/>
    </row>
    <row r="19" spans="1:16" x14ac:dyDescent="0.25">
      <c r="A19" s="38" t="s">
        <v>385</v>
      </c>
      <c r="B19" s="36" t="s">
        <v>350</v>
      </c>
      <c r="C19" s="36" t="s">
        <v>386</v>
      </c>
      <c r="D19" s="3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"/>
    </row>
    <row r="20" spans="1:16" x14ac:dyDescent="0.25">
      <c r="A20" s="38" t="s">
        <v>387</v>
      </c>
      <c r="B20" s="36" t="s">
        <v>350</v>
      </c>
      <c r="C20" s="36" t="s">
        <v>388</v>
      </c>
      <c r="D20" s="3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"/>
    </row>
    <row r="21" spans="1:16" x14ac:dyDescent="0.25">
      <c r="A21" s="38" t="s">
        <v>389</v>
      </c>
      <c r="B21" s="36" t="s">
        <v>350</v>
      </c>
      <c r="C21" s="36" t="s">
        <v>390</v>
      </c>
      <c r="D21" s="3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"/>
    </row>
    <row r="22" spans="1:16" x14ac:dyDescent="0.25">
      <c r="A22" s="38" t="s">
        <v>391</v>
      </c>
      <c r="B22" s="36" t="s">
        <v>341</v>
      </c>
      <c r="C22" s="36" t="s">
        <v>392</v>
      </c>
      <c r="D22" s="3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"/>
    </row>
    <row r="23" spans="1:16" x14ac:dyDescent="0.25">
      <c r="A23" s="43" t="s">
        <v>393</v>
      </c>
      <c r="B23" s="43"/>
      <c r="C23" s="43" t="s">
        <v>394</v>
      </c>
      <c r="D23" s="43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"/>
    </row>
    <row r="24" spans="1:16" x14ac:dyDescent="0.25">
      <c r="A24" s="38" t="s">
        <v>395</v>
      </c>
      <c r="B24" s="36" t="s">
        <v>350</v>
      </c>
      <c r="C24" s="36" t="s">
        <v>396</v>
      </c>
      <c r="D24" s="3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"/>
    </row>
    <row r="25" spans="1:16" x14ac:dyDescent="0.25">
      <c r="A25" s="38" t="s">
        <v>397</v>
      </c>
      <c r="B25" s="36" t="s">
        <v>350</v>
      </c>
      <c r="C25" s="36" t="s">
        <v>398</v>
      </c>
      <c r="D25" s="3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"/>
    </row>
    <row r="26" spans="1:16" ht="25.2" x14ac:dyDescent="0.25">
      <c r="A26" s="38" t="s">
        <v>399</v>
      </c>
      <c r="B26" s="36" t="s">
        <v>350</v>
      </c>
      <c r="C26" s="36" t="s">
        <v>400</v>
      </c>
      <c r="D26" s="36" t="s">
        <v>401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"/>
    </row>
    <row r="27" spans="1:16" x14ac:dyDescent="0.25">
      <c r="A27" s="38" t="s">
        <v>402</v>
      </c>
      <c r="B27" s="36" t="s">
        <v>350</v>
      </c>
      <c r="C27" s="36" t="s">
        <v>403</v>
      </c>
      <c r="D27" s="36" t="s">
        <v>404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"/>
    </row>
    <row r="28" spans="1:16" x14ac:dyDescent="0.25">
      <c r="A28" s="43" t="s">
        <v>405</v>
      </c>
      <c r="B28" s="43"/>
      <c r="C28" s="43" t="s">
        <v>406</v>
      </c>
      <c r="D28" s="43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"/>
    </row>
    <row r="29" spans="1:16" ht="50.4" x14ac:dyDescent="0.25">
      <c r="A29" s="38" t="s">
        <v>407</v>
      </c>
      <c r="B29" s="36" t="s">
        <v>350</v>
      </c>
      <c r="C29" s="36" t="s">
        <v>408</v>
      </c>
      <c r="D29" s="36" t="s">
        <v>409</v>
      </c>
      <c r="E29" s="37" t="s">
        <v>410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1"/>
    </row>
    <row r="30" spans="1:16" ht="25.2" x14ac:dyDescent="0.25">
      <c r="A30" s="38" t="s">
        <v>411</v>
      </c>
      <c r="B30" s="36" t="s">
        <v>350</v>
      </c>
      <c r="C30" s="36" t="s">
        <v>412</v>
      </c>
      <c r="D30" s="36" t="s">
        <v>413</v>
      </c>
      <c r="E30" s="37" t="s">
        <v>414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42"/>
    </row>
    <row r="31" spans="1:16" ht="19.05" customHeight="1" x14ac:dyDescent="0.25">
      <c r="A31" s="38" t="s">
        <v>415</v>
      </c>
      <c r="B31" s="36" t="s">
        <v>350</v>
      </c>
      <c r="C31" s="36" t="s">
        <v>416</v>
      </c>
      <c r="D31" s="3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"/>
    </row>
    <row r="32" spans="1:16" x14ac:dyDescent="0.25">
      <c r="A32" s="38" t="s">
        <v>417</v>
      </c>
      <c r="B32" s="36"/>
      <c r="C32" s="36" t="s">
        <v>418</v>
      </c>
      <c r="D32" s="36" t="s">
        <v>419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42"/>
    </row>
    <row r="33" spans="1:16" x14ac:dyDescent="0.25">
      <c r="A33" s="43" t="s">
        <v>420</v>
      </c>
      <c r="B33" s="43"/>
      <c r="C33" s="43" t="s">
        <v>421</v>
      </c>
      <c r="D33" s="43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42"/>
    </row>
    <row r="34" spans="1:16" x14ac:dyDescent="0.25">
      <c r="A34" s="38" t="s">
        <v>422</v>
      </c>
      <c r="B34" s="36"/>
      <c r="C34" s="36" t="s">
        <v>423</v>
      </c>
      <c r="D34" s="36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"/>
    </row>
    <row r="35" spans="1:16" x14ac:dyDescent="0.25">
      <c r="A35" s="38" t="s">
        <v>424</v>
      </c>
      <c r="B35" s="36" t="s">
        <v>350</v>
      </c>
      <c r="C35" s="36" t="s">
        <v>425</v>
      </c>
      <c r="D35" s="36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"/>
    </row>
    <row r="36" spans="1:16" x14ac:dyDescent="0.25">
      <c r="A36" s="38" t="s">
        <v>426</v>
      </c>
      <c r="B36" s="36"/>
      <c r="C36" s="36" t="s">
        <v>427</v>
      </c>
      <c r="D36" s="36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"/>
    </row>
    <row r="37" spans="1:16" x14ac:dyDescent="0.25">
      <c r="A37" s="38" t="s">
        <v>428</v>
      </c>
      <c r="B37" s="36"/>
      <c r="C37" s="36" t="s">
        <v>427</v>
      </c>
      <c r="D37" s="36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"/>
    </row>
    <row r="38" spans="1:16" x14ac:dyDescent="0.25">
      <c r="A38" s="38" t="s">
        <v>429</v>
      </c>
      <c r="B38" s="36"/>
      <c r="C38" s="36" t="s">
        <v>427</v>
      </c>
      <c r="D38" s="36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"/>
    </row>
    <row r="39" spans="1:16" x14ac:dyDescent="0.25">
      <c r="A39" s="38" t="s">
        <v>430</v>
      </c>
      <c r="B39" s="36" t="s">
        <v>431</v>
      </c>
      <c r="C39" s="36"/>
      <c r="D39" s="36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"/>
    </row>
    <row r="40" spans="1:16" x14ac:dyDescent="0.25">
      <c r="A40" s="43" t="s">
        <v>432</v>
      </c>
      <c r="B40" s="43"/>
      <c r="C40" s="43" t="s">
        <v>433</v>
      </c>
      <c r="D40" s="43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"/>
    </row>
    <row r="41" spans="1:16" x14ac:dyDescent="0.25">
      <c r="A41" s="38" t="s">
        <v>434</v>
      </c>
      <c r="B41" s="36"/>
      <c r="C41" s="36"/>
      <c r="D41" s="36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"/>
    </row>
    <row r="42" spans="1:16" x14ac:dyDescent="0.25">
      <c r="A42" s="38" t="s">
        <v>435</v>
      </c>
      <c r="B42" s="36"/>
      <c r="C42" s="36"/>
      <c r="D42" s="36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"/>
    </row>
    <row r="43" spans="1:16" x14ac:dyDescent="0.25">
      <c r="A43" s="38" t="s">
        <v>436</v>
      </c>
      <c r="B43" s="36"/>
      <c r="C43" s="36"/>
      <c r="D43" s="36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"/>
    </row>
    <row r="44" spans="1:16" x14ac:dyDescent="0.25">
      <c r="A44" s="43" t="s">
        <v>437</v>
      </c>
      <c r="B44" s="43"/>
      <c r="C44" s="43" t="s">
        <v>438</v>
      </c>
      <c r="D44" s="43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"/>
    </row>
    <row r="45" spans="1:16" x14ac:dyDescent="0.25">
      <c r="A45" s="38" t="s">
        <v>438</v>
      </c>
      <c r="B45" s="36"/>
      <c r="C45" s="36"/>
      <c r="D45" s="36" t="s">
        <v>439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"/>
    </row>
    <row r="46" spans="1:16" x14ac:dyDescent="0.25">
      <c r="A46" s="38" t="s">
        <v>440</v>
      </c>
      <c r="B46" s="36"/>
      <c r="C46" s="36"/>
      <c r="D46" s="36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"/>
    </row>
    <row r="47" spans="1:16" x14ac:dyDescent="0.25">
      <c r="A47" s="38" t="s">
        <v>441</v>
      </c>
      <c r="B47" s="36"/>
      <c r="C47" s="36"/>
      <c r="D47" s="36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"/>
    </row>
    <row r="48" spans="1:16" x14ac:dyDescent="0.25">
      <c r="A48" s="43" t="s">
        <v>442</v>
      </c>
      <c r="B48" s="43"/>
      <c r="C48" s="43" t="s">
        <v>443</v>
      </c>
      <c r="D48" s="43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"/>
    </row>
    <row r="49" spans="1:16" ht="25.2" x14ac:dyDescent="0.25">
      <c r="A49" s="38" t="s">
        <v>444</v>
      </c>
      <c r="B49" s="36"/>
      <c r="C49" s="36" t="s">
        <v>445</v>
      </c>
      <c r="D49" s="36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"/>
    </row>
    <row r="50" spans="1:16" x14ac:dyDescent="0.25">
      <c r="A50" s="38" t="s">
        <v>446</v>
      </c>
      <c r="B50" s="39"/>
      <c r="C50" s="39" t="s">
        <v>447</v>
      </c>
      <c r="D50" s="36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1"/>
    </row>
    <row r="51" spans="1:16" x14ac:dyDescent="0.25">
      <c r="A51" s="38" t="s">
        <v>448</v>
      </c>
      <c r="B51" s="36"/>
      <c r="C51" s="36" t="s">
        <v>449</v>
      </c>
      <c r="D51" s="36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"/>
    </row>
    <row r="52" spans="1:16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"/>
    </row>
    <row r="53" spans="1:16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"/>
    </row>
    <row r="54" spans="1:16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"/>
    </row>
    <row r="55" spans="1:16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"/>
    </row>
    <row r="56" spans="1:16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"/>
    </row>
    <row r="57" spans="1:16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"/>
    </row>
    <row r="58" spans="1:16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"/>
    </row>
    <row r="59" spans="1:16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"/>
    </row>
    <row r="60" spans="1:16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"/>
    </row>
    <row r="61" spans="1:16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"/>
    </row>
    <row r="62" spans="1:16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1"/>
    </row>
    <row r="63" spans="1:16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1"/>
    </row>
    <row r="64" spans="1:16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1"/>
    </row>
    <row r="65" spans="1:16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1"/>
    </row>
    <row r="66" spans="1:16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"/>
    </row>
    <row r="67" spans="1:16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1"/>
    </row>
    <row r="68" spans="1:16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"/>
    </row>
    <row r="69" spans="1:16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"/>
    </row>
    <row r="70" spans="1:16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"/>
    </row>
    <row r="71" spans="1:16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1"/>
    </row>
    <row r="72" spans="1:16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1"/>
    </row>
    <row r="73" spans="1:16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1"/>
    </row>
    <row r="74" spans="1:16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1"/>
    </row>
    <row r="75" spans="1:16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"/>
    </row>
    <row r="76" spans="1:16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1"/>
    </row>
    <row r="77" spans="1:16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1"/>
    </row>
    <row r="78" spans="1:16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1"/>
    </row>
    <row r="79" spans="1:16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1"/>
    </row>
    <row r="80" spans="1:16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1"/>
    </row>
    <row r="81" spans="1:16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"/>
    </row>
    <row r="82" spans="1:16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"/>
    </row>
    <row r="83" spans="1:16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"/>
    </row>
    <row r="84" spans="1:16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"/>
    </row>
    <row r="85" spans="1:16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"/>
    </row>
    <row r="86" spans="1:16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"/>
    </row>
    <row r="87" spans="1:16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1"/>
    </row>
    <row r="88" spans="1:16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1"/>
    </row>
    <row r="89" spans="1:16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1"/>
    </row>
    <row r="90" spans="1:16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1"/>
    </row>
    <row r="91" spans="1:16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1"/>
    </row>
    <row r="92" spans="1:16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1"/>
    </row>
    <row r="93" spans="1:16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1"/>
    </row>
    <row r="94" spans="1:16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1"/>
    </row>
    <row r="95" spans="1:16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1"/>
    </row>
    <row r="96" spans="1:16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1"/>
    </row>
    <row r="97" spans="1:16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1"/>
    </row>
    <row r="98" spans="1:16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1"/>
    </row>
    <row r="99" spans="1:16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1"/>
    </row>
    <row r="100" spans="1:16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1"/>
    </row>
    <row r="101" spans="1:16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"/>
    </row>
    <row r="102" spans="1:16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1"/>
    </row>
    <row r="103" spans="1:16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"/>
    </row>
    <row r="104" spans="1:16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1"/>
    </row>
    <row r="105" spans="1:16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1"/>
    </row>
    <row r="106" spans="1:16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1"/>
    </row>
    <row r="107" spans="1:16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1"/>
    </row>
    <row r="108" spans="1:16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"/>
    </row>
    <row r="109" spans="1:16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1"/>
    </row>
    <row r="110" spans="1:16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1"/>
    </row>
    <row r="111" spans="1:16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1"/>
    </row>
    <row r="112" spans="1:16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1"/>
    </row>
    <row r="113" spans="1:16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1"/>
    </row>
    <row r="114" spans="1:16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1"/>
    </row>
    <row r="115" spans="1:16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1"/>
    </row>
    <row r="116" spans="1:16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1"/>
    </row>
    <row r="117" spans="1:16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1"/>
    </row>
    <row r="118" spans="1:16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1"/>
    </row>
    <row r="119" spans="1:16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1"/>
    </row>
    <row r="120" spans="1:16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1"/>
    </row>
    <row r="121" spans="1:16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1"/>
    </row>
    <row r="122" spans="1:16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1"/>
    </row>
    <row r="123" spans="1:16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1"/>
    </row>
    <row r="124" spans="1:16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1"/>
    </row>
    <row r="125" spans="1:16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"/>
    </row>
    <row r="126" spans="1:16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1"/>
    </row>
    <row r="127" spans="1:16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1"/>
    </row>
    <row r="128" spans="1:16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1"/>
    </row>
    <row r="129" spans="1:16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1"/>
    </row>
    <row r="130" spans="1:16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1"/>
    </row>
    <row r="131" spans="1:16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"/>
    </row>
    <row r="132" spans="1:16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1"/>
    </row>
    <row r="133" spans="1:16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1"/>
    </row>
    <row r="134" spans="1:16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1"/>
    </row>
    <row r="135" spans="1:16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1"/>
    </row>
    <row r="136" spans="1:16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1"/>
    </row>
    <row r="137" spans="1:16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"/>
    </row>
    <row r="138" spans="1:16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"/>
    </row>
    <row r="139" spans="1:16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"/>
    </row>
    <row r="140" spans="1:16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1"/>
    </row>
    <row r="141" spans="1:16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1"/>
    </row>
    <row r="142" spans="1:16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1"/>
    </row>
    <row r="143" spans="1:16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1"/>
    </row>
    <row r="144" spans="1:16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1"/>
    </row>
    <row r="145" spans="1:16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1"/>
    </row>
    <row r="146" spans="1:16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1"/>
    </row>
    <row r="147" spans="1:16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"/>
    </row>
    <row r="148" spans="1:16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1"/>
    </row>
    <row r="149" spans="1:16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"/>
    </row>
    <row r="150" spans="1:16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1"/>
    </row>
    <row r="151" spans="1:16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"/>
    </row>
    <row r="152" spans="1:16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1"/>
    </row>
    <row r="153" spans="1:16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1"/>
    </row>
    <row r="154" spans="1:16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1"/>
    </row>
    <row r="155" spans="1:16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"/>
    </row>
    <row r="156" spans="1:16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1"/>
    </row>
    <row r="157" spans="1:16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"/>
    </row>
    <row r="158" spans="1:16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1"/>
    </row>
    <row r="159" spans="1:16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1"/>
    </row>
    <row r="160" spans="1:16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1"/>
    </row>
    <row r="161" spans="1:16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1"/>
    </row>
    <row r="162" spans="1:16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1"/>
    </row>
    <row r="163" spans="1:16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"/>
    </row>
    <row r="164" spans="1:16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"/>
    </row>
    <row r="165" spans="1:16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1"/>
    </row>
    <row r="166" spans="1:16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1"/>
    </row>
    <row r="167" spans="1:16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1"/>
    </row>
    <row r="168" spans="1:16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"/>
    </row>
    <row r="169" spans="1:16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"/>
    </row>
    <row r="170" spans="1:16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1"/>
    </row>
    <row r="171" spans="1:16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1"/>
    </row>
    <row r="172" spans="1:16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1"/>
    </row>
    <row r="173" spans="1:16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1"/>
    </row>
    <row r="174" spans="1:16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1"/>
    </row>
    <row r="175" spans="1:16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"/>
    </row>
    <row r="176" spans="1:16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1"/>
    </row>
    <row r="177" spans="1:16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1"/>
    </row>
    <row r="178" spans="1:16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1"/>
    </row>
    <row r="179" spans="1:16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1"/>
    </row>
    <row r="180" spans="1:16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1"/>
    </row>
    <row r="181" spans="1:16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1"/>
    </row>
    <row r="182" spans="1:16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1"/>
    </row>
    <row r="183" spans="1:16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1"/>
    </row>
    <row r="184" spans="1:16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1"/>
    </row>
    <row r="185" spans="1:16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1"/>
    </row>
    <row r="186" spans="1:16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1"/>
    </row>
    <row r="187" spans="1:16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1"/>
    </row>
    <row r="188" spans="1:16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1"/>
    </row>
    <row r="189" spans="1:16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1"/>
    </row>
    <row r="190" spans="1:16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1"/>
    </row>
    <row r="191" spans="1:16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1"/>
    </row>
    <row r="192" spans="1:16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1"/>
    </row>
    <row r="193" spans="1:16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1"/>
    </row>
    <row r="194" spans="1:16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1"/>
    </row>
    <row r="195" spans="1:16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1"/>
    </row>
    <row r="196" spans="1:16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1"/>
    </row>
    <row r="197" spans="1:16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1"/>
    </row>
    <row r="198" spans="1:16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1"/>
    </row>
    <row r="199" spans="1:16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1"/>
    </row>
    <row r="200" spans="1:1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</sheetData>
  <phoneticPr fontId="89" type="noConversion"/>
  <dataValidations count="1">
    <dataValidation type="list" allowBlank="1" showErrorMessage="1" sqref="B2:B202" xr:uid="{00000000-0002-0000-0500-000000000000}">
      <formula1>"文本,下拉-单选,下拉-多选,日期,数值"</formula1>
    </dataValidation>
  </dataValidations>
  <pageMargins left="0.7" right="0.7" top="0.75" bottom="0.75" header="0.3" footer="0.3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DF78-581C-4550-847B-E2FF6DE229DE}">
  <sheetPr>
    <outlinePr summaryBelow="0" summaryRight="0"/>
  </sheetPr>
  <dimension ref="A1:U203"/>
  <sheetViews>
    <sheetView workbookViewId="0"/>
  </sheetViews>
  <sheetFormatPr defaultColWidth="14" defaultRowHeight="13.2" x14ac:dyDescent="0.25"/>
  <cols>
    <col min="1" max="1" width="17" customWidth="1"/>
    <col min="2" max="2" width="19" customWidth="1"/>
    <col min="3" max="3" width="33" customWidth="1"/>
    <col min="4" max="4" width="26" customWidth="1"/>
    <col min="5" max="5" width="9" customWidth="1"/>
    <col min="6" max="6" width="12" customWidth="1"/>
    <col min="7" max="7" width="9" customWidth="1"/>
    <col min="8" max="8" width="12" customWidth="1"/>
    <col min="9" max="9" width="55" customWidth="1"/>
    <col min="10" max="10" width="50" customWidth="1"/>
    <col min="21" max="21" width="14" customWidth="1"/>
  </cols>
  <sheetData>
    <row r="1" spans="1:21" x14ac:dyDescent="0.25">
      <c r="A1" s="82" t="s">
        <v>330</v>
      </c>
      <c r="B1" s="82" t="s">
        <v>450</v>
      </c>
      <c r="C1" s="82" t="s">
        <v>332</v>
      </c>
      <c r="D1" s="82" t="s">
        <v>333</v>
      </c>
      <c r="E1" s="82" t="s">
        <v>451</v>
      </c>
      <c r="F1" s="82"/>
      <c r="G1" s="82"/>
      <c r="H1" s="82"/>
      <c r="I1" s="82" t="s">
        <v>452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"/>
    </row>
    <row r="2" spans="1:21" x14ac:dyDescent="0.25">
      <c r="A2" s="82"/>
      <c r="B2" s="82"/>
      <c r="C2" s="82"/>
      <c r="D2" s="82"/>
      <c r="E2" s="54" t="s">
        <v>65</v>
      </c>
      <c r="F2" s="54" t="s">
        <v>89</v>
      </c>
      <c r="G2" s="54" t="s">
        <v>95</v>
      </c>
      <c r="H2" s="54" t="s">
        <v>105</v>
      </c>
      <c r="I2" s="82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"/>
    </row>
    <row r="3" spans="1:21" x14ac:dyDescent="0.25">
      <c r="A3" s="43" t="s">
        <v>338</v>
      </c>
      <c r="B3" s="43"/>
      <c r="C3" s="43" t="s">
        <v>339</v>
      </c>
      <c r="D3" s="43"/>
      <c r="E3" s="50"/>
      <c r="F3" s="50"/>
      <c r="G3" s="50"/>
      <c r="H3" s="50"/>
      <c r="I3" s="50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"/>
    </row>
    <row r="4" spans="1:21" x14ac:dyDescent="0.25">
      <c r="A4" s="53" t="s">
        <v>340</v>
      </c>
      <c r="B4" s="44"/>
      <c r="C4" s="44" t="s">
        <v>342</v>
      </c>
      <c r="D4" s="44" t="s">
        <v>343</v>
      </c>
      <c r="E4" s="52" t="s">
        <v>453</v>
      </c>
      <c r="F4" s="52" t="s">
        <v>453</v>
      </c>
      <c r="G4" s="52" t="s">
        <v>453</v>
      </c>
      <c r="H4" s="52" t="s">
        <v>453</v>
      </c>
      <c r="I4" s="52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"/>
    </row>
    <row r="5" spans="1:21" ht="25.2" x14ac:dyDescent="0.25">
      <c r="A5" s="38" t="s">
        <v>344</v>
      </c>
      <c r="B5" s="36"/>
      <c r="C5" s="36" t="s">
        <v>345</v>
      </c>
      <c r="D5" s="36"/>
      <c r="E5" s="49" t="s">
        <v>454</v>
      </c>
      <c r="F5" s="49" t="s">
        <v>454</v>
      </c>
      <c r="G5" s="49" t="s">
        <v>454</v>
      </c>
      <c r="H5" s="49" t="s">
        <v>454</v>
      </c>
      <c r="I5" s="4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"/>
    </row>
    <row r="6" spans="1:21" x14ac:dyDescent="0.25">
      <c r="A6" s="38" t="s">
        <v>347</v>
      </c>
      <c r="B6" s="36"/>
      <c r="C6" s="36" t="s">
        <v>50</v>
      </c>
      <c r="D6" s="36"/>
      <c r="E6" s="49" t="s">
        <v>454</v>
      </c>
      <c r="F6" s="49" t="s">
        <v>454</v>
      </c>
      <c r="G6" s="49" t="s">
        <v>454</v>
      </c>
      <c r="H6" s="49" t="s">
        <v>454</v>
      </c>
      <c r="I6" s="4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"/>
    </row>
    <row r="7" spans="1:21" ht="75.599999999999994" x14ac:dyDescent="0.25">
      <c r="A7" s="38" t="s">
        <v>349</v>
      </c>
      <c r="B7" s="36" t="s">
        <v>455</v>
      </c>
      <c r="C7" s="36" t="s">
        <v>456</v>
      </c>
      <c r="D7" s="36"/>
      <c r="E7" s="49" t="s">
        <v>454</v>
      </c>
      <c r="F7" s="49" t="s">
        <v>454</v>
      </c>
      <c r="G7" s="49" t="s">
        <v>454</v>
      </c>
      <c r="H7" s="49" t="s">
        <v>454</v>
      </c>
      <c r="I7" s="49" t="s">
        <v>457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</row>
    <row r="8" spans="1:21" ht="75.599999999999994" x14ac:dyDescent="0.25">
      <c r="A8" s="38" t="s">
        <v>47</v>
      </c>
      <c r="B8" s="36"/>
      <c r="C8" s="36" t="s">
        <v>458</v>
      </c>
      <c r="D8" s="36"/>
      <c r="E8" s="49" t="s">
        <v>454</v>
      </c>
      <c r="F8" s="49" t="s">
        <v>454</v>
      </c>
      <c r="G8" s="49" t="s">
        <v>454</v>
      </c>
      <c r="H8" s="49" t="s">
        <v>454</v>
      </c>
      <c r="I8" s="4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"/>
    </row>
    <row r="9" spans="1:21" x14ac:dyDescent="0.25">
      <c r="A9" s="38" t="s">
        <v>355</v>
      </c>
      <c r="B9" s="36"/>
      <c r="C9" s="36" t="s">
        <v>356</v>
      </c>
      <c r="D9" s="36"/>
      <c r="E9" s="49" t="s">
        <v>454</v>
      </c>
      <c r="F9" s="49" t="s">
        <v>459</v>
      </c>
      <c r="G9" s="49" t="s">
        <v>459</v>
      </c>
      <c r="H9" s="49" t="s">
        <v>459</v>
      </c>
      <c r="I9" s="4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"/>
    </row>
    <row r="10" spans="1:21" ht="63" x14ac:dyDescent="0.25">
      <c r="A10" s="38" t="s">
        <v>51</v>
      </c>
      <c r="B10" s="36" t="s">
        <v>460</v>
      </c>
      <c r="C10" s="36" t="s">
        <v>461</v>
      </c>
      <c r="D10" s="36" t="s">
        <v>358</v>
      </c>
      <c r="E10" s="49" t="s">
        <v>454</v>
      </c>
      <c r="F10" s="49" t="s">
        <v>454</v>
      </c>
      <c r="G10" s="49" t="s">
        <v>454</v>
      </c>
      <c r="H10" s="49" t="s">
        <v>454</v>
      </c>
      <c r="I10" s="4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"/>
    </row>
    <row r="11" spans="1:21" ht="75.599999999999994" x14ac:dyDescent="0.25">
      <c r="A11" s="38" t="s">
        <v>52</v>
      </c>
      <c r="B11" s="36" t="s">
        <v>460</v>
      </c>
      <c r="C11" s="36" t="s">
        <v>462</v>
      </c>
      <c r="D11" s="36"/>
      <c r="E11" s="49" t="s">
        <v>454</v>
      </c>
      <c r="F11" s="49" t="s">
        <v>454</v>
      </c>
      <c r="G11" s="49" t="s">
        <v>454</v>
      </c>
      <c r="H11" s="49" t="s">
        <v>454</v>
      </c>
      <c r="I11" s="4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"/>
    </row>
    <row r="12" spans="1:21" ht="63" x14ac:dyDescent="0.25">
      <c r="A12" s="38" t="s">
        <v>362</v>
      </c>
      <c r="B12" s="36" t="s">
        <v>460</v>
      </c>
      <c r="C12" s="36" t="s">
        <v>463</v>
      </c>
      <c r="D12" s="36"/>
      <c r="E12" s="49" t="s">
        <v>459</v>
      </c>
      <c r="F12" s="49" t="s">
        <v>459</v>
      </c>
      <c r="G12" s="49" t="s">
        <v>459</v>
      </c>
      <c r="H12" s="49" t="s">
        <v>459</v>
      </c>
      <c r="I12" s="4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"/>
    </row>
    <row r="13" spans="1:21" x14ac:dyDescent="0.25">
      <c r="A13" s="38" t="s">
        <v>364</v>
      </c>
      <c r="B13" s="36"/>
      <c r="C13" s="36" t="s">
        <v>365</v>
      </c>
      <c r="D13" s="36" t="s">
        <v>366</v>
      </c>
      <c r="E13" s="49" t="s">
        <v>454</v>
      </c>
      <c r="F13" s="49" t="s">
        <v>454</v>
      </c>
      <c r="G13" s="49" t="s">
        <v>454</v>
      </c>
      <c r="H13" s="49" t="s">
        <v>454</v>
      </c>
      <c r="I13" s="4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"/>
    </row>
    <row r="14" spans="1:21" ht="75.599999999999994" x14ac:dyDescent="0.25">
      <c r="A14" s="38" t="s">
        <v>371</v>
      </c>
      <c r="B14" s="36" t="s">
        <v>455</v>
      </c>
      <c r="C14" s="36" t="s">
        <v>372</v>
      </c>
      <c r="D14" s="36" t="s">
        <v>373</v>
      </c>
      <c r="E14" s="49" t="s">
        <v>459</v>
      </c>
      <c r="F14" s="49" t="s">
        <v>459</v>
      </c>
      <c r="G14" s="49" t="s">
        <v>459</v>
      </c>
      <c r="H14" s="49" t="s">
        <v>459</v>
      </c>
      <c r="I14" s="4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"/>
    </row>
    <row r="15" spans="1:21" ht="48.6" x14ac:dyDescent="0.25">
      <c r="A15" s="40" t="s">
        <v>59</v>
      </c>
      <c r="B15" s="36"/>
      <c r="C15" s="41" t="s">
        <v>0</v>
      </c>
      <c r="D15" s="36" t="s">
        <v>375</v>
      </c>
      <c r="E15" s="49" t="s">
        <v>459</v>
      </c>
      <c r="F15" s="49" t="s">
        <v>459</v>
      </c>
      <c r="G15" s="49" t="s">
        <v>459</v>
      </c>
      <c r="H15" s="49" t="s">
        <v>459</v>
      </c>
      <c r="I15" s="4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"/>
    </row>
    <row r="16" spans="1:21" ht="37.799999999999997" x14ac:dyDescent="0.25">
      <c r="A16" s="40" t="s">
        <v>58</v>
      </c>
      <c r="B16" s="36"/>
      <c r="C16" s="36" t="s">
        <v>1</v>
      </c>
      <c r="D16" s="36" t="s">
        <v>380</v>
      </c>
      <c r="E16" s="49" t="s">
        <v>454</v>
      </c>
      <c r="F16" s="49" t="s">
        <v>454</v>
      </c>
      <c r="G16" s="49" t="s">
        <v>454</v>
      </c>
      <c r="H16" s="49" t="s">
        <v>454</v>
      </c>
      <c r="I16" s="4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"/>
    </row>
    <row r="17" spans="1:21" ht="25.2" x14ac:dyDescent="0.25">
      <c r="A17" s="38" t="s">
        <v>382</v>
      </c>
      <c r="B17" s="36" t="s">
        <v>460</v>
      </c>
      <c r="C17" s="36" t="s">
        <v>383</v>
      </c>
      <c r="D17" s="36"/>
      <c r="E17" s="49" t="s">
        <v>459</v>
      </c>
      <c r="F17" s="49" t="s">
        <v>459</v>
      </c>
      <c r="G17" s="49" t="s">
        <v>459</v>
      </c>
      <c r="H17" s="49" t="s">
        <v>459</v>
      </c>
      <c r="I17" s="4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"/>
    </row>
    <row r="18" spans="1:21" x14ac:dyDescent="0.25">
      <c r="A18" s="38" t="s">
        <v>385</v>
      </c>
      <c r="B18" s="36"/>
      <c r="C18" s="36" t="s">
        <v>386</v>
      </c>
      <c r="D18" s="36"/>
      <c r="E18" s="49" t="s">
        <v>459</v>
      </c>
      <c r="F18" s="49" t="s">
        <v>459</v>
      </c>
      <c r="G18" s="49" t="s">
        <v>459</v>
      </c>
      <c r="H18" s="49" t="s">
        <v>459</v>
      </c>
      <c r="I18" s="4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"/>
    </row>
    <row r="19" spans="1:21" x14ac:dyDescent="0.25">
      <c r="A19" s="38" t="s">
        <v>387</v>
      </c>
      <c r="B19" s="36"/>
      <c r="C19" s="36" t="s">
        <v>388</v>
      </c>
      <c r="D19" s="36"/>
      <c r="E19" s="49" t="s">
        <v>459</v>
      </c>
      <c r="F19" s="49" t="s">
        <v>459</v>
      </c>
      <c r="G19" s="49" t="s">
        <v>459</v>
      </c>
      <c r="H19" s="49" t="s">
        <v>459</v>
      </c>
      <c r="I19" s="4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"/>
    </row>
    <row r="20" spans="1:21" x14ac:dyDescent="0.25">
      <c r="A20" s="38" t="s">
        <v>389</v>
      </c>
      <c r="B20" s="36"/>
      <c r="C20" s="36" t="s">
        <v>390</v>
      </c>
      <c r="D20" s="36"/>
      <c r="E20" s="49" t="s">
        <v>459</v>
      </c>
      <c r="F20" s="49" t="s">
        <v>459</v>
      </c>
      <c r="G20" s="49" t="s">
        <v>459</v>
      </c>
      <c r="H20" s="49" t="s">
        <v>459</v>
      </c>
      <c r="I20" s="4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"/>
    </row>
    <row r="21" spans="1:21" x14ac:dyDescent="0.25">
      <c r="A21" s="38" t="s">
        <v>391</v>
      </c>
      <c r="B21" s="36"/>
      <c r="C21" s="36" t="s">
        <v>392</v>
      </c>
      <c r="D21" s="36"/>
      <c r="E21" s="49" t="s">
        <v>459</v>
      </c>
      <c r="F21" s="49" t="s">
        <v>459</v>
      </c>
      <c r="G21" s="49" t="s">
        <v>459</v>
      </c>
      <c r="H21" s="49" t="s">
        <v>459</v>
      </c>
      <c r="I21" s="4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"/>
    </row>
    <row r="22" spans="1:21" x14ac:dyDescent="0.25">
      <c r="A22" s="43" t="s">
        <v>393</v>
      </c>
      <c r="B22" s="43"/>
      <c r="C22" s="43" t="s">
        <v>394</v>
      </c>
      <c r="D22" s="43"/>
      <c r="E22" s="51"/>
      <c r="F22" s="51"/>
      <c r="G22" s="51"/>
      <c r="H22" s="51"/>
      <c r="I22" s="51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"/>
    </row>
    <row r="23" spans="1:21" x14ac:dyDescent="0.25">
      <c r="A23" s="38" t="s">
        <v>415</v>
      </c>
      <c r="B23" s="36"/>
      <c r="C23" s="36" t="s">
        <v>416</v>
      </c>
      <c r="D23" s="36"/>
      <c r="E23" s="49" t="s">
        <v>459</v>
      </c>
      <c r="F23" s="49" t="s">
        <v>459</v>
      </c>
      <c r="G23" s="49" t="s">
        <v>459</v>
      </c>
      <c r="H23" s="49" t="s">
        <v>459</v>
      </c>
      <c r="I23" s="4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"/>
    </row>
    <row r="24" spans="1:21" ht="25.2" x14ac:dyDescent="0.25">
      <c r="A24" s="38" t="s">
        <v>377</v>
      </c>
      <c r="B24" s="36"/>
      <c r="C24" s="36" t="s">
        <v>378</v>
      </c>
      <c r="D24" s="36" t="s">
        <v>379</v>
      </c>
      <c r="E24" s="49" t="s">
        <v>454</v>
      </c>
      <c r="F24" s="49" t="s">
        <v>454</v>
      </c>
      <c r="G24" s="49" t="s">
        <v>454</v>
      </c>
      <c r="H24" s="49" t="s">
        <v>454</v>
      </c>
      <c r="I24" s="4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"/>
    </row>
    <row r="25" spans="1:21" x14ac:dyDescent="0.25">
      <c r="A25" s="38" t="s">
        <v>395</v>
      </c>
      <c r="B25" s="36"/>
      <c r="C25" s="36" t="s">
        <v>396</v>
      </c>
      <c r="D25" s="36"/>
      <c r="E25" s="49" t="s">
        <v>454</v>
      </c>
      <c r="F25" s="49" t="s">
        <v>454</v>
      </c>
      <c r="G25" s="49" t="s">
        <v>454</v>
      </c>
      <c r="H25" s="49" t="s">
        <v>454</v>
      </c>
      <c r="I25" s="4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"/>
    </row>
    <row r="26" spans="1:21" x14ac:dyDescent="0.25">
      <c r="A26" s="38" t="s">
        <v>397</v>
      </c>
      <c r="B26" s="36"/>
      <c r="C26" s="36" t="s">
        <v>398</v>
      </c>
      <c r="D26" s="36"/>
      <c r="E26" s="49" t="s">
        <v>454</v>
      </c>
      <c r="F26" s="49" t="s">
        <v>454</v>
      </c>
      <c r="G26" s="49" t="s">
        <v>454</v>
      </c>
      <c r="H26" s="49" t="s">
        <v>454</v>
      </c>
      <c r="I26" s="4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"/>
    </row>
    <row r="27" spans="1:21" ht="37.799999999999997" x14ac:dyDescent="0.25">
      <c r="A27" s="57" t="s">
        <v>464</v>
      </c>
      <c r="B27" s="55"/>
      <c r="C27" s="55" t="s">
        <v>465</v>
      </c>
      <c r="D27" s="55"/>
      <c r="E27" s="56" t="s">
        <v>454</v>
      </c>
      <c r="F27" s="56" t="s">
        <v>454</v>
      </c>
      <c r="G27" s="56" t="s">
        <v>454</v>
      </c>
      <c r="H27" s="56" t="s">
        <v>454</v>
      </c>
      <c r="I27" s="56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"/>
    </row>
    <row r="28" spans="1:21" ht="25.2" x14ac:dyDescent="0.25">
      <c r="A28" s="38" t="s">
        <v>399</v>
      </c>
      <c r="B28" s="36"/>
      <c r="C28" s="36" t="s">
        <v>400</v>
      </c>
      <c r="D28" s="36" t="s">
        <v>401</v>
      </c>
      <c r="E28" s="49" t="s">
        <v>454</v>
      </c>
      <c r="F28" s="49" t="s">
        <v>454</v>
      </c>
      <c r="G28" s="49" t="s">
        <v>454</v>
      </c>
      <c r="H28" s="49" t="s">
        <v>454</v>
      </c>
      <c r="I28" s="4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"/>
    </row>
    <row r="29" spans="1:21" x14ac:dyDescent="0.25">
      <c r="A29" s="38" t="s">
        <v>402</v>
      </c>
      <c r="B29" s="36"/>
      <c r="C29" s="36" t="s">
        <v>403</v>
      </c>
      <c r="D29" s="36" t="s">
        <v>404</v>
      </c>
      <c r="E29" s="49"/>
      <c r="F29" s="49"/>
      <c r="G29" s="49"/>
      <c r="H29" s="49"/>
      <c r="I29" s="4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"/>
    </row>
    <row r="30" spans="1:21" x14ac:dyDescent="0.25">
      <c r="A30" s="43" t="s">
        <v>405</v>
      </c>
      <c r="B30" s="43"/>
      <c r="C30" s="43" t="s">
        <v>406</v>
      </c>
      <c r="D30" s="43"/>
      <c r="E30" s="51"/>
      <c r="F30" s="51"/>
      <c r="G30" s="51"/>
      <c r="H30" s="51"/>
      <c r="I30" s="51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"/>
    </row>
    <row r="31" spans="1:21" ht="50.4" x14ac:dyDescent="0.25">
      <c r="A31" s="38" t="s">
        <v>407</v>
      </c>
      <c r="B31" s="36" t="s">
        <v>460</v>
      </c>
      <c r="C31" s="36" t="s">
        <v>408</v>
      </c>
      <c r="D31" s="36" t="s">
        <v>409</v>
      </c>
      <c r="E31" s="49" t="s">
        <v>454</v>
      </c>
      <c r="F31" s="49" t="s">
        <v>454</v>
      </c>
      <c r="G31" s="49" t="s">
        <v>454</v>
      </c>
      <c r="H31" s="49" t="s">
        <v>454</v>
      </c>
      <c r="I31" s="49" t="s">
        <v>466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"/>
    </row>
    <row r="32" spans="1:21" ht="37.799999999999997" x14ac:dyDescent="0.25">
      <c r="A32" s="38" t="s">
        <v>411</v>
      </c>
      <c r="B32" s="36" t="s">
        <v>460</v>
      </c>
      <c r="C32" s="36" t="s">
        <v>412</v>
      </c>
      <c r="D32" s="36" t="s">
        <v>413</v>
      </c>
      <c r="E32" s="49" t="s">
        <v>454</v>
      </c>
      <c r="F32" s="49" t="s">
        <v>454</v>
      </c>
      <c r="G32" s="49" t="s">
        <v>454</v>
      </c>
      <c r="H32" s="49" t="s">
        <v>454</v>
      </c>
      <c r="I32" s="49" t="s">
        <v>467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2"/>
    </row>
    <row r="33" spans="1:21" ht="25.2" x14ac:dyDescent="0.25">
      <c r="A33" s="38" t="s">
        <v>417</v>
      </c>
      <c r="B33" s="36"/>
      <c r="C33" s="36" t="s">
        <v>418</v>
      </c>
      <c r="D33" s="36" t="s">
        <v>419</v>
      </c>
      <c r="E33" s="49" t="s">
        <v>459</v>
      </c>
      <c r="F33" s="49" t="s">
        <v>459</v>
      </c>
      <c r="G33" s="49" t="s">
        <v>459</v>
      </c>
      <c r="H33" s="49" t="s">
        <v>459</v>
      </c>
      <c r="I33" s="49" t="s">
        <v>468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2"/>
    </row>
    <row r="34" spans="1:21" x14ac:dyDescent="0.25">
      <c r="A34" s="43" t="s">
        <v>420</v>
      </c>
      <c r="B34" s="43"/>
      <c r="C34" s="43" t="s">
        <v>421</v>
      </c>
      <c r="D34" s="43"/>
      <c r="E34" s="50"/>
      <c r="F34" s="50"/>
      <c r="G34" s="50"/>
      <c r="H34" s="50"/>
      <c r="I34" s="50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2"/>
    </row>
    <row r="35" spans="1:21" ht="25.2" x14ac:dyDescent="0.25">
      <c r="A35" s="38" t="s">
        <v>422</v>
      </c>
      <c r="B35" s="36"/>
      <c r="C35" s="36" t="s">
        <v>423</v>
      </c>
      <c r="D35" s="36"/>
      <c r="E35" s="49" t="s">
        <v>454</v>
      </c>
      <c r="F35" s="49" t="s">
        <v>454</v>
      </c>
      <c r="G35" s="49" t="s">
        <v>454</v>
      </c>
      <c r="H35" s="49" t="s">
        <v>454</v>
      </c>
      <c r="I35" s="4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"/>
    </row>
    <row r="36" spans="1:21" x14ac:dyDescent="0.25">
      <c r="A36" s="38" t="s">
        <v>424</v>
      </c>
      <c r="B36" s="36"/>
      <c r="C36" s="36" t="s">
        <v>425</v>
      </c>
      <c r="D36" s="36"/>
      <c r="E36" s="49" t="s">
        <v>454</v>
      </c>
      <c r="F36" s="49" t="s">
        <v>454</v>
      </c>
      <c r="G36" s="49" t="s">
        <v>454</v>
      </c>
      <c r="H36" s="49" t="s">
        <v>454</v>
      </c>
      <c r="I36" s="4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"/>
    </row>
    <row r="37" spans="1:21" x14ac:dyDescent="0.25">
      <c r="A37" s="38" t="s">
        <v>426</v>
      </c>
      <c r="B37" s="36"/>
      <c r="C37" s="36" t="s">
        <v>427</v>
      </c>
      <c r="D37" s="36"/>
      <c r="E37" s="49" t="s">
        <v>459</v>
      </c>
      <c r="F37" s="49" t="s">
        <v>454</v>
      </c>
      <c r="G37" s="49" t="s">
        <v>454</v>
      </c>
      <c r="H37" s="49" t="s">
        <v>459</v>
      </c>
      <c r="I37" s="4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"/>
    </row>
    <row r="38" spans="1:21" x14ac:dyDescent="0.25">
      <c r="A38" s="38" t="s">
        <v>428</v>
      </c>
      <c r="B38" s="36"/>
      <c r="C38" s="36" t="s">
        <v>427</v>
      </c>
      <c r="D38" s="36"/>
      <c r="E38" s="49" t="s">
        <v>459</v>
      </c>
      <c r="F38" s="49" t="s">
        <v>454</v>
      </c>
      <c r="G38" s="49" t="s">
        <v>454</v>
      </c>
      <c r="H38" s="49" t="s">
        <v>459</v>
      </c>
      <c r="I38" s="4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"/>
    </row>
    <row r="39" spans="1:21" x14ac:dyDescent="0.25">
      <c r="A39" s="38" t="s">
        <v>429</v>
      </c>
      <c r="B39" s="36"/>
      <c r="C39" s="36" t="s">
        <v>427</v>
      </c>
      <c r="D39" s="36"/>
      <c r="E39" s="49" t="s">
        <v>459</v>
      </c>
      <c r="F39" s="49" t="s">
        <v>454</v>
      </c>
      <c r="G39" s="49" t="s">
        <v>454</v>
      </c>
      <c r="H39" s="49" t="s">
        <v>459</v>
      </c>
      <c r="I39" s="4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"/>
    </row>
    <row r="40" spans="1:21" x14ac:dyDescent="0.25">
      <c r="A40" s="38" t="s">
        <v>430</v>
      </c>
      <c r="B40" s="36"/>
      <c r="C40" s="36"/>
      <c r="D40" s="36"/>
      <c r="E40" s="49" t="s">
        <v>454</v>
      </c>
      <c r="F40" s="49" t="s">
        <v>454</v>
      </c>
      <c r="G40" s="49" t="s">
        <v>454</v>
      </c>
      <c r="H40" s="49" t="s">
        <v>454</v>
      </c>
      <c r="I40" s="4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"/>
    </row>
    <row r="41" spans="1:21" x14ac:dyDescent="0.25">
      <c r="A41" s="43" t="s">
        <v>432</v>
      </c>
      <c r="B41" s="43"/>
      <c r="C41" s="43" t="s">
        <v>433</v>
      </c>
      <c r="D41" s="43"/>
      <c r="E41" s="51"/>
      <c r="F41" s="51"/>
      <c r="G41" s="51"/>
      <c r="H41" s="51"/>
      <c r="I41" s="51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"/>
    </row>
    <row r="42" spans="1:21" x14ac:dyDescent="0.25">
      <c r="A42" s="38" t="s">
        <v>434</v>
      </c>
      <c r="B42" s="36"/>
      <c r="C42" s="36"/>
      <c r="D42" s="36"/>
      <c r="E42" s="49" t="s">
        <v>454</v>
      </c>
      <c r="F42" s="49" t="s">
        <v>454</v>
      </c>
      <c r="G42" s="49" t="s">
        <v>454</v>
      </c>
      <c r="H42" s="49" t="s">
        <v>454</v>
      </c>
      <c r="I42" s="4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1"/>
    </row>
    <row r="43" spans="1:21" x14ac:dyDescent="0.25">
      <c r="A43" s="38" t="s">
        <v>435</v>
      </c>
      <c r="B43" s="36"/>
      <c r="C43" s="36"/>
      <c r="D43" s="36"/>
      <c r="E43" s="49" t="s">
        <v>454</v>
      </c>
      <c r="F43" s="49" t="s">
        <v>454</v>
      </c>
      <c r="G43" s="49" t="s">
        <v>454</v>
      </c>
      <c r="H43" s="49" t="s">
        <v>454</v>
      </c>
      <c r="I43" s="4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1"/>
    </row>
    <row r="44" spans="1:21" x14ac:dyDescent="0.25">
      <c r="A44" s="38" t="s">
        <v>436</v>
      </c>
      <c r="B44" s="36"/>
      <c r="C44" s="36"/>
      <c r="D44" s="36"/>
      <c r="E44" s="49" t="s">
        <v>454</v>
      </c>
      <c r="F44" s="49" t="s">
        <v>454</v>
      </c>
      <c r="G44" s="49" t="s">
        <v>454</v>
      </c>
      <c r="H44" s="49" t="s">
        <v>454</v>
      </c>
      <c r="I44" s="4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"/>
    </row>
    <row r="45" spans="1:21" x14ac:dyDescent="0.25">
      <c r="A45" s="43" t="s">
        <v>437</v>
      </c>
      <c r="B45" s="43"/>
      <c r="C45" s="43" t="s">
        <v>438</v>
      </c>
      <c r="D45" s="43"/>
      <c r="E45" s="51"/>
      <c r="F45" s="51"/>
      <c r="G45" s="51"/>
      <c r="H45" s="51"/>
      <c r="I45" s="51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"/>
    </row>
    <row r="46" spans="1:21" ht="25.2" x14ac:dyDescent="0.25">
      <c r="A46" s="38" t="s">
        <v>438</v>
      </c>
      <c r="B46" s="36"/>
      <c r="C46" s="36"/>
      <c r="D46" s="36" t="s">
        <v>439</v>
      </c>
      <c r="E46" s="49" t="s">
        <v>459</v>
      </c>
      <c r="F46" s="49" t="s">
        <v>454</v>
      </c>
      <c r="G46" s="49" t="s">
        <v>454</v>
      </c>
      <c r="H46" s="49" t="s">
        <v>459</v>
      </c>
      <c r="I46" s="4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1"/>
    </row>
    <row r="47" spans="1:21" x14ac:dyDescent="0.25">
      <c r="A47" s="38" t="s">
        <v>440</v>
      </c>
      <c r="B47" s="36"/>
      <c r="C47" s="36"/>
      <c r="D47" s="36"/>
      <c r="E47" s="49" t="s">
        <v>459</v>
      </c>
      <c r="F47" s="49" t="s">
        <v>454</v>
      </c>
      <c r="G47" s="49" t="s">
        <v>454</v>
      </c>
      <c r="H47" s="49" t="s">
        <v>459</v>
      </c>
      <c r="I47" s="4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1"/>
    </row>
    <row r="48" spans="1:21" x14ac:dyDescent="0.25">
      <c r="A48" s="38" t="s">
        <v>441</v>
      </c>
      <c r="B48" s="36"/>
      <c r="C48" s="36"/>
      <c r="D48" s="36"/>
      <c r="E48" s="49" t="s">
        <v>459</v>
      </c>
      <c r="F48" s="49" t="s">
        <v>454</v>
      </c>
      <c r="G48" s="49" t="s">
        <v>454</v>
      </c>
      <c r="H48" s="49" t="s">
        <v>459</v>
      </c>
      <c r="I48" s="4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"/>
    </row>
    <row r="49" spans="1:21" x14ac:dyDescent="0.25">
      <c r="A49" s="43" t="s">
        <v>442</v>
      </c>
      <c r="B49" s="43"/>
      <c r="C49" s="43" t="s">
        <v>443</v>
      </c>
      <c r="D49" s="43"/>
      <c r="E49" s="51"/>
      <c r="F49" s="51"/>
      <c r="G49" s="51"/>
      <c r="H49" s="51"/>
      <c r="I49" s="51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1"/>
    </row>
    <row r="50" spans="1:21" ht="25.2" x14ac:dyDescent="0.25">
      <c r="A50" s="38" t="s">
        <v>444</v>
      </c>
      <c r="B50" s="36"/>
      <c r="C50" s="36" t="s">
        <v>445</v>
      </c>
      <c r="D50" s="36"/>
      <c r="E50" s="49" t="s">
        <v>459</v>
      </c>
      <c r="F50" s="49" t="s">
        <v>459</v>
      </c>
      <c r="G50" s="49" t="s">
        <v>459</v>
      </c>
      <c r="H50" s="49" t="s">
        <v>459</v>
      </c>
      <c r="I50" s="49" t="s">
        <v>469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1"/>
    </row>
    <row r="51" spans="1:21" x14ac:dyDescent="0.25">
      <c r="A51" s="38" t="s">
        <v>446</v>
      </c>
      <c r="B51" s="39"/>
      <c r="C51" s="39" t="s">
        <v>447</v>
      </c>
      <c r="D51" s="36"/>
      <c r="E51" s="49" t="s">
        <v>459</v>
      </c>
      <c r="F51" s="49" t="s">
        <v>459</v>
      </c>
      <c r="G51" s="49" t="s">
        <v>459</v>
      </c>
      <c r="H51" s="49" t="s">
        <v>459</v>
      </c>
      <c r="I51" s="49" t="s">
        <v>469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1"/>
    </row>
    <row r="52" spans="1:21" x14ac:dyDescent="0.25">
      <c r="A52" s="38" t="s">
        <v>448</v>
      </c>
      <c r="B52" s="36"/>
      <c r="C52" s="36" t="s">
        <v>449</v>
      </c>
      <c r="D52" s="36"/>
      <c r="E52" s="49" t="s">
        <v>459</v>
      </c>
      <c r="F52" s="49" t="s">
        <v>459</v>
      </c>
      <c r="G52" s="49" t="s">
        <v>459</v>
      </c>
      <c r="H52" s="49" t="s">
        <v>459</v>
      </c>
      <c r="I52" s="49" t="s">
        <v>469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1"/>
    </row>
    <row r="53" spans="1:2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1"/>
    </row>
    <row r="54" spans="1:2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1"/>
    </row>
    <row r="55" spans="1:2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"/>
    </row>
    <row r="56" spans="1:2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"/>
    </row>
    <row r="57" spans="1:2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"/>
    </row>
    <row r="58" spans="1:2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1"/>
    </row>
    <row r="59" spans="1:2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"/>
    </row>
    <row r="60" spans="1:2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"/>
    </row>
    <row r="61" spans="1:2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"/>
    </row>
    <row r="62" spans="1:2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1"/>
    </row>
    <row r="63" spans="1:2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1"/>
    </row>
    <row r="64" spans="1:2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1"/>
    </row>
    <row r="65" spans="1:2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1"/>
    </row>
    <row r="66" spans="1:2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1"/>
    </row>
    <row r="67" spans="1:2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1"/>
    </row>
    <row r="68" spans="1:2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1"/>
    </row>
    <row r="69" spans="1:2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1"/>
    </row>
    <row r="70" spans="1:2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1"/>
    </row>
    <row r="71" spans="1:2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"/>
    </row>
    <row r="72" spans="1:2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"/>
    </row>
    <row r="73" spans="1:2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1"/>
    </row>
    <row r="74" spans="1:2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1"/>
    </row>
    <row r="75" spans="1:2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1"/>
    </row>
    <row r="76" spans="1:2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1"/>
    </row>
    <row r="77" spans="1:2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1"/>
    </row>
    <row r="78" spans="1:2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"/>
    </row>
    <row r="79" spans="1:2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1"/>
    </row>
    <row r="80" spans="1:2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1"/>
    </row>
    <row r="81" spans="1:2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1"/>
    </row>
    <row r="82" spans="1:2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1"/>
    </row>
    <row r="83" spans="1:2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1"/>
    </row>
    <row r="84" spans="1:2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1"/>
    </row>
    <row r="85" spans="1:2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1"/>
    </row>
    <row r="86" spans="1:2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1"/>
    </row>
    <row r="87" spans="1:2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1"/>
    </row>
    <row r="88" spans="1:2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1"/>
    </row>
    <row r="89" spans="1:2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1"/>
    </row>
    <row r="90" spans="1:2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1"/>
    </row>
    <row r="91" spans="1:2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1"/>
    </row>
    <row r="92" spans="1:2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"/>
    </row>
    <row r="93" spans="1:2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1"/>
    </row>
    <row r="94" spans="1:2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1"/>
    </row>
    <row r="95" spans="1:2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1"/>
    </row>
    <row r="96" spans="1:2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1"/>
    </row>
    <row r="97" spans="1:2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1"/>
    </row>
    <row r="98" spans="1:2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1"/>
    </row>
    <row r="99" spans="1:2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1"/>
    </row>
    <row r="100" spans="1:2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1"/>
    </row>
    <row r="101" spans="1:2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"/>
    </row>
    <row r="102" spans="1:2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"/>
    </row>
    <row r="103" spans="1:2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"/>
    </row>
    <row r="104" spans="1:2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"/>
    </row>
    <row r="105" spans="1:2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"/>
    </row>
    <row r="106" spans="1:2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"/>
    </row>
    <row r="107" spans="1:2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"/>
    </row>
    <row r="108" spans="1:2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"/>
    </row>
    <row r="109" spans="1:2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"/>
    </row>
    <row r="110" spans="1:2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1"/>
    </row>
    <row r="111" spans="1:2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"/>
    </row>
    <row r="112" spans="1:2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"/>
    </row>
    <row r="113" spans="1:2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"/>
    </row>
    <row r="114" spans="1:2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"/>
    </row>
    <row r="115" spans="1:2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"/>
    </row>
    <row r="116" spans="1:2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"/>
    </row>
    <row r="117" spans="1:2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1"/>
    </row>
    <row r="118" spans="1:2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1"/>
    </row>
    <row r="119" spans="1:2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"/>
    </row>
    <row r="120" spans="1:2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1"/>
    </row>
    <row r="121" spans="1:2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"/>
    </row>
    <row r="122" spans="1:2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"/>
    </row>
    <row r="123" spans="1:2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1"/>
    </row>
    <row r="124" spans="1:2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"/>
    </row>
    <row r="125" spans="1:2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1"/>
    </row>
    <row r="126" spans="1:2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1"/>
    </row>
    <row r="127" spans="1:2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"/>
    </row>
    <row r="128" spans="1:2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"/>
    </row>
    <row r="129" spans="1:2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1"/>
    </row>
    <row r="130" spans="1:2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1"/>
    </row>
    <row r="131" spans="1:2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1"/>
    </row>
    <row r="132" spans="1:2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1"/>
    </row>
    <row r="133" spans="1:2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1"/>
    </row>
    <row r="134" spans="1:2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1"/>
    </row>
    <row r="135" spans="1:2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1"/>
    </row>
    <row r="136" spans="1:2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1"/>
    </row>
    <row r="137" spans="1:2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1"/>
    </row>
    <row r="138" spans="1:2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1"/>
    </row>
    <row r="139" spans="1:2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1"/>
    </row>
    <row r="140" spans="1:2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1"/>
    </row>
    <row r="141" spans="1:2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"/>
    </row>
    <row r="142" spans="1:2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"/>
    </row>
    <row r="143" spans="1:2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1"/>
    </row>
    <row r="144" spans="1:2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"/>
    </row>
    <row r="145" spans="1:2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1"/>
    </row>
    <row r="146" spans="1:2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"/>
    </row>
    <row r="147" spans="1:2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"/>
    </row>
    <row r="148" spans="1:2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1"/>
    </row>
    <row r="149" spans="1:2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"/>
    </row>
    <row r="150" spans="1:2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1"/>
    </row>
    <row r="151" spans="1:2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1"/>
    </row>
    <row r="152" spans="1:2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1"/>
    </row>
    <row r="153" spans="1:2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1"/>
    </row>
    <row r="154" spans="1:2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1"/>
    </row>
    <row r="155" spans="1:2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1"/>
    </row>
    <row r="156" spans="1:2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"/>
    </row>
    <row r="157" spans="1:2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"/>
    </row>
    <row r="158" spans="1:2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"/>
    </row>
    <row r="159" spans="1:2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"/>
    </row>
    <row r="160" spans="1:2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1"/>
    </row>
    <row r="161" spans="1:2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"/>
    </row>
    <row r="162" spans="1:2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"/>
    </row>
    <row r="163" spans="1:2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"/>
    </row>
    <row r="164" spans="1:2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"/>
    </row>
    <row r="165" spans="1:2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1"/>
    </row>
    <row r="166" spans="1:2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"/>
    </row>
    <row r="167" spans="1:2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1"/>
    </row>
    <row r="168" spans="1:2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"/>
    </row>
    <row r="169" spans="1:2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"/>
    </row>
    <row r="170" spans="1:2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"/>
    </row>
    <row r="171" spans="1:2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"/>
    </row>
    <row r="172" spans="1:2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"/>
    </row>
    <row r="173" spans="1:2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1"/>
    </row>
    <row r="174" spans="1:2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"/>
    </row>
    <row r="175" spans="1:2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1"/>
    </row>
    <row r="176" spans="1:2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1"/>
    </row>
    <row r="177" spans="1:2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"/>
    </row>
    <row r="178" spans="1:2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1"/>
    </row>
    <row r="179" spans="1:2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1"/>
    </row>
    <row r="180" spans="1:2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1"/>
    </row>
    <row r="181" spans="1:2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"/>
    </row>
    <row r="182" spans="1:2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"/>
    </row>
    <row r="183" spans="1:2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1"/>
    </row>
    <row r="184" spans="1:2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"/>
    </row>
    <row r="185" spans="1:2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1"/>
    </row>
    <row r="186" spans="1:2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1"/>
    </row>
    <row r="187" spans="1:2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"/>
    </row>
    <row r="188" spans="1:2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1"/>
    </row>
    <row r="189" spans="1:2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"/>
    </row>
    <row r="190" spans="1:2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1"/>
    </row>
    <row r="191" spans="1:2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1"/>
    </row>
    <row r="192" spans="1:2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"/>
    </row>
    <row r="193" spans="1:2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1"/>
    </row>
    <row r="194" spans="1:2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"/>
    </row>
    <row r="195" spans="1:2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1"/>
    </row>
    <row r="196" spans="1:2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"/>
    </row>
    <row r="197" spans="1:2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"/>
    </row>
    <row r="198" spans="1:2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"/>
    </row>
    <row r="199" spans="1:2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"/>
    </row>
    <row r="200" spans="1:2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</sheetData>
  <mergeCells count="6">
    <mergeCell ref="I1:I2"/>
    <mergeCell ref="A1:A2"/>
    <mergeCell ref="B1:B2"/>
    <mergeCell ref="C1:C2"/>
    <mergeCell ref="D1:D2"/>
    <mergeCell ref="E1:H1"/>
  </mergeCells>
  <phoneticPr fontId="89" type="noConversion"/>
  <dataValidations count="5">
    <dataValidation type="list" allowBlank="1" showErrorMessage="1" sqref="H5:H21 H23:H29 H31:H33 H35:H40 H42:H44 H46:H48 H50:H52 G5:G21 G23:G29 G31:G33 G35:G40 G42:G44 G46:G48 G50:G52 E5:E21 E23:E29 E31:E33 E35:E40 E42:E44 E46:E48 E50:E52 F5:F21 F23:F29 F31:F33 F35:F40 F42:F44 F46:F48 F50:F52" xr:uid="{00000000-0002-0000-0600-000000000000}">
      <formula1>"必填,选填"</formula1>
    </dataValidation>
    <dataValidation type="list" allowBlank="1" showErrorMessage="1" sqref="B3:B52" xr:uid="{00000000-0002-0000-0600-000001000000}">
      <formula1>"目前已有,建议新增,建议修改"</formula1>
    </dataValidation>
    <dataValidation type="list" allowBlank="1" showErrorMessage="1" sqref="F2:F4 F22 F30 F34 F41 F45 F49 F53:F203" xr:uid="{00000000-0002-0000-0600-000002000000}">
      <formula1>"手动导入,接口获取"</formula1>
    </dataValidation>
    <dataValidation type="list" allowBlank="1" showErrorMessage="1" sqref="E2:E4 E22 E30 E34 E41 E45 E49 E53:E203 H2:H4 H22 H30 H34 H41 H45 H49 H53:H203" xr:uid="{00000000-0002-0000-0600-000003000000}">
      <formula1>"N,Y"</formula1>
    </dataValidation>
    <dataValidation type="list" allowBlank="1" showErrorMessage="1" sqref="G2:G4 G22 G30 G34 G41 G45 G49 G53:G203" xr:uid="{00000000-0002-0000-0600-000004000000}">
      <formula1>"P0,P1,P2"</formula1>
    </dataValidation>
  </dataValidations>
  <pageMargins left="0.7" right="0.7" top="0.75" bottom="0.75" header="0.3" footer="0.3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A98E-97BE-4027-95B9-C998D200CB48}">
  <sheetPr>
    <outlinePr summaryBelow="0" summaryRight="0"/>
  </sheetPr>
  <dimension ref="A1:S4"/>
  <sheetViews>
    <sheetView workbookViewId="0">
      <selection sqref="A1:I1"/>
    </sheetView>
  </sheetViews>
  <sheetFormatPr defaultColWidth="14" defaultRowHeight="13.2" x14ac:dyDescent="0.25"/>
  <cols>
    <col min="1" max="1" width="13" customWidth="1"/>
    <col min="2" max="2" width="10" customWidth="1"/>
    <col min="3" max="3" width="13" customWidth="1"/>
    <col min="4" max="4" width="7" customWidth="1"/>
    <col min="5" max="5" width="12" customWidth="1"/>
    <col min="6" max="6" width="24" customWidth="1"/>
    <col min="7" max="7" width="17" customWidth="1"/>
    <col min="8" max="8" width="18" customWidth="1"/>
    <col min="19" max="19" width="14" customWidth="1"/>
  </cols>
  <sheetData>
    <row r="1" spans="1:19" x14ac:dyDescent="0.25">
      <c r="A1" s="83" t="s">
        <v>399</v>
      </c>
      <c r="B1" s="83"/>
      <c r="C1" s="83"/>
      <c r="D1" s="83"/>
      <c r="E1" s="83"/>
      <c r="F1" s="83"/>
      <c r="G1" s="83"/>
      <c r="H1" s="83"/>
      <c r="I1" s="83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3.8" x14ac:dyDescent="0.25">
      <c r="A2" s="59" t="s">
        <v>330</v>
      </c>
      <c r="B2" s="59" t="s">
        <v>470</v>
      </c>
      <c r="C2" s="59" t="s">
        <v>471</v>
      </c>
      <c r="D2" s="59" t="s">
        <v>472</v>
      </c>
      <c r="E2" s="59" t="s">
        <v>473</v>
      </c>
      <c r="F2" s="59" t="s">
        <v>474</v>
      </c>
      <c r="G2" s="60" t="s">
        <v>475</v>
      </c>
      <c r="H2" s="60" t="s">
        <v>476</v>
      </c>
      <c r="I2" s="60" t="s">
        <v>477</v>
      </c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3.8" x14ac:dyDescent="0.25">
      <c r="A3" s="9" t="s">
        <v>399</v>
      </c>
      <c r="B3" s="9" t="s">
        <v>478</v>
      </c>
      <c r="C3" s="58"/>
      <c r="D3" s="9" t="s">
        <v>479</v>
      </c>
      <c r="E3" s="9"/>
      <c r="F3" s="9"/>
      <c r="G3" s="2" t="s">
        <v>478</v>
      </c>
      <c r="H3" s="2" t="s">
        <v>480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3.8" x14ac:dyDescent="0.25">
      <c r="A4" s="9" t="s">
        <v>196</v>
      </c>
      <c r="B4" s="9" t="s">
        <v>478</v>
      </c>
      <c r="C4" s="58"/>
      <c r="D4" s="9" t="s">
        <v>479</v>
      </c>
      <c r="E4" s="9" t="s">
        <v>481</v>
      </c>
      <c r="F4" s="9" t="s">
        <v>482</v>
      </c>
      <c r="G4" s="2" t="s">
        <v>478</v>
      </c>
      <c r="H4" s="2" t="s">
        <v>480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</row>
  </sheetData>
  <mergeCells count="1">
    <mergeCell ref="A1:I1"/>
  </mergeCells>
  <phoneticPr fontId="89" type="noConversion"/>
  <pageMargins left="0.7" right="0.7" top="0.75" bottom="0.75" header="0.3" footer="0.3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90A9-6BA7-4A0B-A114-44BAFCEA4B70}">
  <sheetPr>
    <outlinePr summaryBelow="0" summaryRight="0"/>
  </sheetPr>
  <dimension ref="A1:S4"/>
  <sheetViews>
    <sheetView workbookViewId="0"/>
  </sheetViews>
  <sheetFormatPr defaultColWidth="14" defaultRowHeight="13.2" x14ac:dyDescent="0.25"/>
  <cols>
    <col min="1" max="1" width="13" customWidth="1"/>
    <col min="2" max="2" width="10" customWidth="1"/>
    <col min="3" max="3" width="13" customWidth="1"/>
    <col min="4" max="4" width="7" customWidth="1"/>
    <col min="5" max="5" width="12" customWidth="1"/>
    <col min="6" max="6" width="24" customWidth="1"/>
    <col min="7" max="7" width="17" customWidth="1"/>
    <col min="8" max="8" width="18" customWidth="1"/>
    <col min="19" max="19" width="14" customWidth="1"/>
  </cols>
  <sheetData>
    <row r="1" spans="1:19" x14ac:dyDescent="0.25">
      <c r="A1" s="83" t="s">
        <v>399</v>
      </c>
      <c r="B1" s="83"/>
      <c r="C1" s="83"/>
      <c r="D1" s="83"/>
      <c r="E1" s="83"/>
      <c r="F1" s="83"/>
      <c r="G1" s="83"/>
      <c r="H1" s="83"/>
      <c r="I1" s="83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3.8" x14ac:dyDescent="0.25">
      <c r="A2" s="59" t="s">
        <v>330</v>
      </c>
      <c r="B2" s="59" t="s">
        <v>470</v>
      </c>
      <c r="C2" s="59" t="s">
        <v>471</v>
      </c>
      <c r="D2" s="59" t="s">
        <v>472</v>
      </c>
      <c r="E2" s="59" t="s">
        <v>473</v>
      </c>
      <c r="F2" s="59" t="s">
        <v>474</v>
      </c>
      <c r="G2" s="60" t="s">
        <v>475</v>
      </c>
      <c r="H2" s="60" t="s">
        <v>476</v>
      </c>
      <c r="I2" s="60" t="s">
        <v>477</v>
      </c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3.8" x14ac:dyDescent="0.25">
      <c r="A3" s="9" t="s">
        <v>402</v>
      </c>
      <c r="B3" s="9" t="s">
        <v>478</v>
      </c>
      <c r="C3" s="58"/>
      <c r="D3" s="9" t="s">
        <v>479</v>
      </c>
      <c r="E3" s="9"/>
      <c r="F3" s="9"/>
      <c r="G3" s="2" t="s">
        <v>478</v>
      </c>
      <c r="H3" s="2" t="s">
        <v>480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3.8" x14ac:dyDescent="0.25">
      <c r="A4" s="9" t="s">
        <v>196</v>
      </c>
      <c r="B4" s="9" t="s">
        <v>478</v>
      </c>
      <c r="C4" s="58"/>
      <c r="D4" s="9" t="s">
        <v>479</v>
      </c>
      <c r="E4" s="9" t="s">
        <v>481</v>
      </c>
      <c r="F4" s="9" t="s">
        <v>482</v>
      </c>
      <c r="G4" s="2" t="s">
        <v>478</v>
      </c>
      <c r="H4" s="2" t="s">
        <v>480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</row>
  </sheetData>
  <mergeCells count="1">
    <mergeCell ref="A1:I1"/>
  </mergeCells>
  <phoneticPr fontId="89" type="noConversion"/>
  <pageMargins left="0.7" right="0.7" top="0.75" bottom="0.75" header="0.3" footer="0.3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577F-3220-4969-8001-F6EF364E2567}">
  <sheetPr>
    <outlinePr summaryBelow="0" summaryRight="0"/>
  </sheetPr>
  <dimension ref="A1:S4"/>
  <sheetViews>
    <sheetView workbookViewId="0"/>
  </sheetViews>
  <sheetFormatPr defaultColWidth="14" defaultRowHeight="13.2" x14ac:dyDescent="0.25"/>
  <cols>
    <col min="1" max="1" width="13" customWidth="1"/>
    <col min="2" max="2" width="10" customWidth="1"/>
    <col min="3" max="3" width="13" customWidth="1"/>
    <col min="4" max="4" width="8" customWidth="1"/>
    <col min="5" max="5" width="15" customWidth="1"/>
    <col min="6" max="6" width="24" customWidth="1"/>
    <col min="7" max="7" width="17" customWidth="1"/>
    <col min="8" max="8" width="18" customWidth="1"/>
    <col min="19" max="19" width="14" customWidth="1"/>
  </cols>
  <sheetData>
    <row r="1" spans="1:19" x14ac:dyDescent="0.25">
      <c r="A1" s="83" t="s">
        <v>47</v>
      </c>
      <c r="B1" s="83"/>
      <c r="C1" s="83"/>
      <c r="D1" s="83"/>
      <c r="E1" s="83"/>
      <c r="F1" s="83"/>
      <c r="G1" s="83"/>
      <c r="H1" s="83"/>
      <c r="I1" s="83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3.8" x14ac:dyDescent="0.25">
      <c r="A2" s="59" t="s">
        <v>330</v>
      </c>
      <c r="B2" s="59" t="s">
        <v>470</v>
      </c>
      <c r="C2" s="59" t="s">
        <v>471</v>
      </c>
      <c r="D2" s="59" t="s">
        <v>472</v>
      </c>
      <c r="E2" s="59" t="s">
        <v>473</v>
      </c>
      <c r="F2" s="59" t="s">
        <v>474</v>
      </c>
      <c r="G2" s="60" t="s">
        <v>475</v>
      </c>
      <c r="H2" s="60" t="s">
        <v>476</v>
      </c>
      <c r="I2" s="60" t="s">
        <v>477</v>
      </c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3.8" x14ac:dyDescent="0.25">
      <c r="A3" s="9" t="s">
        <v>483</v>
      </c>
      <c r="B3" s="9" t="s">
        <v>478</v>
      </c>
      <c r="C3" s="58"/>
      <c r="D3" s="9" t="s">
        <v>479</v>
      </c>
      <c r="E3" s="9" t="s">
        <v>484</v>
      </c>
      <c r="F3" s="9" t="s">
        <v>485</v>
      </c>
      <c r="G3" s="2" t="s">
        <v>478</v>
      </c>
      <c r="H3" s="2" t="s">
        <v>480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3.8" x14ac:dyDescent="0.25">
      <c r="A4" s="9" t="s">
        <v>196</v>
      </c>
      <c r="B4" s="9" t="s">
        <v>478</v>
      </c>
      <c r="C4" s="58"/>
      <c r="D4" s="9" t="s">
        <v>479</v>
      </c>
      <c r="E4" s="9" t="s">
        <v>481</v>
      </c>
      <c r="F4" s="9" t="s">
        <v>482</v>
      </c>
      <c r="G4" s="2" t="s">
        <v>478</v>
      </c>
      <c r="H4" s="2" t="s">
        <v>480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</row>
  </sheetData>
  <mergeCells count="1">
    <mergeCell ref="A1:I1"/>
  </mergeCells>
  <phoneticPr fontId="89" type="noConversion"/>
  <pageMargins left="0.7" right="0.7" top="0.75" bottom="0.75" header="0.3" footer="0.3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CA86-18F2-47E3-A78F-F0F692C0B82D}">
  <sheetPr>
    <outlinePr summaryBelow="0" summaryRight="0"/>
  </sheetPr>
  <dimension ref="A1:S10"/>
  <sheetViews>
    <sheetView workbookViewId="0"/>
  </sheetViews>
  <sheetFormatPr defaultColWidth="14" defaultRowHeight="13.2" x14ac:dyDescent="0.25"/>
  <cols>
    <col min="1" max="1" width="13" customWidth="1"/>
    <col min="2" max="2" width="10" customWidth="1"/>
    <col min="3" max="3" width="13" customWidth="1"/>
    <col min="4" max="5" width="12" customWidth="1"/>
    <col min="6" max="6" width="24" customWidth="1"/>
    <col min="7" max="7" width="17" customWidth="1"/>
    <col min="8" max="8" width="18" customWidth="1"/>
    <col min="19" max="19" width="14" customWidth="1"/>
  </cols>
  <sheetData>
    <row r="1" spans="1:19" ht="13.8" x14ac:dyDescent="0.25">
      <c r="A1" s="88" t="s">
        <v>486</v>
      </c>
      <c r="B1" s="88"/>
      <c r="C1" s="88"/>
      <c r="D1" s="88"/>
      <c r="E1" s="88"/>
      <c r="F1" s="88"/>
      <c r="G1" s="88"/>
      <c r="H1" s="88"/>
      <c r="I1" s="88"/>
    </row>
    <row r="2" spans="1:19" ht="13.8" x14ac:dyDescent="0.25">
      <c r="A2" s="59" t="s">
        <v>330</v>
      </c>
      <c r="B2" s="59" t="s">
        <v>470</v>
      </c>
      <c r="C2" s="59" t="s">
        <v>471</v>
      </c>
      <c r="D2" s="59" t="s">
        <v>472</v>
      </c>
      <c r="E2" s="59" t="s">
        <v>473</v>
      </c>
      <c r="F2" s="59" t="s">
        <v>474</v>
      </c>
      <c r="G2" s="60" t="s">
        <v>475</v>
      </c>
      <c r="H2" s="60" t="s">
        <v>476</v>
      </c>
      <c r="I2" s="60" t="s">
        <v>477</v>
      </c>
    </row>
    <row r="3" spans="1:19" ht="13.8" x14ac:dyDescent="0.25">
      <c r="A3" s="87" t="s">
        <v>362</v>
      </c>
      <c r="B3" s="86" t="s">
        <v>478</v>
      </c>
      <c r="C3" s="58" t="s">
        <v>156</v>
      </c>
      <c r="D3" s="61"/>
      <c r="E3" s="86" t="s">
        <v>479</v>
      </c>
      <c r="F3" s="86" t="s">
        <v>487</v>
      </c>
      <c r="G3" s="85" t="s">
        <v>478</v>
      </c>
      <c r="H3" s="85" t="s">
        <v>478</v>
      </c>
      <c r="I3" s="84"/>
    </row>
    <row r="4" spans="1:19" ht="13.8" x14ac:dyDescent="0.25">
      <c r="A4" s="87"/>
      <c r="B4" s="86"/>
      <c r="C4" s="58" t="s">
        <v>157</v>
      </c>
      <c r="D4" s="9"/>
      <c r="E4" s="86"/>
      <c r="F4" s="86"/>
      <c r="G4" s="85"/>
      <c r="H4" s="85"/>
      <c r="I4" s="84"/>
    </row>
    <row r="5" spans="1:19" ht="13.8" x14ac:dyDescent="0.25">
      <c r="A5" s="87"/>
      <c r="B5" s="86"/>
      <c r="C5" s="58" t="s">
        <v>158</v>
      </c>
      <c r="D5" s="9"/>
      <c r="E5" s="86"/>
      <c r="F5" s="86"/>
      <c r="G5" s="85"/>
      <c r="H5" s="85"/>
      <c r="I5" s="84"/>
    </row>
    <row r="6" spans="1:19" ht="13.8" x14ac:dyDescent="0.25">
      <c r="A6" s="87"/>
      <c r="B6" s="86"/>
      <c r="C6" s="58" t="s">
        <v>159</v>
      </c>
      <c r="D6" s="9"/>
      <c r="E6" s="86"/>
      <c r="F6" s="86"/>
      <c r="G6" s="85"/>
      <c r="H6" s="85"/>
      <c r="I6" s="84"/>
    </row>
    <row r="7" spans="1:19" ht="13.8" x14ac:dyDescent="0.25">
      <c r="A7" s="87"/>
      <c r="B7" s="86"/>
      <c r="C7" s="58" t="s">
        <v>152</v>
      </c>
      <c r="D7" s="9"/>
      <c r="E7" s="86"/>
      <c r="F7" s="86"/>
      <c r="G7" s="85"/>
      <c r="H7" s="85"/>
      <c r="I7" s="84"/>
    </row>
    <row r="8" spans="1:19" x14ac:dyDescent="0.25">
      <c r="A8" s="2" t="s">
        <v>488</v>
      </c>
      <c r="B8" s="85" t="s">
        <v>478</v>
      </c>
      <c r="C8" s="9"/>
      <c r="D8" s="84"/>
      <c r="E8" s="9" t="s">
        <v>489</v>
      </c>
      <c r="F8" s="89" t="s">
        <v>490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5">
      <c r="A9" s="2" t="s">
        <v>491</v>
      </c>
      <c r="B9" s="85"/>
      <c r="C9" s="9"/>
      <c r="D9" s="84"/>
      <c r="E9" s="9" t="s">
        <v>492</v>
      </c>
      <c r="F9" s="8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25">
      <c r="A10" s="2" t="s">
        <v>493</v>
      </c>
      <c r="B10" s="85"/>
      <c r="C10" s="9"/>
      <c r="D10" s="84"/>
      <c r="E10" s="9" t="s">
        <v>494</v>
      </c>
      <c r="F10" s="8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</sheetData>
  <mergeCells count="11">
    <mergeCell ref="B3:B7"/>
    <mergeCell ref="A3:A7"/>
    <mergeCell ref="A1:I1"/>
    <mergeCell ref="B8:B10"/>
    <mergeCell ref="D8:D10"/>
    <mergeCell ref="F8:F10"/>
    <mergeCell ref="I3:I7"/>
    <mergeCell ref="H3:H7"/>
    <mergeCell ref="G3:G7"/>
    <mergeCell ref="F3:F7"/>
    <mergeCell ref="E3:E7"/>
  </mergeCells>
  <phoneticPr fontId="89" type="noConversion"/>
  <pageMargins left="0.7" right="0.7" top="0.75" bottom="0.75" header="0.3" footer="0.3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5A0A-4541-48CA-AC3C-278C7131F1BD}">
  <sheetPr>
    <outlinePr summaryBelow="0" summaryRight="0"/>
  </sheetPr>
  <dimension ref="A1:I10"/>
  <sheetViews>
    <sheetView workbookViewId="0"/>
  </sheetViews>
  <sheetFormatPr defaultColWidth="14" defaultRowHeight="13.2" x14ac:dyDescent="0.25"/>
  <cols>
    <col min="1" max="1" width="9" customWidth="1"/>
    <col min="2" max="2" width="10" customWidth="1"/>
    <col min="3" max="3" width="13" customWidth="1"/>
    <col min="4" max="5" width="12" customWidth="1"/>
    <col min="6" max="6" width="24" customWidth="1"/>
    <col min="7" max="7" width="17" customWidth="1"/>
    <col min="8" max="8" width="18" customWidth="1"/>
  </cols>
  <sheetData>
    <row r="1" spans="1:9" ht="13.8" x14ac:dyDescent="0.25">
      <c r="A1" s="88" t="s">
        <v>495</v>
      </c>
      <c r="B1" s="88"/>
      <c r="C1" s="88"/>
      <c r="D1" s="88"/>
      <c r="E1" s="88"/>
      <c r="F1" s="88"/>
      <c r="G1" s="88"/>
      <c r="H1" s="88"/>
      <c r="I1" s="88"/>
    </row>
    <row r="2" spans="1:9" ht="13.8" x14ac:dyDescent="0.25">
      <c r="A2" s="59" t="s">
        <v>330</v>
      </c>
      <c r="B2" s="59" t="s">
        <v>470</v>
      </c>
      <c r="C2" s="59" t="s">
        <v>471</v>
      </c>
      <c r="D2" s="59" t="s">
        <v>472</v>
      </c>
      <c r="E2" s="59" t="s">
        <v>473</v>
      </c>
      <c r="F2" s="59" t="s">
        <v>474</v>
      </c>
      <c r="G2" s="60" t="s">
        <v>475</v>
      </c>
      <c r="H2" s="60" t="s">
        <v>476</v>
      </c>
      <c r="I2" s="60" t="s">
        <v>477</v>
      </c>
    </row>
    <row r="3" spans="1:9" ht="13.8" x14ac:dyDescent="0.25">
      <c r="A3" s="87" t="s">
        <v>496</v>
      </c>
      <c r="B3" s="86" t="s">
        <v>478</v>
      </c>
      <c r="C3" s="58" t="s">
        <v>156</v>
      </c>
      <c r="D3" s="61"/>
      <c r="E3" s="86" t="s">
        <v>479</v>
      </c>
      <c r="F3" s="86" t="s">
        <v>487</v>
      </c>
      <c r="G3" s="85" t="s">
        <v>478</v>
      </c>
      <c r="H3" s="85" t="s">
        <v>478</v>
      </c>
      <c r="I3" s="84"/>
    </row>
    <row r="4" spans="1:9" ht="13.8" x14ac:dyDescent="0.25">
      <c r="A4" s="87"/>
      <c r="B4" s="86"/>
      <c r="C4" s="58" t="s">
        <v>157</v>
      </c>
      <c r="D4" s="9"/>
      <c r="E4" s="86"/>
      <c r="F4" s="86"/>
      <c r="G4" s="85"/>
      <c r="H4" s="85"/>
      <c r="I4" s="84"/>
    </row>
    <row r="5" spans="1:9" ht="13.8" x14ac:dyDescent="0.25">
      <c r="A5" s="87"/>
      <c r="B5" s="86"/>
      <c r="C5" s="58" t="s">
        <v>158</v>
      </c>
      <c r="D5" s="9"/>
      <c r="E5" s="86"/>
      <c r="F5" s="86"/>
      <c r="G5" s="85"/>
      <c r="H5" s="85"/>
      <c r="I5" s="84"/>
    </row>
    <row r="6" spans="1:9" ht="13.8" x14ac:dyDescent="0.25">
      <c r="A6" s="87"/>
      <c r="B6" s="86"/>
      <c r="C6" s="58" t="s">
        <v>159</v>
      </c>
      <c r="D6" s="9"/>
      <c r="E6" s="86"/>
      <c r="F6" s="86"/>
      <c r="G6" s="85"/>
      <c r="H6" s="85"/>
      <c r="I6" s="84"/>
    </row>
    <row r="7" spans="1:9" ht="13.8" x14ac:dyDescent="0.25">
      <c r="A7" s="87"/>
      <c r="B7" s="86"/>
      <c r="C7" s="58" t="s">
        <v>152</v>
      </c>
      <c r="D7" s="9"/>
      <c r="E7" s="86"/>
      <c r="F7" s="86"/>
      <c r="G7" s="85"/>
      <c r="H7" s="85"/>
      <c r="I7" s="84"/>
    </row>
    <row r="8" spans="1:9" x14ac:dyDescent="0.25">
      <c r="A8" s="9" t="s">
        <v>497</v>
      </c>
    </row>
    <row r="9" spans="1:9" x14ac:dyDescent="0.25">
      <c r="A9" s="9" t="s">
        <v>498</v>
      </c>
    </row>
    <row r="10" spans="1:9" x14ac:dyDescent="0.25">
      <c r="A10" s="9" t="s">
        <v>499</v>
      </c>
    </row>
  </sheetData>
  <mergeCells count="8">
    <mergeCell ref="B3:B7"/>
    <mergeCell ref="A3:A7"/>
    <mergeCell ref="A1:I1"/>
    <mergeCell ref="I3:I7"/>
    <mergeCell ref="H3:H7"/>
    <mergeCell ref="G3:G7"/>
    <mergeCell ref="F3:F7"/>
    <mergeCell ref="E3:E7"/>
  </mergeCells>
  <phoneticPr fontId="89" type="noConversion"/>
  <pageMargins left="0.7" right="0.7" top="0.75" bottom="0.75" header="0.3" footer="0.3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D8DA-B959-4423-A323-CA0679C72382}">
  <sheetPr>
    <outlinePr summaryBelow="0" summaryRight="0"/>
  </sheetPr>
  <dimension ref="A1:I31"/>
  <sheetViews>
    <sheetView workbookViewId="0"/>
  </sheetViews>
  <sheetFormatPr defaultColWidth="14" defaultRowHeight="13.2" x14ac:dyDescent="0.25"/>
  <cols>
    <col min="1" max="1" width="15" customWidth="1"/>
    <col min="2" max="2" width="10" customWidth="1"/>
    <col min="3" max="3" width="13" customWidth="1"/>
    <col min="4" max="5" width="12" customWidth="1"/>
    <col min="6" max="6" width="24" customWidth="1"/>
    <col min="7" max="7" width="17" customWidth="1"/>
    <col min="8" max="8" width="18" customWidth="1"/>
  </cols>
  <sheetData>
    <row r="1" spans="1:9" ht="13.8" x14ac:dyDescent="0.25">
      <c r="A1" s="59" t="s">
        <v>330</v>
      </c>
      <c r="B1" s="59" t="s">
        <v>470</v>
      </c>
      <c r="C1" s="59" t="s">
        <v>471</v>
      </c>
      <c r="D1" s="59" t="s">
        <v>472</v>
      </c>
      <c r="E1" s="59" t="s">
        <v>473</v>
      </c>
      <c r="F1" s="59" t="s">
        <v>474</v>
      </c>
      <c r="G1" s="60" t="s">
        <v>475</v>
      </c>
      <c r="H1" s="60" t="s">
        <v>476</v>
      </c>
      <c r="I1" s="60" t="s">
        <v>477</v>
      </c>
    </row>
    <row r="2" spans="1:9" ht="13.8" x14ac:dyDescent="0.25">
      <c r="A2" s="87" t="s">
        <v>500</v>
      </c>
      <c r="B2" s="86" t="s">
        <v>478</v>
      </c>
      <c r="C2" s="58" t="s">
        <v>156</v>
      </c>
      <c r="D2" s="61"/>
      <c r="E2" s="86" t="s">
        <v>479</v>
      </c>
      <c r="F2" s="86" t="s">
        <v>487</v>
      </c>
      <c r="G2" s="85" t="s">
        <v>478</v>
      </c>
      <c r="H2" s="85" t="s">
        <v>478</v>
      </c>
      <c r="I2" s="84"/>
    </row>
    <row r="3" spans="1:9" ht="13.8" x14ac:dyDescent="0.25">
      <c r="A3" s="87"/>
      <c r="B3" s="86"/>
      <c r="C3" s="58" t="s">
        <v>157</v>
      </c>
      <c r="D3" s="9"/>
      <c r="E3" s="86"/>
      <c r="F3" s="86"/>
      <c r="G3" s="85"/>
      <c r="H3" s="85"/>
      <c r="I3" s="84"/>
    </row>
    <row r="4" spans="1:9" ht="13.8" x14ac:dyDescent="0.25">
      <c r="A4" s="87"/>
      <c r="B4" s="86"/>
      <c r="C4" s="58" t="s">
        <v>158</v>
      </c>
      <c r="D4" s="9"/>
      <c r="E4" s="86"/>
      <c r="F4" s="86"/>
      <c r="G4" s="85"/>
      <c r="H4" s="85"/>
      <c r="I4" s="84"/>
    </row>
    <row r="5" spans="1:9" ht="13.8" x14ac:dyDescent="0.25">
      <c r="A5" s="87"/>
      <c r="B5" s="86"/>
      <c r="C5" s="58" t="s">
        <v>159</v>
      </c>
      <c r="D5" s="9"/>
      <c r="E5" s="86"/>
      <c r="F5" s="86"/>
      <c r="G5" s="85"/>
      <c r="H5" s="85"/>
      <c r="I5" s="84"/>
    </row>
    <row r="6" spans="1:9" ht="13.8" x14ac:dyDescent="0.25">
      <c r="A6" s="87"/>
      <c r="B6" s="86"/>
      <c r="C6" s="58" t="s">
        <v>152</v>
      </c>
      <c r="D6" s="9"/>
      <c r="E6" s="86"/>
      <c r="F6" s="86"/>
      <c r="G6" s="85"/>
      <c r="H6" s="85"/>
      <c r="I6" s="84"/>
    </row>
    <row r="7" spans="1:9" ht="13.8" x14ac:dyDescent="0.25">
      <c r="A7" s="87" t="s">
        <v>501</v>
      </c>
      <c r="B7" s="86" t="s">
        <v>478</v>
      </c>
      <c r="C7" s="58" t="s">
        <v>156</v>
      </c>
      <c r="D7" s="61" t="s">
        <v>64</v>
      </c>
      <c r="E7" s="86" t="s">
        <v>479</v>
      </c>
      <c r="F7" s="86" t="s">
        <v>487</v>
      </c>
      <c r="G7" s="85" t="s">
        <v>478</v>
      </c>
      <c r="H7" s="85" t="s">
        <v>478</v>
      </c>
      <c r="I7" s="84"/>
    </row>
    <row r="8" spans="1:9" ht="13.8" x14ac:dyDescent="0.25">
      <c r="A8" s="87"/>
      <c r="B8" s="86"/>
      <c r="C8" s="58" t="s">
        <v>157</v>
      </c>
      <c r="D8" s="9" t="s">
        <v>104</v>
      </c>
      <c r="E8" s="86"/>
      <c r="F8" s="86"/>
      <c r="G8" s="85"/>
      <c r="H8" s="85"/>
      <c r="I8" s="84"/>
    </row>
    <row r="9" spans="1:9" ht="13.8" x14ac:dyDescent="0.25">
      <c r="A9" s="87"/>
      <c r="B9" s="86"/>
      <c r="C9" s="58" t="s">
        <v>158</v>
      </c>
      <c r="D9" s="9" t="s">
        <v>502</v>
      </c>
      <c r="E9" s="86"/>
      <c r="F9" s="86"/>
      <c r="G9" s="85"/>
      <c r="H9" s="85"/>
      <c r="I9" s="84"/>
    </row>
    <row r="10" spans="1:9" ht="13.8" x14ac:dyDescent="0.25">
      <c r="A10" s="87"/>
      <c r="B10" s="86"/>
      <c r="C10" s="58" t="s">
        <v>159</v>
      </c>
      <c r="D10" s="9" t="s">
        <v>88</v>
      </c>
      <c r="E10" s="86"/>
      <c r="F10" s="86"/>
      <c r="G10" s="85"/>
      <c r="H10" s="85"/>
      <c r="I10" s="84"/>
    </row>
    <row r="11" spans="1:9" ht="13.8" x14ac:dyDescent="0.25">
      <c r="A11" s="87"/>
      <c r="B11" s="86"/>
      <c r="C11" s="58" t="s">
        <v>152</v>
      </c>
      <c r="D11" s="9" t="s">
        <v>503</v>
      </c>
      <c r="E11" s="86"/>
      <c r="F11" s="86"/>
      <c r="G11" s="85"/>
      <c r="H11" s="85"/>
      <c r="I11" s="84"/>
    </row>
    <row r="12" spans="1:9" ht="13.8" x14ac:dyDescent="0.25">
      <c r="A12" s="87" t="s">
        <v>52</v>
      </c>
      <c r="B12" s="86" t="s">
        <v>478</v>
      </c>
      <c r="C12" s="58" t="s">
        <v>156</v>
      </c>
      <c r="D12" s="61"/>
      <c r="E12" s="86" t="s">
        <v>479</v>
      </c>
      <c r="F12" s="86" t="s">
        <v>487</v>
      </c>
      <c r="G12" s="85" t="s">
        <v>478</v>
      </c>
      <c r="H12" s="85" t="s">
        <v>478</v>
      </c>
      <c r="I12" s="84"/>
    </row>
    <row r="13" spans="1:9" ht="13.8" x14ac:dyDescent="0.25">
      <c r="A13" s="87"/>
      <c r="B13" s="86"/>
      <c r="C13" s="58" t="s">
        <v>157</v>
      </c>
      <c r="D13" s="9"/>
      <c r="E13" s="86"/>
      <c r="F13" s="86"/>
      <c r="G13" s="85"/>
      <c r="H13" s="85"/>
      <c r="I13" s="84"/>
    </row>
    <row r="14" spans="1:9" ht="13.8" x14ac:dyDescent="0.25">
      <c r="A14" s="87"/>
      <c r="B14" s="86"/>
      <c r="C14" s="58" t="s">
        <v>158</v>
      </c>
      <c r="D14" s="9"/>
      <c r="E14" s="86"/>
      <c r="F14" s="86"/>
      <c r="G14" s="85"/>
      <c r="H14" s="85"/>
      <c r="I14" s="84"/>
    </row>
    <row r="15" spans="1:9" ht="13.8" x14ac:dyDescent="0.25">
      <c r="A15" s="87"/>
      <c r="B15" s="86"/>
      <c r="C15" s="58" t="s">
        <v>159</v>
      </c>
      <c r="D15" s="9"/>
      <c r="E15" s="86"/>
      <c r="F15" s="86"/>
      <c r="G15" s="85"/>
      <c r="H15" s="85"/>
      <c r="I15" s="84"/>
    </row>
    <row r="16" spans="1:9" ht="13.8" x14ac:dyDescent="0.25">
      <c r="A16" s="87"/>
      <c r="B16" s="86"/>
      <c r="C16" s="58" t="s">
        <v>152</v>
      </c>
      <c r="D16" s="9"/>
      <c r="E16" s="86"/>
      <c r="F16" s="86"/>
      <c r="G16" s="85"/>
      <c r="H16" s="85"/>
      <c r="I16" s="84"/>
    </row>
    <row r="17" spans="1:9" ht="13.8" x14ac:dyDescent="0.25">
      <c r="A17" s="90" t="s">
        <v>371</v>
      </c>
      <c r="B17" s="86" t="s">
        <v>478</v>
      </c>
      <c r="C17" s="58" t="s">
        <v>156</v>
      </c>
      <c r="D17" s="61"/>
      <c r="E17" s="86" t="s">
        <v>479</v>
      </c>
      <c r="F17" s="86" t="s">
        <v>487</v>
      </c>
      <c r="G17" s="85" t="s">
        <v>478</v>
      </c>
      <c r="H17" s="85" t="s">
        <v>478</v>
      </c>
      <c r="I17" s="84"/>
    </row>
    <row r="18" spans="1:9" ht="13.8" x14ac:dyDescent="0.25">
      <c r="A18" s="90"/>
      <c r="B18" s="86"/>
      <c r="C18" s="58" t="s">
        <v>157</v>
      </c>
      <c r="D18" s="9"/>
      <c r="E18" s="86"/>
      <c r="F18" s="86"/>
      <c r="G18" s="85"/>
      <c r="H18" s="85"/>
      <c r="I18" s="84"/>
    </row>
    <row r="19" spans="1:9" ht="13.8" x14ac:dyDescent="0.25">
      <c r="A19" s="90"/>
      <c r="B19" s="86"/>
      <c r="C19" s="58" t="s">
        <v>158</v>
      </c>
      <c r="D19" s="9"/>
      <c r="E19" s="86"/>
      <c r="F19" s="86"/>
      <c r="G19" s="85"/>
      <c r="H19" s="85"/>
      <c r="I19" s="84"/>
    </row>
    <row r="20" spans="1:9" ht="13.8" x14ac:dyDescent="0.25">
      <c r="A20" s="90"/>
      <c r="B20" s="86"/>
      <c r="C20" s="58" t="s">
        <v>159</v>
      </c>
      <c r="D20" s="9"/>
      <c r="E20" s="86"/>
      <c r="F20" s="86"/>
      <c r="G20" s="85"/>
      <c r="H20" s="85"/>
      <c r="I20" s="84"/>
    </row>
    <row r="21" spans="1:9" ht="13.8" x14ac:dyDescent="0.25">
      <c r="A21" s="90"/>
      <c r="B21" s="86"/>
      <c r="C21" s="58" t="s">
        <v>152</v>
      </c>
      <c r="D21" s="9"/>
      <c r="E21" s="86"/>
      <c r="F21" s="86"/>
      <c r="G21" s="85"/>
      <c r="H21" s="85"/>
      <c r="I21" s="84"/>
    </row>
    <row r="22" spans="1:9" ht="13.8" x14ac:dyDescent="0.25">
      <c r="A22" s="87" t="s">
        <v>364</v>
      </c>
      <c r="B22" s="86" t="s">
        <v>478</v>
      </c>
      <c r="C22" s="58" t="s">
        <v>156</v>
      </c>
      <c r="D22" s="61"/>
      <c r="E22" s="86" t="s">
        <v>479</v>
      </c>
      <c r="F22" s="86" t="s">
        <v>487</v>
      </c>
      <c r="G22" s="85" t="s">
        <v>478</v>
      </c>
      <c r="H22" s="85" t="s">
        <v>478</v>
      </c>
      <c r="I22" s="84"/>
    </row>
    <row r="23" spans="1:9" ht="13.8" x14ac:dyDescent="0.25">
      <c r="A23" s="87"/>
      <c r="B23" s="86"/>
      <c r="C23" s="58" t="s">
        <v>157</v>
      </c>
      <c r="D23" s="9"/>
      <c r="E23" s="86"/>
      <c r="F23" s="86"/>
      <c r="G23" s="85"/>
      <c r="H23" s="85"/>
      <c r="I23" s="84"/>
    </row>
    <row r="24" spans="1:9" ht="13.8" x14ac:dyDescent="0.25">
      <c r="A24" s="87"/>
      <c r="B24" s="86"/>
      <c r="C24" s="58" t="s">
        <v>158</v>
      </c>
      <c r="D24" s="9"/>
      <c r="E24" s="86"/>
      <c r="F24" s="86"/>
      <c r="G24" s="85"/>
      <c r="H24" s="85"/>
      <c r="I24" s="84"/>
    </row>
    <row r="25" spans="1:9" ht="13.8" x14ac:dyDescent="0.25">
      <c r="A25" s="87"/>
      <c r="B25" s="86"/>
      <c r="C25" s="58" t="s">
        <v>159</v>
      </c>
      <c r="D25" s="9"/>
      <c r="E25" s="86"/>
      <c r="F25" s="86"/>
      <c r="G25" s="85"/>
      <c r="H25" s="85"/>
      <c r="I25" s="84"/>
    </row>
    <row r="26" spans="1:9" ht="13.8" x14ac:dyDescent="0.25">
      <c r="A26" s="87"/>
      <c r="B26" s="86"/>
      <c r="C26" s="58" t="s">
        <v>152</v>
      </c>
      <c r="D26" s="9"/>
      <c r="E26" s="86"/>
      <c r="F26" s="86"/>
      <c r="G26" s="85"/>
      <c r="H26" s="85"/>
      <c r="I26" s="84"/>
    </row>
    <row r="27" spans="1:9" ht="13.8" x14ac:dyDescent="0.25">
      <c r="A27" s="90" t="s">
        <v>368</v>
      </c>
      <c r="B27" s="86" t="s">
        <v>478</v>
      </c>
      <c r="C27" s="58" t="s">
        <v>156</v>
      </c>
      <c r="D27" s="61"/>
      <c r="E27" s="86" t="s">
        <v>479</v>
      </c>
      <c r="F27" s="86" t="s">
        <v>487</v>
      </c>
      <c r="G27" s="85" t="s">
        <v>478</v>
      </c>
      <c r="H27" s="85" t="s">
        <v>478</v>
      </c>
      <c r="I27" s="84"/>
    </row>
    <row r="28" spans="1:9" ht="13.8" x14ac:dyDescent="0.25">
      <c r="A28" s="90"/>
      <c r="B28" s="86"/>
      <c r="C28" s="58" t="s">
        <v>157</v>
      </c>
      <c r="D28" s="9"/>
      <c r="E28" s="86"/>
      <c r="F28" s="86"/>
      <c r="G28" s="85"/>
      <c r="H28" s="85"/>
      <c r="I28" s="84"/>
    </row>
    <row r="29" spans="1:9" ht="13.8" x14ac:dyDescent="0.25">
      <c r="A29" s="90"/>
      <c r="B29" s="86"/>
      <c r="C29" s="58" t="s">
        <v>158</v>
      </c>
      <c r="D29" s="9"/>
      <c r="E29" s="86"/>
      <c r="F29" s="86"/>
      <c r="G29" s="85"/>
      <c r="H29" s="85"/>
      <c r="I29" s="84"/>
    </row>
    <row r="30" spans="1:9" ht="13.8" x14ac:dyDescent="0.25">
      <c r="A30" s="90"/>
      <c r="B30" s="86"/>
      <c r="C30" s="58" t="s">
        <v>159</v>
      </c>
      <c r="D30" s="9"/>
      <c r="E30" s="86"/>
      <c r="F30" s="86"/>
      <c r="G30" s="85"/>
      <c r="H30" s="85"/>
      <c r="I30" s="84"/>
    </row>
    <row r="31" spans="1:9" ht="13.8" x14ac:dyDescent="0.25">
      <c r="A31" s="90"/>
      <c r="B31" s="86"/>
      <c r="C31" s="58" t="s">
        <v>152</v>
      </c>
      <c r="D31" s="9"/>
      <c r="E31" s="86"/>
      <c r="F31" s="86"/>
      <c r="G31" s="85"/>
      <c r="H31" s="85"/>
      <c r="I31" s="84"/>
    </row>
  </sheetData>
  <mergeCells count="42">
    <mergeCell ref="H22:H26"/>
    <mergeCell ref="I22:I26"/>
    <mergeCell ref="A27:A31"/>
    <mergeCell ref="B27:B31"/>
    <mergeCell ref="E27:E31"/>
    <mergeCell ref="F27:F31"/>
    <mergeCell ref="G27:G31"/>
    <mergeCell ref="H27:H31"/>
    <mergeCell ref="I27:I31"/>
    <mergeCell ref="A22:A26"/>
    <mergeCell ref="B22:B26"/>
    <mergeCell ref="E22:E26"/>
    <mergeCell ref="F22:F26"/>
    <mergeCell ref="G22:G26"/>
    <mergeCell ref="H12:H16"/>
    <mergeCell ref="I12:I16"/>
    <mergeCell ref="A17:A21"/>
    <mergeCell ref="B17:B21"/>
    <mergeCell ref="E17:E21"/>
    <mergeCell ref="F17:F21"/>
    <mergeCell ref="G17:G21"/>
    <mergeCell ref="H17:H21"/>
    <mergeCell ref="I17:I21"/>
    <mergeCell ref="A12:A16"/>
    <mergeCell ref="B12:B16"/>
    <mergeCell ref="E12:E16"/>
    <mergeCell ref="F12:F16"/>
    <mergeCell ref="G12:G16"/>
    <mergeCell ref="H2:H6"/>
    <mergeCell ref="I2:I6"/>
    <mergeCell ref="A7:A11"/>
    <mergeCell ref="B7:B11"/>
    <mergeCell ref="E7:E11"/>
    <mergeCell ref="F7:F11"/>
    <mergeCell ref="G7:G11"/>
    <mergeCell ref="H7:H11"/>
    <mergeCell ref="I7:I11"/>
    <mergeCell ref="A2:A6"/>
    <mergeCell ref="B2:B6"/>
    <mergeCell ref="E2:E6"/>
    <mergeCell ref="F2:F6"/>
    <mergeCell ref="G2:G6"/>
  </mergeCells>
  <phoneticPr fontId="89" type="noConversion"/>
  <pageMargins left="0.7" right="0.7" top="0.75" bottom="0.75" header="0.3" footer="0.3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8165-AF20-470B-BDBB-73EDD5BD529B}">
  <sheetPr>
    <outlinePr summaryBelow="0" summaryRight="0"/>
  </sheetPr>
  <dimension ref="A1:AN200"/>
  <sheetViews>
    <sheetView workbookViewId="0"/>
  </sheetViews>
  <sheetFormatPr defaultColWidth="14" defaultRowHeight="13.2" x14ac:dyDescent="0.25"/>
  <sheetData>
    <row r="1" spans="1:40" ht="15.6" x14ac:dyDescent="0.25">
      <c r="A1" s="76" t="s">
        <v>46</v>
      </c>
      <c r="B1" s="76" t="s">
        <v>504</v>
      </c>
      <c r="C1" s="76" t="s">
        <v>50</v>
      </c>
      <c r="D1" s="75" t="s">
        <v>505</v>
      </c>
      <c r="E1" s="75" t="s">
        <v>501</v>
      </c>
      <c r="F1" s="75" t="s">
        <v>506</v>
      </c>
      <c r="G1" s="75" t="s">
        <v>415</v>
      </c>
      <c r="H1" s="75" t="s">
        <v>411</v>
      </c>
      <c r="I1" s="75" t="s">
        <v>48</v>
      </c>
      <c r="J1" s="75" t="s">
        <v>507</v>
      </c>
      <c r="K1" s="75" t="s">
        <v>508</v>
      </c>
      <c r="L1" s="75" t="s">
        <v>509</v>
      </c>
      <c r="M1" s="75" t="s">
        <v>53</v>
      </c>
      <c r="N1" s="75" t="s">
        <v>510</v>
      </c>
      <c r="O1" s="77" t="s">
        <v>511</v>
      </c>
      <c r="P1" s="75" t="s">
        <v>512</v>
      </c>
      <c r="Q1" s="75" t="s">
        <v>513</v>
      </c>
      <c r="R1" s="76" t="s">
        <v>514</v>
      </c>
      <c r="S1" s="71"/>
      <c r="T1" s="71"/>
      <c r="U1" s="71"/>
      <c r="V1" s="71"/>
      <c r="W1" s="71"/>
      <c r="X1" s="71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</row>
    <row r="2" spans="1:40" ht="68.400000000000006" x14ac:dyDescent="0.25">
      <c r="A2" s="71" t="s">
        <v>515</v>
      </c>
      <c r="B2" s="71" t="s">
        <v>516</v>
      </c>
      <c r="C2" s="71" t="s">
        <v>517</v>
      </c>
      <c r="D2" s="71" t="s">
        <v>518</v>
      </c>
      <c r="E2" s="71" t="s">
        <v>519</v>
      </c>
      <c r="F2" s="71" t="s">
        <v>520</v>
      </c>
      <c r="G2" s="71"/>
      <c r="H2" s="71" t="s">
        <v>412</v>
      </c>
      <c r="I2" s="71" t="s">
        <v>521</v>
      </c>
      <c r="J2" s="71" t="s">
        <v>522</v>
      </c>
      <c r="K2" s="71" t="s">
        <v>523</v>
      </c>
      <c r="L2" s="71" t="s">
        <v>524</v>
      </c>
      <c r="M2" s="71" t="s">
        <v>525</v>
      </c>
      <c r="N2" s="71" t="s">
        <v>526</v>
      </c>
      <c r="O2" s="72" t="s">
        <v>527</v>
      </c>
      <c r="P2" s="71" t="s">
        <v>528</v>
      </c>
      <c r="Q2" s="71" t="s">
        <v>529</v>
      </c>
      <c r="R2" s="71" t="s">
        <v>530</v>
      </c>
      <c r="S2" s="71"/>
      <c r="T2" s="71"/>
      <c r="U2" s="71"/>
      <c r="V2" s="71"/>
      <c r="W2" s="71"/>
      <c r="X2" s="71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</row>
    <row r="3" spans="1:40" ht="15.6" x14ac:dyDescent="0.25">
      <c r="A3" s="79" t="s">
        <v>531</v>
      </c>
      <c r="B3" s="79" t="s">
        <v>531</v>
      </c>
      <c r="C3" s="79" t="s">
        <v>531</v>
      </c>
      <c r="D3" s="79" t="s">
        <v>532</v>
      </c>
      <c r="E3" s="79" t="s">
        <v>532</v>
      </c>
      <c r="F3" s="79" t="s">
        <v>532</v>
      </c>
      <c r="G3" s="79"/>
      <c r="H3" s="79" t="s">
        <v>532</v>
      </c>
      <c r="I3" s="79" t="s">
        <v>532</v>
      </c>
      <c r="J3" s="79" t="s">
        <v>532</v>
      </c>
      <c r="K3" s="79" t="s">
        <v>532</v>
      </c>
      <c r="L3" s="79" t="s">
        <v>532</v>
      </c>
      <c r="M3" s="79" t="s">
        <v>532</v>
      </c>
      <c r="N3" s="79" t="s">
        <v>532</v>
      </c>
      <c r="O3" s="80" t="s">
        <v>533</v>
      </c>
      <c r="P3" s="79" t="s">
        <v>532</v>
      </c>
      <c r="Q3" s="79" t="s">
        <v>532</v>
      </c>
      <c r="R3" s="79" t="s">
        <v>531</v>
      </c>
      <c r="S3" s="79"/>
      <c r="T3" s="79"/>
      <c r="U3" s="79"/>
      <c r="V3" s="79"/>
      <c r="W3" s="79"/>
      <c r="X3" s="79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</row>
    <row r="4" spans="1:40" ht="75.599999999999994" x14ac:dyDescent="0.25">
      <c r="A4" s="66" t="s">
        <v>98</v>
      </c>
      <c r="B4" s="66" t="s">
        <v>97</v>
      </c>
      <c r="C4" s="66" t="s">
        <v>100</v>
      </c>
      <c r="D4" s="66" t="s">
        <v>534</v>
      </c>
      <c r="E4" s="66" t="s">
        <v>64</v>
      </c>
      <c r="F4" s="66" t="s">
        <v>535</v>
      </c>
      <c r="G4" s="66" t="s">
        <v>536</v>
      </c>
      <c r="H4" s="66" t="s">
        <v>537</v>
      </c>
      <c r="I4" s="66" t="s">
        <v>66</v>
      </c>
      <c r="J4" s="68" t="s">
        <v>7</v>
      </c>
      <c r="K4" s="66" t="s">
        <v>67</v>
      </c>
      <c r="L4" s="66" t="s">
        <v>538</v>
      </c>
      <c r="M4" s="66" t="s">
        <v>66</v>
      </c>
      <c r="N4" s="66" t="s">
        <v>84</v>
      </c>
      <c r="O4" s="67" t="s">
        <v>68</v>
      </c>
      <c r="P4" s="66" t="s">
        <v>539</v>
      </c>
      <c r="Q4" s="66" t="s">
        <v>540</v>
      </c>
      <c r="R4" s="66" t="s">
        <v>541</v>
      </c>
      <c r="S4" s="62"/>
      <c r="T4" s="62"/>
      <c r="U4" s="62"/>
      <c r="V4" s="62"/>
      <c r="W4" s="62"/>
      <c r="X4" s="62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</row>
    <row r="5" spans="1:40" ht="50.4" x14ac:dyDescent="0.25">
      <c r="A5" s="66" t="s">
        <v>80</v>
      </c>
      <c r="B5" s="66" t="s">
        <v>79</v>
      </c>
      <c r="C5" s="66" t="s">
        <v>82</v>
      </c>
      <c r="D5" s="66" t="s">
        <v>79</v>
      </c>
      <c r="E5" s="66" t="s">
        <v>64</v>
      </c>
      <c r="F5" s="66" t="s">
        <v>535</v>
      </c>
      <c r="G5" s="66" t="s">
        <v>536</v>
      </c>
      <c r="H5" s="66" t="s">
        <v>537</v>
      </c>
      <c r="I5" s="66" t="s">
        <v>83</v>
      </c>
      <c r="J5" s="68" t="s">
        <v>16</v>
      </c>
      <c r="K5" s="66" t="s">
        <v>67</v>
      </c>
      <c r="L5" s="66" t="s">
        <v>538</v>
      </c>
      <c r="M5" s="66" t="s">
        <v>83</v>
      </c>
      <c r="N5" s="66" t="s">
        <v>84</v>
      </c>
      <c r="O5" s="67" t="s">
        <v>68</v>
      </c>
      <c r="P5" s="66" t="s">
        <v>542</v>
      </c>
      <c r="Q5" s="66" t="s">
        <v>540</v>
      </c>
      <c r="R5" s="66" t="s">
        <v>541</v>
      </c>
      <c r="S5" s="62"/>
      <c r="T5" s="62"/>
      <c r="U5" s="62"/>
      <c r="V5" s="62"/>
      <c r="W5" s="62"/>
      <c r="X5" s="62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</row>
    <row r="6" spans="1:40" ht="100.8" x14ac:dyDescent="0.25">
      <c r="A6" s="66" t="s">
        <v>107</v>
      </c>
      <c r="B6" s="66" t="s">
        <v>106</v>
      </c>
      <c r="C6" s="66" t="s">
        <v>108</v>
      </c>
      <c r="D6" s="66" t="s">
        <v>543</v>
      </c>
      <c r="E6" s="66" t="s">
        <v>64</v>
      </c>
      <c r="F6" s="66" t="s">
        <v>535</v>
      </c>
      <c r="G6" s="66" t="s">
        <v>536</v>
      </c>
      <c r="H6" s="66" t="s">
        <v>544</v>
      </c>
      <c r="I6" s="66" t="s">
        <v>109</v>
      </c>
      <c r="J6" s="68" t="s">
        <v>32</v>
      </c>
      <c r="K6" s="66" t="s">
        <v>67</v>
      </c>
      <c r="L6" s="66" t="s">
        <v>538</v>
      </c>
      <c r="M6" s="66" t="s">
        <v>292</v>
      </c>
      <c r="N6" s="66" t="s">
        <v>84</v>
      </c>
      <c r="O6" s="67" t="s">
        <v>68</v>
      </c>
      <c r="P6" s="66" t="s">
        <v>545</v>
      </c>
      <c r="Q6" s="66" t="s">
        <v>540</v>
      </c>
      <c r="R6" s="66" t="s">
        <v>541</v>
      </c>
      <c r="S6" s="62"/>
      <c r="T6" s="62"/>
      <c r="U6" s="62"/>
      <c r="V6" s="62"/>
      <c r="W6" s="62"/>
      <c r="X6" s="62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</row>
    <row r="7" spans="1:40" ht="126" x14ac:dyDescent="0.25">
      <c r="A7" s="66" t="s">
        <v>70</v>
      </c>
      <c r="B7" s="66" t="s">
        <v>69</v>
      </c>
      <c r="C7" s="66" t="s">
        <v>72</v>
      </c>
      <c r="D7" s="66" t="s">
        <v>546</v>
      </c>
      <c r="E7" s="66" t="s">
        <v>64</v>
      </c>
      <c r="F7" s="66" t="s">
        <v>535</v>
      </c>
      <c r="G7" s="66" t="s">
        <v>536</v>
      </c>
      <c r="H7" s="66" t="s">
        <v>537</v>
      </c>
      <c r="I7" s="66" t="s">
        <v>73</v>
      </c>
      <c r="J7" s="68" t="s">
        <v>18</v>
      </c>
      <c r="K7" s="66" t="s">
        <v>67</v>
      </c>
      <c r="L7" s="66" t="s">
        <v>538</v>
      </c>
      <c r="M7" s="66" t="s">
        <v>73</v>
      </c>
      <c r="N7" s="66" t="s">
        <v>68</v>
      </c>
      <c r="O7" s="67" t="s">
        <v>68</v>
      </c>
      <c r="P7" s="66" t="s">
        <v>547</v>
      </c>
      <c r="Q7" s="66" t="s">
        <v>540</v>
      </c>
      <c r="R7" s="66" t="s">
        <v>541</v>
      </c>
      <c r="S7" s="62"/>
      <c r="T7" s="62"/>
      <c r="U7" s="62"/>
      <c r="V7" s="62"/>
      <c r="W7" s="62"/>
      <c r="X7" s="62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</row>
    <row r="8" spans="1:40" ht="113.4" x14ac:dyDescent="0.25">
      <c r="A8" s="66" t="s">
        <v>131</v>
      </c>
      <c r="B8" s="66" t="s">
        <v>130</v>
      </c>
      <c r="C8" s="66" t="s">
        <v>132</v>
      </c>
      <c r="D8" s="66" t="s">
        <v>130</v>
      </c>
      <c r="E8" s="66" t="s">
        <v>64</v>
      </c>
      <c r="F8" s="66" t="s">
        <v>535</v>
      </c>
      <c r="G8" s="66" t="s">
        <v>536</v>
      </c>
      <c r="H8" s="66" t="s">
        <v>537</v>
      </c>
      <c r="I8" s="66" t="s">
        <v>133</v>
      </c>
      <c r="J8" s="68" t="s">
        <v>33</v>
      </c>
      <c r="K8" s="66" t="s">
        <v>67</v>
      </c>
      <c r="L8" s="66" t="s">
        <v>538</v>
      </c>
      <c r="M8" s="66" t="s">
        <v>292</v>
      </c>
      <c r="N8" s="66" t="s">
        <v>68</v>
      </c>
      <c r="O8" s="67" t="s">
        <v>68</v>
      </c>
      <c r="P8" s="66" t="s">
        <v>545</v>
      </c>
      <c r="Q8" s="66" t="s">
        <v>540</v>
      </c>
      <c r="R8" s="66" t="s">
        <v>541</v>
      </c>
      <c r="S8" s="62"/>
      <c r="T8" s="62"/>
      <c r="U8" s="62"/>
      <c r="V8" s="62"/>
      <c r="W8" s="62"/>
      <c r="X8" s="62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</row>
    <row r="9" spans="1:40" ht="25.2" x14ac:dyDescent="0.25">
      <c r="A9" s="66" t="s">
        <v>138</v>
      </c>
      <c r="B9" s="66" t="s">
        <v>548</v>
      </c>
      <c r="C9" s="66" t="s">
        <v>549</v>
      </c>
      <c r="D9" s="66" t="s">
        <v>549</v>
      </c>
      <c r="E9" s="66" t="s">
        <v>64</v>
      </c>
      <c r="F9" s="66" t="s">
        <v>535</v>
      </c>
      <c r="G9" s="66" t="s">
        <v>536</v>
      </c>
      <c r="H9" s="66" t="s">
        <v>537</v>
      </c>
      <c r="I9" s="66" t="s">
        <v>140</v>
      </c>
      <c r="J9" s="66" t="s">
        <v>550</v>
      </c>
      <c r="K9" s="66" t="s">
        <v>67</v>
      </c>
      <c r="L9" s="66" t="s">
        <v>538</v>
      </c>
      <c r="M9" s="66" t="s">
        <v>140</v>
      </c>
      <c r="N9" s="66" t="s">
        <v>68</v>
      </c>
      <c r="O9" s="67" t="s">
        <v>68</v>
      </c>
      <c r="P9" s="66" t="s">
        <v>551</v>
      </c>
      <c r="Q9" s="66" t="s">
        <v>540</v>
      </c>
      <c r="R9" s="66" t="s">
        <v>541</v>
      </c>
      <c r="S9" s="62"/>
      <c r="T9" s="62"/>
      <c r="U9" s="62"/>
      <c r="V9" s="62"/>
      <c r="W9" s="62"/>
      <c r="X9" s="62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</row>
    <row r="10" spans="1:40" ht="100.8" x14ac:dyDescent="0.25">
      <c r="A10" s="66" t="s">
        <v>61</v>
      </c>
      <c r="B10" s="66" t="s">
        <v>60</v>
      </c>
      <c r="C10" s="66" t="s">
        <v>63</v>
      </c>
      <c r="D10" s="66" t="s">
        <v>60</v>
      </c>
      <c r="E10" s="66" t="s">
        <v>64</v>
      </c>
      <c r="F10" s="66" t="s">
        <v>535</v>
      </c>
      <c r="G10" s="66" t="s">
        <v>536</v>
      </c>
      <c r="H10" s="66" t="s">
        <v>537</v>
      </c>
      <c r="I10" s="66" t="s">
        <v>66</v>
      </c>
      <c r="J10" s="68" t="s">
        <v>9</v>
      </c>
      <c r="K10" s="66" t="s">
        <v>67</v>
      </c>
      <c r="L10" s="66" t="s">
        <v>538</v>
      </c>
      <c r="M10" s="66" t="s">
        <v>66</v>
      </c>
      <c r="N10" s="66" t="s">
        <v>68</v>
      </c>
      <c r="O10" s="67" t="s">
        <v>68</v>
      </c>
      <c r="P10" s="66" t="s">
        <v>552</v>
      </c>
      <c r="Q10" s="66" t="s">
        <v>540</v>
      </c>
      <c r="R10" s="66" t="s">
        <v>541</v>
      </c>
      <c r="S10" s="62"/>
      <c r="T10" s="62"/>
      <c r="U10" s="62"/>
      <c r="V10" s="62"/>
      <c r="W10" s="62"/>
      <c r="X10" s="62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</row>
    <row r="11" spans="1:40" ht="25.2" x14ac:dyDescent="0.25">
      <c r="A11" s="66" t="s">
        <v>119</v>
      </c>
      <c r="B11" s="66" t="s">
        <v>118</v>
      </c>
      <c r="C11" s="66" t="s">
        <v>121</v>
      </c>
      <c r="D11" s="66" t="s">
        <v>553</v>
      </c>
      <c r="E11" s="66" t="s">
        <v>64</v>
      </c>
      <c r="F11" s="66" t="s">
        <v>535</v>
      </c>
      <c r="G11" s="66" t="s">
        <v>536</v>
      </c>
      <c r="H11" s="66" t="s">
        <v>537</v>
      </c>
      <c r="I11" s="66" t="s">
        <v>120</v>
      </c>
      <c r="J11" s="66" t="s">
        <v>550</v>
      </c>
      <c r="K11" s="66" t="s">
        <v>67</v>
      </c>
      <c r="L11" s="66" t="s">
        <v>538</v>
      </c>
      <c r="M11" s="66" t="s">
        <v>292</v>
      </c>
      <c r="N11" s="66" t="s">
        <v>84</v>
      </c>
      <c r="O11" s="67" t="s">
        <v>68</v>
      </c>
      <c r="P11" s="66" t="s">
        <v>545</v>
      </c>
      <c r="Q11" s="66" t="s">
        <v>540</v>
      </c>
      <c r="R11" s="66" t="s">
        <v>541</v>
      </c>
      <c r="S11" s="62"/>
      <c r="T11" s="62"/>
      <c r="U11" s="62"/>
      <c r="V11" s="62"/>
      <c r="W11" s="62"/>
      <c r="X11" s="62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</row>
    <row r="12" spans="1:40" ht="25.2" x14ac:dyDescent="0.25">
      <c r="A12" s="66" t="s">
        <v>554</v>
      </c>
      <c r="B12" s="66" t="s">
        <v>555</v>
      </c>
      <c r="C12" s="66" t="s">
        <v>63</v>
      </c>
      <c r="D12" s="66" t="s">
        <v>556</v>
      </c>
      <c r="E12" s="66" t="s">
        <v>64</v>
      </c>
      <c r="F12" s="66" t="s">
        <v>535</v>
      </c>
      <c r="G12" s="66" t="s">
        <v>536</v>
      </c>
      <c r="H12" s="66" t="s">
        <v>537</v>
      </c>
      <c r="I12" s="66" t="s">
        <v>66</v>
      </c>
      <c r="J12" s="68" t="s">
        <v>41</v>
      </c>
      <c r="K12" s="66" t="s">
        <v>557</v>
      </c>
      <c r="L12" s="66" t="s">
        <v>538</v>
      </c>
      <c r="M12" s="66" t="s">
        <v>66</v>
      </c>
      <c r="N12" s="66" t="s">
        <v>558</v>
      </c>
      <c r="O12" s="67" t="s">
        <v>558</v>
      </c>
      <c r="P12" s="66" t="s">
        <v>559</v>
      </c>
      <c r="Q12" s="66" t="s">
        <v>540</v>
      </c>
      <c r="R12" s="66" t="s">
        <v>541</v>
      </c>
      <c r="S12" s="62"/>
      <c r="T12" s="62"/>
      <c r="U12" s="62"/>
      <c r="V12" s="62"/>
      <c r="W12" s="62"/>
      <c r="X12" s="62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</row>
    <row r="13" spans="1:40" ht="88.2" x14ac:dyDescent="0.25">
      <c r="A13" s="66" t="s">
        <v>560</v>
      </c>
      <c r="B13" s="66" t="s">
        <v>561</v>
      </c>
      <c r="C13" s="66" t="s">
        <v>132</v>
      </c>
      <c r="D13" s="66" t="s">
        <v>562</v>
      </c>
      <c r="E13" s="66" t="s">
        <v>64</v>
      </c>
      <c r="F13" s="66" t="s">
        <v>535</v>
      </c>
      <c r="G13" s="66" t="s">
        <v>536</v>
      </c>
      <c r="H13" s="66" t="s">
        <v>537</v>
      </c>
      <c r="I13" s="66" t="s">
        <v>133</v>
      </c>
      <c r="J13" s="68" t="s">
        <v>25</v>
      </c>
      <c r="K13" s="66" t="s">
        <v>557</v>
      </c>
      <c r="L13" s="66" t="s">
        <v>538</v>
      </c>
      <c r="M13" s="66" t="s">
        <v>292</v>
      </c>
      <c r="N13" s="66" t="s">
        <v>558</v>
      </c>
      <c r="O13" s="67" t="s">
        <v>558</v>
      </c>
      <c r="P13" s="66" t="s">
        <v>563</v>
      </c>
      <c r="Q13" s="66" t="s">
        <v>540</v>
      </c>
      <c r="R13" s="66" t="s">
        <v>541</v>
      </c>
      <c r="S13" s="62"/>
      <c r="T13" s="62"/>
      <c r="U13" s="62"/>
      <c r="V13" s="62"/>
      <c r="W13" s="62"/>
      <c r="X13" s="62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</row>
    <row r="14" spans="1:40" ht="37.799999999999997" x14ac:dyDescent="0.25">
      <c r="A14" s="66" t="s">
        <v>564</v>
      </c>
      <c r="B14" s="66" t="s">
        <v>565</v>
      </c>
      <c r="C14" s="66" t="s">
        <v>72</v>
      </c>
      <c r="D14" s="66" t="s">
        <v>566</v>
      </c>
      <c r="E14" s="66" t="s">
        <v>64</v>
      </c>
      <c r="F14" s="66" t="s">
        <v>535</v>
      </c>
      <c r="G14" s="66" t="s">
        <v>536</v>
      </c>
      <c r="H14" s="66" t="s">
        <v>537</v>
      </c>
      <c r="I14" s="66" t="s">
        <v>73</v>
      </c>
      <c r="J14" s="68" t="s">
        <v>2</v>
      </c>
      <c r="K14" s="66" t="s">
        <v>557</v>
      </c>
      <c r="L14" s="66" t="s">
        <v>538</v>
      </c>
      <c r="M14" s="66" t="s">
        <v>73</v>
      </c>
      <c r="N14" s="66" t="s">
        <v>558</v>
      </c>
      <c r="O14" s="67" t="s">
        <v>558</v>
      </c>
      <c r="P14" s="66" t="s">
        <v>567</v>
      </c>
      <c r="Q14" s="66" t="s">
        <v>540</v>
      </c>
      <c r="R14" s="66" t="s">
        <v>541</v>
      </c>
      <c r="S14" s="62"/>
      <c r="T14" s="62"/>
      <c r="U14" s="62"/>
      <c r="V14" s="62"/>
      <c r="W14" s="62"/>
      <c r="X14" s="62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</row>
    <row r="15" spans="1:40" ht="25.2" x14ac:dyDescent="0.25">
      <c r="A15" s="66" t="s">
        <v>135</v>
      </c>
      <c r="B15" s="66" t="s">
        <v>134</v>
      </c>
      <c r="C15" s="66" t="s">
        <v>136</v>
      </c>
      <c r="D15" s="66" t="s">
        <v>136</v>
      </c>
      <c r="E15" s="66" t="s">
        <v>64</v>
      </c>
      <c r="F15" s="66" t="s">
        <v>535</v>
      </c>
      <c r="G15" s="66" t="s">
        <v>536</v>
      </c>
      <c r="H15" s="66" t="s">
        <v>537</v>
      </c>
      <c r="I15" s="66" t="s">
        <v>136</v>
      </c>
      <c r="J15" s="66" t="s">
        <v>550</v>
      </c>
      <c r="K15" s="66" t="s">
        <v>67</v>
      </c>
      <c r="L15" s="66" t="s">
        <v>538</v>
      </c>
      <c r="M15" s="66" t="s">
        <v>292</v>
      </c>
      <c r="N15" s="66" t="s">
        <v>84</v>
      </c>
      <c r="O15" s="67" t="s">
        <v>68</v>
      </c>
      <c r="P15" s="66" t="s">
        <v>545</v>
      </c>
      <c r="Q15" s="66" t="s">
        <v>540</v>
      </c>
      <c r="R15" s="66" t="s">
        <v>541</v>
      </c>
      <c r="S15" s="62"/>
      <c r="T15" s="62"/>
      <c r="U15" s="62"/>
      <c r="V15" s="62"/>
      <c r="W15" s="62"/>
      <c r="X15" s="62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</row>
    <row r="16" spans="1:40" ht="50.4" x14ac:dyDescent="0.25">
      <c r="A16" s="66" t="s">
        <v>568</v>
      </c>
      <c r="B16" s="66" t="s">
        <v>569</v>
      </c>
      <c r="C16" s="66" t="s">
        <v>82</v>
      </c>
      <c r="D16" s="66" t="s">
        <v>562</v>
      </c>
      <c r="E16" s="66" t="s">
        <v>64</v>
      </c>
      <c r="F16" s="66" t="s">
        <v>535</v>
      </c>
      <c r="G16" s="66" t="s">
        <v>536</v>
      </c>
      <c r="H16" s="66" t="s">
        <v>537</v>
      </c>
      <c r="I16" s="66" t="s">
        <v>83</v>
      </c>
      <c r="J16" s="68" t="s">
        <v>26</v>
      </c>
      <c r="K16" s="66" t="s">
        <v>557</v>
      </c>
      <c r="L16" s="66" t="s">
        <v>538</v>
      </c>
      <c r="M16" s="66" t="s">
        <v>83</v>
      </c>
      <c r="N16" s="66" t="s">
        <v>570</v>
      </c>
      <c r="O16" s="67" t="s">
        <v>558</v>
      </c>
      <c r="P16" s="66" t="s">
        <v>571</v>
      </c>
      <c r="Q16" s="66" t="s">
        <v>540</v>
      </c>
      <c r="R16" s="66" t="s">
        <v>541</v>
      </c>
      <c r="S16" s="62"/>
      <c r="T16" s="62"/>
      <c r="U16" s="62"/>
      <c r="V16" s="62"/>
      <c r="W16" s="62"/>
      <c r="X16" s="62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</row>
    <row r="17" spans="1:40" ht="25.2" x14ac:dyDescent="0.25">
      <c r="A17" s="66" t="s">
        <v>572</v>
      </c>
      <c r="B17" s="66" t="s">
        <v>573</v>
      </c>
      <c r="C17" s="66" t="s">
        <v>574</v>
      </c>
      <c r="D17" s="66" t="s">
        <v>575</v>
      </c>
      <c r="E17" s="66" t="s">
        <v>64</v>
      </c>
      <c r="F17" s="66" t="s">
        <v>535</v>
      </c>
      <c r="G17" s="66" t="s">
        <v>536</v>
      </c>
      <c r="H17" s="66" t="s">
        <v>576</v>
      </c>
      <c r="I17" s="66" t="s">
        <v>172</v>
      </c>
      <c r="J17" s="66" t="s">
        <v>550</v>
      </c>
      <c r="K17" s="66" t="s">
        <v>67</v>
      </c>
      <c r="L17" s="66" t="s">
        <v>538</v>
      </c>
      <c r="M17" s="66" t="s">
        <v>140</v>
      </c>
      <c r="N17" s="66" t="s">
        <v>558</v>
      </c>
      <c r="O17" s="67" t="s">
        <v>68</v>
      </c>
      <c r="P17" s="66" t="s">
        <v>577</v>
      </c>
      <c r="Q17" s="66" t="s">
        <v>540</v>
      </c>
      <c r="R17" s="66" t="s">
        <v>541</v>
      </c>
      <c r="S17" s="62"/>
      <c r="T17" s="62"/>
      <c r="U17" s="62"/>
      <c r="V17" s="62"/>
      <c r="W17" s="62"/>
      <c r="X17" s="62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</row>
    <row r="18" spans="1:40" ht="25.2" x14ac:dyDescent="0.25">
      <c r="A18" s="66" t="s">
        <v>578</v>
      </c>
      <c r="B18" s="66" t="s">
        <v>579</v>
      </c>
      <c r="C18" s="66" t="s">
        <v>77</v>
      </c>
      <c r="D18" s="66" t="s">
        <v>566</v>
      </c>
      <c r="E18" s="66" t="s">
        <v>64</v>
      </c>
      <c r="F18" s="66" t="s">
        <v>535</v>
      </c>
      <c r="G18" s="66" t="s">
        <v>536</v>
      </c>
      <c r="H18" s="66" t="s">
        <v>537</v>
      </c>
      <c r="I18" s="66" t="s">
        <v>78</v>
      </c>
      <c r="J18" s="68" t="s">
        <v>19</v>
      </c>
      <c r="K18" s="66" t="s">
        <v>557</v>
      </c>
      <c r="L18" s="66" t="s">
        <v>538</v>
      </c>
      <c r="M18" s="66" t="s">
        <v>78</v>
      </c>
      <c r="N18" s="66" t="s">
        <v>558</v>
      </c>
      <c r="O18" s="67" t="s">
        <v>558</v>
      </c>
      <c r="P18" s="66" t="s">
        <v>563</v>
      </c>
      <c r="Q18" s="66" t="s">
        <v>540</v>
      </c>
      <c r="R18" s="66" t="s">
        <v>541</v>
      </c>
      <c r="S18" s="62"/>
      <c r="T18" s="62"/>
      <c r="U18" s="62"/>
      <c r="V18" s="62"/>
      <c r="W18" s="62"/>
      <c r="X18" s="62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</row>
    <row r="19" spans="1:40" ht="75.599999999999994" x14ac:dyDescent="0.25">
      <c r="A19" s="66" t="s">
        <v>92</v>
      </c>
      <c r="B19" s="66" t="s">
        <v>91</v>
      </c>
      <c r="C19" s="66" t="s">
        <v>94</v>
      </c>
      <c r="D19" s="66" t="s">
        <v>580</v>
      </c>
      <c r="E19" s="66" t="s">
        <v>104</v>
      </c>
      <c r="F19" s="66" t="s">
        <v>581</v>
      </c>
      <c r="G19" s="66" t="s">
        <v>536</v>
      </c>
      <c r="H19" s="66" t="s">
        <v>537</v>
      </c>
      <c r="I19" s="66" t="s">
        <v>96</v>
      </c>
      <c r="J19" s="68" t="s">
        <v>42</v>
      </c>
      <c r="K19" s="66" t="s">
        <v>67</v>
      </c>
      <c r="L19" s="66" t="s">
        <v>538</v>
      </c>
      <c r="M19" s="66" t="s">
        <v>292</v>
      </c>
      <c r="N19" s="66" t="s">
        <v>84</v>
      </c>
      <c r="O19" s="67" t="s">
        <v>68</v>
      </c>
      <c r="P19" s="66" t="s">
        <v>582</v>
      </c>
      <c r="Q19" s="66" t="s">
        <v>540</v>
      </c>
      <c r="R19" s="66" t="s">
        <v>541</v>
      </c>
      <c r="S19" s="62"/>
      <c r="T19" s="62"/>
      <c r="U19" s="62"/>
      <c r="V19" s="62"/>
      <c r="W19" s="62"/>
      <c r="X19" s="62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</row>
    <row r="20" spans="1:40" ht="25.2" x14ac:dyDescent="0.25">
      <c r="A20" s="66" t="s">
        <v>123</v>
      </c>
      <c r="B20" s="66" t="s">
        <v>122</v>
      </c>
      <c r="C20" s="66" t="s">
        <v>124</v>
      </c>
      <c r="D20" s="66" t="s">
        <v>583</v>
      </c>
      <c r="E20" s="66" t="s">
        <v>64</v>
      </c>
      <c r="F20" s="66" t="s">
        <v>535</v>
      </c>
      <c r="G20" s="66" t="s">
        <v>536</v>
      </c>
      <c r="H20" s="66" t="s">
        <v>537</v>
      </c>
      <c r="I20" s="66" t="s">
        <v>120</v>
      </c>
      <c r="J20" s="66" t="s">
        <v>550</v>
      </c>
      <c r="K20" s="66" t="s">
        <v>67</v>
      </c>
      <c r="L20" s="66" t="s">
        <v>538</v>
      </c>
      <c r="M20" s="66" t="s">
        <v>292</v>
      </c>
      <c r="N20" s="66" t="s">
        <v>84</v>
      </c>
      <c r="O20" s="67" t="s">
        <v>68</v>
      </c>
      <c r="P20" s="66" t="s">
        <v>545</v>
      </c>
      <c r="Q20" s="66" t="s">
        <v>540</v>
      </c>
      <c r="R20" s="66" t="s">
        <v>541</v>
      </c>
      <c r="S20" s="62"/>
      <c r="T20" s="62"/>
      <c r="U20" s="62"/>
      <c r="V20" s="62"/>
      <c r="W20" s="62"/>
      <c r="X20" s="62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</row>
    <row r="21" spans="1:40" ht="50.4" x14ac:dyDescent="0.25">
      <c r="A21" s="66" t="s">
        <v>75</v>
      </c>
      <c r="B21" s="66" t="s">
        <v>74</v>
      </c>
      <c r="C21" s="66" t="s">
        <v>77</v>
      </c>
      <c r="D21" s="66" t="s">
        <v>74</v>
      </c>
      <c r="E21" s="66" t="s">
        <v>64</v>
      </c>
      <c r="F21" s="66" t="s">
        <v>535</v>
      </c>
      <c r="G21" s="66" t="s">
        <v>536</v>
      </c>
      <c r="H21" s="66" t="s">
        <v>537</v>
      </c>
      <c r="I21" s="66" t="s">
        <v>78</v>
      </c>
      <c r="J21" s="68" t="s">
        <v>20</v>
      </c>
      <c r="K21" s="66" t="s">
        <v>67</v>
      </c>
      <c r="L21" s="66" t="s">
        <v>538</v>
      </c>
      <c r="M21" s="66" t="s">
        <v>78</v>
      </c>
      <c r="N21" s="66" t="s">
        <v>68</v>
      </c>
      <c r="O21" s="67" t="s">
        <v>68</v>
      </c>
      <c r="P21" s="66" t="s">
        <v>539</v>
      </c>
      <c r="Q21" s="66" t="s">
        <v>540</v>
      </c>
      <c r="R21" s="66" t="s">
        <v>541</v>
      </c>
      <c r="S21" s="62"/>
      <c r="T21" s="62"/>
      <c r="U21" s="62"/>
      <c r="V21" s="62"/>
      <c r="W21" s="62"/>
      <c r="X21" s="62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</row>
    <row r="22" spans="1:40" ht="25.2" x14ac:dyDescent="0.25">
      <c r="A22" s="66" t="s">
        <v>142</v>
      </c>
      <c r="B22" s="66" t="s">
        <v>584</v>
      </c>
      <c r="C22" s="66" t="s">
        <v>143</v>
      </c>
      <c r="D22" s="66" t="s">
        <v>585</v>
      </c>
      <c r="E22" s="66" t="s">
        <v>64</v>
      </c>
      <c r="F22" s="66" t="s">
        <v>535</v>
      </c>
      <c r="G22" s="66" t="s">
        <v>536</v>
      </c>
      <c r="H22" s="66" t="s">
        <v>537</v>
      </c>
      <c r="I22" s="66" t="s">
        <v>143</v>
      </c>
      <c r="J22" s="66" t="s">
        <v>550</v>
      </c>
      <c r="K22" s="66" t="s">
        <v>67</v>
      </c>
      <c r="L22" s="66" t="s">
        <v>538</v>
      </c>
      <c r="M22" s="66" t="s">
        <v>292</v>
      </c>
      <c r="N22" s="66" t="s">
        <v>68</v>
      </c>
      <c r="O22" s="67" t="s">
        <v>68</v>
      </c>
      <c r="P22" s="66" t="s">
        <v>551</v>
      </c>
      <c r="Q22" s="66" t="s">
        <v>540</v>
      </c>
      <c r="R22" s="66" t="s">
        <v>541</v>
      </c>
      <c r="S22" s="62"/>
      <c r="T22" s="62"/>
      <c r="U22" s="62"/>
      <c r="V22" s="62"/>
      <c r="W22" s="62"/>
      <c r="X22" s="62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</row>
    <row r="23" spans="1:40" ht="50.4" x14ac:dyDescent="0.25">
      <c r="A23" s="66" t="s">
        <v>86</v>
      </c>
      <c r="B23" s="66" t="s">
        <v>85</v>
      </c>
      <c r="C23" s="66" t="s">
        <v>87</v>
      </c>
      <c r="D23" s="66" t="s">
        <v>586</v>
      </c>
      <c r="E23" s="66" t="s">
        <v>104</v>
      </c>
      <c r="F23" s="66" t="s">
        <v>581</v>
      </c>
      <c r="G23" s="66" t="s">
        <v>536</v>
      </c>
      <c r="H23" s="66" t="s">
        <v>537</v>
      </c>
      <c r="I23" s="66" t="s">
        <v>83</v>
      </c>
      <c r="J23" s="68" t="s">
        <v>40</v>
      </c>
      <c r="K23" s="66" t="s">
        <v>67</v>
      </c>
      <c r="L23" s="66" t="s">
        <v>538</v>
      </c>
      <c r="M23" s="66" t="s">
        <v>83</v>
      </c>
      <c r="N23" s="66" t="s">
        <v>84</v>
      </c>
      <c r="O23" s="67" t="s">
        <v>68</v>
      </c>
      <c r="P23" s="66" t="s">
        <v>542</v>
      </c>
      <c r="Q23" s="66" t="s">
        <v>540</v>
      </c>
      <c r="R23" s="66" t="s">
        <v>541</v>
      </c>
      <c r="S23" s="62"/>
      <c r="T23" s="62"/>
      <c r="U23" s="62"/>
      <c r="V23" s="62"/>
      <c r="W23" s="62"/>
      <c r="X23" s="62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</row>
    <row r="24" spans="1:40" ht="50.4" x14ac:dyDescent="0.25">
      <c r="A24" s="66" t="s">
        <v>587</v>
      </c>
      <c r="B24" s="66" t="s">
        <v>588</v>
      </c>
      <c r="C24" s="66" t="s">
        <v>589</v>
      </c>
      <c r="D24" s="66" t="s">
        <v>590</v>
      </c>
      <c r="E24" s="66" t="s">
        <v>64</v>
      </c>
      <c r="F24" s="66" t="s">
        <v>535</v>
      </c>
      <c r="G24" s="66" t="s">
        <v>591</v>
      </c>
      <c r="H24" s="66" t="s">
        <v>537</v>
      </c>
      <c r="I24" s="66" t="s">
        <v>174</v>
      </c>
      <c r="J24" s="68" t="s">
        <v>38</v>
      </c>
      <c r="K24" s="66" t="s">
        <v>67</v>
      </c>
      <c r="L24" s="66" t="s">
        <v>291</v>
      </c>
      <c r="M24" s="66" t="s">
        <v>291</v>
      </c>
      <c r="N24" s="66" t="s">
        <v>68</v>
      </c>
      <c r="O24" s="67" t="s">
        <v>68</v>
      </c>
      <c r="P24" s="66" t="s">
        <v>592</v>
      </c>
      <c r="Q24" s="66" t="s">
        <v>540</v>
      </c>
      <c r="R24" s="66" t="s">
        <v>541</v>
      </c>
      <c r="S24" s="62"/>
      <c r="T24" s="62"/>
      <c r="U24" s="62"/>
      <c r="V24" s="62"/>
      <c r="W24" s="62"/>
      <c r="X24" s="62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</row>
    <row r="25" spans="1:40" ht="25.2" x14ac:dyDescent="0.25">
      <c r="A25" s="66" t="s">
        <v>593</v>
      </c>
      <c r="B25" s="66" t="s">
        <v>594</v>
      </c>
      <c r="C25" s="66" t="s">
        <v>595</v>
      </c>
      <c r="D25" s="66" t="s">
        <v>596</v>
      </c>
      <c r="E25" s="66" t="s">
        <v>64</v>
      </c>
      <c r="F25" s="66" t="s">
        <v>535</v>
      </c>
      <c r="G25" s="66" t="s">
        <v>597</v>
      </c>
      <c r="H25" s="66" t="s">
        <v>598</v>
      </c>
      <c r="I25" s="66" t="s">
        <v>176</v>
      </c>
      <c r="J25" s="68" t="s">
        <v>30</v>
      </c>
      <c r="K25" s="66" t="s">
        <v>67</v>
      </c>
      <c r="L25" s="66" t="s">
        <v>599</v>
      </c>
      <c r="M25" s="66" t="s">
        <v>291</v>
      </c>
      <c r="N25" s="66" t="s">
        <v>68</v>
      </c>
      <c r="O25" s="67" t="s">
        <v>68</v>
      </c>
      <c r="P25" s="66" t="s">
        <v>600</v>
      </c>
      <c r="Q25" s="66" t="s">
        <v>540</v>
      </c>
      <c r="R25" s="66" t="s">
        <v>541</v>
      </c>
      <c r="S25" s="62"/>
      <c r="T25" s="62"/>
      <c r="U25" s="62"/>
      <c r="V25" s="62"/>
      <c r="W25" s="62"/>
      <c r="X25" s="62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</row>
    <row r="26" spans="1:40" ht="25.2" x14ac:dyDescent="0.25">
      <c r="A26" s="66" t="s">
        <v>601</v>
      </c>
      <c r="B26" s="66" t="s">
        <v>602</v>
      </c>
      <c r="C26" s="66" t="s">
        <v>603</v>
      </c>
      <c r="D26" s="66" t="s">
        <v>178</v>
      </c>
      <c r="E26" s="66" t="s">
        <v>64</v>
      </c>
      <c r="F26" s="66" t="s">
        <v>535</v>
      </c>
      <c r="G26" s="66" t="s">
        <v>591</v>
      </c>
      <c r="H26" s="66" t="s">
        <v>537</v>
      </c>
      <c r="I26" s="66" t="s">
        <v>178</v>
      </c>
      <c r="J26" s="68" t="s">
        <v>5</v>
      </c>
      <c r="K26" s="66" t="s">
        <v>67</v>
      </c>
      <c r="L26" s="66" t="s">
        <v>291</v>
      </c>
      <c r="M26" s="66" t="s">
        <v>291</v>
      </c>
      <c r="N26" s="66" t="s">
        <v>84</v>
      </c>
      <c r="O26" s="67" t="s">
        <v>68</v>
      </c>
      <c r="P26" s="66" t="s">
        <v>604</v>
      </c>
      <c r="Q26" s="66" t="s">
        <v>540</v>
      </c>
      <c r="R26" s="66" t="s">
        <v>541</v>
      </c>
      <c r="S26" s="62"/>
      <c r="T26" s="62"/>
      <c r="U26" s="62"/>
      <c r="V26" s="62"/>
      <c r="W26" s="62"/>
      <c r="X26" s="62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</row>
    <row r="27" spans="1:40" ht="50.4" x14ac:dyDescent="0.25">
      <c r="A27" s="66" t="s">
        <v>605</v>
      </c>
      <c r="B27" s="66" t="s">
        <v>606</v>
      </c>
      <c r="C27" s="66" t="s">
        <v>607</v>
      </c>
      <c r="D27" s="66" t="s">
        <v>180</v>
      </c>
      <c r="E27" s="66" t="s">
        <v>64</v>
      </c>
      <c r="F27" s="66" t="s">
        <v>535</v>
      </c>
      <c r="G27" s="66" t="s">
        <v>608</v>
      </c>
      <c r="H27" s="66" t="s">
        <v>537</v>
      </c>
      <c r="I27" s="66" t="s">
        <v>180</v>
      </c>
      <c r="J27" s="68" t="s">
        <v>27</v>
      </c>
      <c r="K27" s="66" t="s">
        <v>67</v>
      </c>
      <c r="L27" s="66" t="s">
        <v>291</v>
      </c>
      <c r="M27" s="66" t="s">
        <v>291</v>
      </c>
      <c r="N27" s="78" t="s">
        <v>609</v>
      </c>
      <c r="O27" s="67" t="s">
        <v>68</v>
      </c>
      <c r="P27" s="66" t="s">
        <v>610</v>
      </c>
      <c r="Q27" s="66" t="s">
        <v>540</v>
      </c>
      <c r="R27" s="66" t="s">
        <v>541</v>
      </c>
      <c r="S27" s="62"/>
      <c r="T27" s="62"/>
      <c r="U27" s="62"/>
      <c r="V27" s="62"/>
      <c r="W27" s="62"/>
      <c r="X27" s="62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</row>
    <row r="28" spans="1:40" ht="25.2" x14ac:dyDescent="0.25">
      <c r="A28" s="66" t="s">
        <v>611</v>
      </c>
      <c r="B28" s="66" t="s">
        <v>612</v>
      </c>
      <c r="C28" s="66" t="s">
        <v>613</v>
      </c>
      <c r="D28" s="66" t="s">
        <v>614</v>
      </c>
      <c r="E28" s="66" t="s">
        <v>64</v>
      </c>
      <c r="F28" s="66" t="s">
        <v>535</v>
      </c>
      <c r="G28" s="66" t="s">
        <v>608</v>
      </c>
      <c r="H28" s="66" t="s">
        <v>598</v>
      </c>
      <c r="I28" s="66" t="s">
        <v>176</v>
      </c>
      <c r="J28" s="68" t="s">
        <v>28</v>
      </c>
      <c r="K28" s="66" t="s">
        <v>67</v>
      </c>
      <c r="L28" s="66" t="s">
        <v>615</v>
      </c>
      <c r="M28" s="66" t="s">
        <v>291</v>
      </c>
      <c r="N28" s="66" t="s">
        <v>68</v>
      </c>
      <c r="O28" s="67" t="s">
        <v>68</v>
      </c>
      <c r="P28" s="66" t="s">
        <v>600</v>
      </c>
      <c r="Q28" s="66" t="s">
        <v>540</v>
      </c>
      <c r="R28" s="66" t="s">
        <v>541</v>
      </c>
      <c r="S28" s="62"/>
      <c r="T28" s="62"/>
      <c r="U28" s="62"/>
      <c r="V28" s="62"/>
      <c r="W28" s="62"/>
      <c r="X28" s="62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</row>
    <row r="29" spans="1:40" ht="25.2" x14ac:dyDescent="0.25">
      <c r="A29" s="66" t="s">
        <v>616</v>
      </c>
      <c r="B29" s="66" t="s">
        <v>617</v>
      </c>
      <c r="C29" s="66" t="s">
        <v>618</v>
      </c>
      <c r="D29" s="66" t="s">
        <v>618</v>
      </c>
      <c r="E29" s="66" t="s">
        <v>64</v>
      </c>
      <c r="F29" s="66" t="s">
        <v>535</v>
      </c>
      <c r="G29" s="66" t="s">
        <v>619</v>
      </c>
      <c r="H29" s="66" t="s">
        <v>537</v>
      </c>
      <c r="I29" s="66" t="s">
        <v>182</v>
      </c>
      <c r="J29" s="66" t="s">
        <v>550</v>
      </c>
      <c r="K29" s="66" t="s">
        <v>67</v>
      </c>
      <c r="L29" s="66" t="s">
        <v>620</v>
      </c>
      <c r="M29" s="66" t="s">
        <v>291</v>
      </c>
      <c r="N29" s="66" t="s">
        <v>68</v>
      </c>
      <c r="O29" s="67" t="s">
        <v>68</v>
      </c>
      <c r="P29" s="66" t="s">
        <v>604</v>
      </c>
      <c r="Q29" s="66" t="s">
        <v>540</v>
      </c>
      <c r="R29" s="66" t="s">
        <v>541</v>
      </c>
      <c r="S29" s="62"/>
      <c r="T29" s="62"/>
      <c r="U29" s="62"/>
      <c r="V29" s="62"/>
      <c r="W29" s="62"/>
      <c r="X29" s="62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</row>
    <row r="30" spans="1:40" ht="25.2" x14ac:dyDescent="0.25">
      <c r="A30" s="66" t="s">
        <v>111</v>
      </c>
      <c r="B30" s="66" t="s">
        <v>110</v>
      </c>
      <c r="C30" s="66" t="s">
        <v>110</v>
      </c>
      <c r="D30" s="66" t="s">
        <v>110</v>
      </c>
      <c r="E30" s="66" t="s">
        <v>64</v>
      </c>
      <c r="F30" s="66" t="s">
        <v>535</v>
      </c>
      <c r="G30" s="66" t="s">
        <v>536</v>
      </c>
      <c r="H30" s="66" t="s">
        <v>544</v>
      </c>
      <c r="I30" s="66" t="s">
        <v>110</v>
      </c>
      <c r="J30" s="66" t="s">
        <v>550</v>
      </c>
      <c r="K30" s="66" t="s">
        <v>67</v>
      </c>
      <c r="L30" s="66" t="s">
        <v>538</v>
      </c>
      <c r="M30" s="66" t="s">
        <v>292</v>
      </c>
      <c r="N30" s="66" t="s">
        <v>84</v>
      </c>
      <c r="O30" s="67" t="s">
        <v>68</v>
      </c>
      <c r="P30" s="66" t="s">
        <v>545</v>
      </c>
      <c r="Q30" s="66" t="s">
        <v>540</v>
      </c>
      <c r="R30" s="66" t="s">
        <v>541</v>
      </c>
      <c r="S30" s="62"/>
      <c r="T30" s="62"/>
      <c r="U30" s="62"/>
      <c r="V30" s="62"/>
      <c r="W30" s="62"/>
      <c r="X30" s="62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</row>
    <row r="31" spans="1:40" ht="25.2" x14ac:dyDescent="0.25">
      <c r="A31" s="66" t="s">
        <v>102</v>
      </c>
      <c r="B31" s="66" t="s">
        <v>101</v>
      </c>
      <c r="C31" s="66" t="s">
        <v>621</v>
      </c>
      <c r="D31" s="66" t="s">
        <v>101</v>
      </c>
      <c r="E31" s="66" t="s">
        <v>64</v>
      </c>
      <c r="F31" s="66" t="s">
        <v>622</v>
      </c>
      <c r="G31" s="66" t="s">
        <v>536</v>
      </c>
      <c r="H31" s="66" t="s">
        <v>537</v>
      </c>
      <c r="I31" s="66" t="s">
        <v>103</v>
      </c>
      <c r="J31" s="66" t="s">
        <v>550</v>
      </c>
      <c r="K31" s="66" t="s">
        <v>67</v>
      </c>
      <c r="L31" s="66" t="s">
        <v>538</v>
      </c>
      <c r="M31" s="66" t="s">
        <v>292</v>
      </c>
      <c r="N31" s="66" t="s">
        <v>84</v>
      </c>
      <c r="O31" s="67" t="s">
        <v>68</v>
      </c>
      <c r="P31" s="66" t="s">
        <v>545</v>
      </c>
      <c r="Q31" s="66" t="s">
        <v>540</v>
      </c>
      <c r="R31" s="66" t="s">
        <v>541</v>
      </c>
      <c r="S31" s="62"/>
      <c r="T31" s="62"/>
      <c r="U31" s="62"/>
      <c r="V31" s="62"/>
      <c r="W31" s="62"/>
      <c r="X31" s="62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</row>
    <row r="32" spans="1:40" ht="37.799999999999997" x14ac:dyDescent="0.25">
      <c r="A32" s="66" t="s">
        <v>623</v>
      </c>
      <c r="B32" s="66" t="s">
        <v>624</v>
      </c>
      <c r="C32" s="66" t="s">
        <v>625</v>
      </c>
      <c r="D32" s="66" t="s">
        <v>626</v>
      </c>
      <c r="E32" s="66" t="s">
        <v>64</v>
      </c>
      <c r="F32" s="66" t="s">
        <v>535</v>
      </c>
      <c r="G32" s="66" t="s">
        <v>597</v>
      </c>
      <c r="H32" s="66" t="s">
        <v>537</v>
      </c>
      <c r="I32" s="66" t="s">
        <v>184</v>
      </c>
      <c r="J32" s="68" t="s">
        <v>23</v>
      </c>
      <c r="K32" s="66" t="s">
        <v>67</v>
      </c>
      <c r="L32" s="66" t="s">
        <v>291</v>
      </c>
      <c r="M32" s="66" t="s">
        <v>291</v>
      </c>
      <c r="N32" s="66" t="s">
        <v>68</v>
      </c>
      <c r="O32" s="67" t="s">
        <v>68</v>
      </c>
      <c r="P32" s="66" t="s">
        <v>627</v>
      </c>
      <c r="Q32" s="66" t="s">
        <v>540</v>
      </c>
      <c r="R32" s="66" t="s">
        <v>541</v>
      </c>
      <c r="S32" s="62"/>
      <c r="T32" s="62"/>
      <c r="U32" s="62"/>
      <c r="V32" s="62"/>
      <c r="W32" s="62"/>
      <c r="X32" s="62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</row>
    <row r="33" spans="1:40" ht="37.799999999999997" x14ac:dyDescent="0.25">
      <c r="A33" s="66" t="s">
        <v>628</v>
      </c>
      <c r="B33" s="66" t="s">
        <v>629</v>
      </c>
      <c r="C33" s="66" t="s">
        <v>630</v>
      </c>
      <c r="D33" s="66" t="s">
        <v>631</v>
      </c>
      <c r="E33" s="66" t="s">
        <v>64</v>
      </c>
      <c r="F33" s="66" t="s">
        <v>535</v>
      </c>
      <c r="G33" s="66" t="s">
        <v>597</v>
      </c>
      <c r="H33" s="66" t="s">
        <v>537</v>
      </c>
      <c r="I33" s="66" t="s">
        <v>186</v>
      </c>
      <c r="J33" s="68" t="s">
        <v>10</v>
      </c>
      <c r="K33" s="66" t="s">
        <v>67</v>
      </c>
      <c r="L33" s="66" t="s">
        <v>599</v>
      </c>
      <c r="M33" s="66" t="s">
        <v>291</v>
      </c>
      <c r="N33" s="66" t="s">
        <v>68</v>
      </c>
      <c r="O33" s="67" t="s">
        <v>68</v>
      </c>
      <c r="P33" s="66" t="s">
        <v>600</v>
      </c>
      <c r="Q33" s="66" t="s">
        <v>540</v>
      </c>
      <c r="R33" s="66" t="s">
        <v>541</v>
      </c>
      <c r="S33" s="62"/>
      <c r="T33" s="62"/>
      <c r="U33" s="62"/>
      <c r="V33" s="62"/>
      <c r="W33" s="62"/>
      <c r="X33" s="62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</row>
    <row r="34" spans="1:40" ht="25.2" x14ac:dyDescent="0.25">
      <c r="A34" s="21" t="s">
        <v>151</v>
      </c>
      <c r="B34" s="21" t="s">
        <v>150</v>
      </c>
      <c r="C34" s="21" t="s">
        <v>153</v>
      </c>
      <c r="D34" s="21" t="s">
        <v>632</v>
      </c>
      <c r="E34" s="66" t="s">
        <v>64</v>
      </c>
      <c r="F34" s="66" t="s">
        <v>535</v>
      </c>
      <c r="G34" s="66" t="s">
        <v>536</v>
      </c>
      <c r="H34" s="66" t="s">
        <v>537</v>
      </c>
      <c r="I34" s="66" t="s">
        <v>78</v>
      </c>
      <c r="J34" s="74" t="s">
        <v>13</v>
      </c>
      <c r="K34" s="66" t="s">
        <v>67</v>
      </c>
      <c r="L34" s="66" t="s">
        <v>538</v>
      </c>
      <c r="M34" s="66" t="s">
        <v>78</v>
      </c>
      <c r="N34" s="66" t="s">
        <v>68</v>
      </c>
      <c r="O34" s="67" t="s">
        <v>68</v>
      </c>
      <c r="P34" s="66" t="s">
        <v>539</v>
      </c>
      <c r="Q34" s="66" t="s">
        <v>540</v>
      </c>
      <c r="R34" s="66" t="s">
        <v>541</v>
      </c>
      <c r="S34" s="62"/>
      <c r="T34" s="62"/>
      <c r="U34" s="62"/>
      <c r="V34" s="62"/>
      <c r="W34" s="62"/>
      <c r="X34" s="62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</row>
    <row r="35" spans="1:40" ht="25.2" x14ac:dyDescent="0.25">
      <c r="A35" s="66" t="s">
        <v>633</v>
      </c>
      <c r="B35" s="66" t="s">
        <v>634</v>
      </c>
      <c r="C35" s="66" t="s">
        <v>143</v>
      </c>
      <c r="D35" s="66" t="s">
        <v>634</v>
      </c>
      <c r="E35" s="66" t="s">
        <v>64</v>
      </c>
      <c r="F35" s="66" t="s">
        <v>535</v>
      </c>
      <c r="G35" s="66" t="s">
        <v>536</v>
      </c>
      <c r="H35" s="66" t="s">
        <v>537</v>
      </c>
      <c r="I35" s="66" t="s">
        <v>143</v>
      </c>
      <c r="J35" s="66" t="s">
        <v>550</v>
      </c>
      <c r="K35" s="66" t="s">
        <v>557</v>
      </c>
      <c r="L35" s="66" t="s">
        <v>538</v>
      </c>
      <c r="M35" s="66" t="s">
        <v>292</v>
      </c>
      <c r="N35" s="66" t="s">
        <v>558</v>
      </c>
      <c r="O35" s="67" t="s">
        <v>558</v>
      </c>
      <c r="P35" s="66" t="s">
        <v>635</v>
      </c>
      <c r="Q35" s="66" t="s">
        <v>540</v>
      </c>
      <c r="R35" s="66" t="s">
        <v>541</v>
      </c>
      <c r="S35" s="62"/>
      <c r="T35" s="62"/>
      <c r="U35" s="62"/>
      <c r="V35" s="62"/>
      <c r="W35" s="62"/>
      <c r="X35" s="62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</row>
    <row r="36" spans="1:40" ht="50.4" x14ac:dyDescent="0.25">
      <c r="A36" s="66" t="s">
        <v>636</v>
      </c>
      <c r="B36" s="66" t="s">
        <v>637</v>
      </c>
      <c r="C36" s="66" t="s">
        <v>638</v>
      </c>
      <c r="D36" s="66" t="s">
        <v>639</v>
      </c>
      <c r="E36" s="66" t="s">
        <v>64</v>
      </c>
      <c r="F36" s="66" t="s">
        <v>535</v>
      </c>
      <c r="G36" s="66" t="s">
        <v>536</v>
      </c>
      <c r="H36" s="66" t="s">
        <v>537</v>
      </c>
      <c r="I36" s="66" t="s">
        <v>115</v>
      </c>
      <c r="J36" s="68" t="s">
        <v>34</v>
      </c>
      <c r="K36" s="66" t="s">
        <v>557</v>
      </c>
      <c r="L36" s="66" t="s">
        <v>538</v>
      </c>
      <c r="M36" s="66" t="s">
        <v>140</v>
      </c>
      <c r="N36" s="66" t="s">
        <v>558</v>
      </c>
      <c r="O36" s="67" t="s">
        <v>558</v>
      </c>
      <c r="P36" s="66" t="s">
        <v>563</v>
      </c>
      <c r="Q36" s="66" t="s">
        <v>540</v>
      </c>
      <c r="R36" s="66" t="s">
        <v>541</v>
      </c>
      <c r="S36" s="62"/>
      <c r="T36" s="62"/>
      <c r="U36" s="62"/>
      <c r="V36" s="62"/>
      <c r="W36" s="62"/>
      <c r="X36" s="62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</row>
    <row r="37" spans="1:40" ht="25.2" x14ac:dyDescent="0.25">
      <c r="A37" s="66" t="s">
        <v>640</v>
      </c>
      <c r="B37" s="66" t="s">
        <v>641</v>
      </c>
      <c r="C37" s="66" t="s">
        <v>642</v>
      </c>
      <c r="D37" s="66" t="s">
        <v>641</v>
      </c>
      <c r="E37" s="66" t="s">
        <v>502</v>
      </c>
      <c r="F37" s="66" t="s">
        <v>535</v>
      </c>
      <c r="G37" s="66" t="s">
        <v>536</v>
      </c>
      <c r="H37" s="66" t="s">
        <v>537</v>
      </c>
      <c r="I37" s="66" t="s">
        <v>188</v>
      </c>
      <c r="J37" s="66" t="s">
        <v>550</v>
      </c>
      <c r="K37" s="66" t="s">
        <v>67</v>
      </c>
      <c r="L37" s="66" t="s">
        <v>538</v>
      </c>
      <c r="M37" s="66" t="s">
        <v>188</v>
      </c>
      <c r="N37" s="66" t="s">
        <v>643</v>
      </c>
      <c r="O37" s="67" t="s">
        <v>68</v>
      </c>
      <c r="P37" s="66" t="s">
        <v>644</v>
      </c>
      <c r="Q37" s="66" t="s">
        <v>540</v>
      </c>
      <c r="R37" s="66" t="s">
        <v>541</v>
      </c>
      <c r="S37" s="62"/>
      <c r="T37" s="62"/>
      <c r="U37" s="62"/>
      <c r="V37" s="62"/>
      <c r="W37" s="62"/>
      <c r="X37" s="62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</row>
    <row r="38" spans="1:40" ht="25.2" x14ac:dyDescent="0.25">
      <c r="A38" s="66" t="s">
        <v>645</v>
      </c>
      <c r="B38" s="66" t="s">
        <v>646</v>
      </c>
      <c r="C38" s="66" t="s">
        <v>647</v>
      </c>
      <c r="D38" s="66" t="s">
        <v>648</v>
      </c>
      <c r="E38" s="66" t="s">
        <v>64</v>
      </c>
      <c r="F38" s="66" t="s">
        <v>535</v>
      </c>
      <c r="G38" s="66" t="s">
        <v>649</v>
      </c>
      <c r="H38" s="66" t="s">
        <v>598</v>
      </c>
      <c r="I38" s="66" t="s">
        <v>176</v>
      </c>
      <c r="J38" s="68" t="s">
        <v>35</v>
      </c>
      <c r="K38" s="66" t="s">
        <v>67</v>
      </c>
      <c r="L38" s="66" t="s">
        <v>650</v>
      </c>
      <c r="M38" s="66" t="s">
        <v>291</v>
      </c>
      <c r="N38" s="66" t="s">
        <v>68</v>
      </c>
      <c r="O38" s="67" t="s">
        <v>68</v>
      </c>
      <c r="P38" s="66" t="s">
        <v>600</v>
      </c>
      <c r="Q38" s="66" t="s">
        <v>540</v>
      </c>
      <c r="R38" s="66" t="s">
        <v>541</v>
      </c>
      <c r="S38" s="62"/>
      <c r="T38" s="62"/>
      <c r="U38" s="62"/>
      <c r="V38" s="62"/>
      <c r="W38" s="62"/>
      <c r="X38" s="62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</row>
    <row r="39" spans="1:40" ht="50.4" x14ac:dyDescent="0.25">
      <c r="A39" s="66" t="s">
        <v>114</v>
      </c>
      <c r="B39" s="66" t="s">
        <v>113</v>
      </c>
      <c r="C39" s="66" t="s">
        <v>116</v>
      </c>
      <c r="D39" s="66" t="s">
        <v>651</v>
      </c>
      <c r="E39" s="66" t="s">
        <v>64</v>
      </c>
      <c r="F39" s="66" t="s">
        <v>535</v>
      </c>
      <c r="G39" s="66" t="s">
        <v>536</v>
      </c>
      <c r="H39" s="66" t="s">
        <v>537</v>
      </c>
      <c r="I39" s="66" t="s">
        <v>115</v>
      </c>
      <c r="J39" s="81" t="s">
        <v>43</v>
      </c>
      <c r="K39" s="66" t="s">
        <v>67</v>
      </c>
      <c r="L39" s="66" t="s">
        <v>538</v>
      </c>
      <c r="M39" s="66" t="s">
        <v>140</v>
      </c>
      <c r="N39" s="66" t="s">
        <v>117</v>
      </c>
      <c r="O39" s="67" t="s">
        <v>68</v>
      </c>
      <c r="P39" s="66" t="s">
        <v>539</v>
      </c>
      <c r="Q39" s="66" t="s">
        <v>540</v>
      </c>
      <c r="R39" s="66" t="s">
        <v>541</v>
      </c>
      <c r="S39" s="62"/>
      <c r="T39" s="62"/>
      <c r="U39" s="62"/>
      <c r="V39" s="62"/>
      <c r="W39" s="62"/>
      <c r="X39" s="62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</row>
    <row r="40" spans="1:40" ht="25.2" x14ac:dyDescent="0.25">
      <c r="A40" s="66" t="s">
        <v>652</v>
      </c>
      <c r="B40" s="21" t="s">
        <v>653</v>
      </c>
      <c r="C40" s="66" t="s">
        <v>653</v>
      </c>
      <c r="D40" s="66" t="s">
        <v>653</v>
      </c>
      <c r="E40" s="66" t="s">
        <v>104</v>
      </c>
      <c r="F40" s="66" t="s">
        <v>654</v>
      </c>
      <c r="G40" s="66" t="s">
        <v>536</v>
      </c>
      <c r="H40" s="66" t="s">
        <v>544</v>
      </c>
      <c r="I40" s="66" t="s">
        <v>192</v>
      </c>
      <c r="J40" s="66" t="s">
        <v>550</v>
      </c>
      <c r="K40" s="66" t="s">
        <v>67</v>
      </c>
      <c r="L40" s="66" t="s">
        <v>538</v>
      </c>
      <c r="M40" s="66" t="s">
        <v>292</v>
      </c>
      <c r="N40" s="66" t="s">
        <v>68</v>
      </c>
      <c r="O40" s="67" t="s">
        <v>68</v>
      </c>
      <c r="P40" s="66" t="s">
        <v>545</v>
      </c>
      <c r="Q40" s="66" t="s">
        <v>540</v>
      </c>
      <c r="R40" s="66" t="s">
        <v>541</v>
      </c>
      <c r="S40" s="62"/>
      <c r="T40" s="62"/>
      <c r="U40" s="62"/>
      <c r="V40" s="62"/>
      <c r="W40" s="62"/>
      <c r="X40" s="62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</row>
    <row r="41" spans="1:40" ht="50.4" x14ac:dyDescent="0.25">
      <c r="A41" s="69" t="s">
        <v>126</v>
      </c>
      <c r="B41" s="69" t="s">
        <v>125</v>
      </c>
      <c r="C41" s="69" t="s">
        <v>121</v>
      </c>
      <c r="D41" s="69" t="s">
        <v>655</v>
      </c>
      <c r="E41" s="66" t="s">
        <v>64</v>
      </c>
      <c r="F41" s="66" t="s">
        <v>535</v>
      </c>
      <c r="G41" s="66" t="s">
        <v>536</v>
      </c>
      <c r="H41" s="66" t="s">
        <v>537</v>
      </c>
      <c r="I41" s="66" t="s">
        <v>120</v>
      </c>
      <c r="J41" s="70" t="s">
        <v>6</v>
      </c>
      <c r="K41" s="66" t="s">
        <v>67</v>
      </c>
      <c r="L41" s="66" t="s">
        <v>538</v>
      </c>
      <c r="M41" s="66" t="s">
        <v>292</v>
      </c>
      <c r="N41" s="66" t="s">
        <v>84</v>
      </c>
      <c r="O41" s="67" t="s">
        <v>68</v>
      </c>
      <c r="P41" s="69" t="s">
        <v>545</v>
      </c>
      <c r="Q41" s="66" t="s">
        <v>540</v>
      </c>
      <c r="R41" s="66" t="s">
        <v>541</v>
      </c>
      <c r="S41" s="62"/>
      <c r="T41" s="62"/>
      <c r="U41" s="62"/>
      <c r="V41" s="62"/>
      <c r="W41" s="62"/>
      <c r="X41" s="62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</row>
    <row r="42" spans="1:40" ht="37.799999999999997" x14ac:dyDescent="0.25">
      <c r="A42" s="66" t="s">
        <v>656</v>
      </c>
      <c r="B42" s="66" t="s">
        <v>657</v>
      </c>
      <c r="C42" s="66" t="s">
        <v>658</v>
      </c>
      <c r="D42" s="66" t="s">
        <v>659</v>
      </c>
      <c r="E42" s="66" t="s">
        <v>64</v>
      </c>
      <c r="F42" s="66" t="s">
        <v>535</v>
      </c>
      <c r="G42" s="66" t="s">
        <v>660</v>
      </c>
      <c r="H42" s="66" t="s">
        <v>537</v>
      </c>
      <c r="I42" s="66" t="s">
        <v>174</v>
      </c>
      <c r="J42" s="68" t="s">
        <v>44</v>
      </c>
      <c r="K42" s="66" t="s">
        <v>67</v>
      </c>
      <c r="L42" s="66" t="s">
        <v>661</v>
      </c>
      <c r="M42" s="66" t="s">
        <v>291</v>
      </c>
      <c r="N42" s="66" t="s">
        <v>68</v>
      </c>
      <c r="O42" s="67" t="s">
        <v>68</v>
      </c>
      <c r="P42" s="66" t="s">
        <v>592</v>
      </c>
      <c r="Q42" s="66" t="s">
        <v>540</v>
      </c>
      <c r="R42" s="66" t="s">
        <v>541</v>
      </c>
      <c r="S42" s="62"/>
      <c r="T42" s="62"/>
      <c r="U42" s="62"/>
      <c r="V42" s="62"/>
      <c r="W42" s="62"/>
      <c r="X42" s="62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</row>
    <row r="43" spans="1:40" ht="37.799999999999997" x14ac:dyDescent="0.25">
      <c r="A43" s="66" t="s">
        <v>662</v>
      </c>
      <c r="B43" s="66" t="s">
        <v>663</v>
      </c>
      <c r="C43" s="66" t="s">
        <v>664</v>
      </c>
      <c r="D43" s="66" t="s">
        <v>665</v>
      </c>
      <c r="E43" s="66" t="s">
        <v>64</v>
      </c>
      <c r="F43" s="66" t="s">
        <v>535</v>
      </c>
      <c r="G43" s="66" t="s">
        <v>666</v>
      </c>
      <c r="H43" s="66" t="s">
        <v>537</v>
      </c>
      <c r="I43" s="66" t="s">
        <v>174</v>
      </c>
      <c r="J43" s="68" t="s">
        <v>39</v>
      </c>
      <c r="K43" s="66" t="s">
        <v>67</v>
      </c>
      <c r="L43" s="66" t="s">
        <v>667</v>
      </c>
      <c r="M43" s="66" t="s">
        <v>291</v>
      </c>
      <c r="N43" s="66" t="s">
        <v>68</v>
      </c>
      <c r="O43" s="67" t="s">
        <v>68</v>
      </c>
      <c r="P43" s="66" t="s">
        <v>592</v>
      </c>
      <c r="Q43" s="66" t="s">
        <v>540</v>
      </c>
      <c r="R43" s="66" t="s">
        <v>541</v>
      </c>
      <c r="S43" s="62"/>
      <c r="T43" s="62"/>
      <c r="U43" s="62"/>
      <c r="V43" s="62"/>
      <c r="W43" s="62"/>
      <c r="X43" s="62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</row>
    <row r="44" spans="1:40" ht="37.799999999999997" x14ac:dyDescent="0.25">
      <c r="A44" s="66" t="s">
        <v>668</v>
      </c>
      <c r="B44" s="66" t="s">
        <v>669</v>
      </c>
      <c r="C44" s="66" t="s">
        <v>670</v>
      </c>
      <c r="D44" s="66" t="s">
        <v>671</v>
      </c>
      <c r="E44" s="66" t="s">
        <v>64</v>
      </c>
      <c r="F44" s="66" t="s">
        <v>535</v>
      </c>
      <c r="G44" s="66" t="s">
        <v>672</v>
      </c>
      <c r="H44" s="66" t="s">
        <v>537</v>
      </c>
      <c r="I44" s="66" t="s">
        <v>174</v>
      </c>
      <c r="J44" s="68" t="s">
        <v>36</v>
      </c>
      <c r="K44" s="66" t="s">
        <v>67</v>
      </c>
      <c r="L44" s="66" t="s">
        <v>673</v>
      </c>
      <c r="M44" s="66" t="s">
        <v>291</v>
      </c>
      <c r="N44" s="66" t="s">
        <v>68</v>
      </c>
      <c r="O44" s="67" t="s">
        <v>68</v>
      </c>
      <c r="P44" s="66" t="s">
        <v>592</v>
      </c>
      <c r="Q44" s="66" t="s">
        <v>540</v>
      </c>
      <c r="R44" s="66" t="s">
        <v>541</v>
      </c>
      <c r="S44" s="62"/>
      <c r="T44" s="62"/>
      <c r="U44" s="62"/>
      <c r="V44" s="62"/>
      <c r="W44" s="62"/>
      <c r="X44" s="62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</row>
    <row r="45" spans="1:40" ht="37.799999999999997" x14ac:dyDescent="0.25">
      <c r="A45" s="66" t="s">
        <v>674</v>
      </c>
      <c r="B45" s="66" t="s">
        <v>675</v>
      </c>
      <c r="C45" s="66" t="s">
        <v>676</v>
      </c>
      <c r="D45" s="66" t="s">
        <v>677</v>
      </c>
      <c r="E45" s="66" t="s">
        <v>64</v>
      </c>
      <c r="F45" s="66" t="s">
        <v>535</v>
      </c>
      <c r="G45" s="66" t="s">
        <v>678</v>
      </c>
      <c r="H45" s="66" t="s">
        <v>537</v>
      </c>
      <c r="I45" s="66" t="s">
        <v>174</v>
      </c>
      <c r="J45" s="68" t="s">
        <v>37</v>
      </c>
      <c r="K45" s="66" t="s">
        <v>67</v>
      </c>
      <c r="L45" s="66" t="s">
        <v>679</v>
      </c>
      <c r="M45" s="66" t="s">
        <v>291</v>
      </c>
      <c r="N45" s="66" t="s">
        <v>68</v>
      </c>
      <c r="O45" s="67" t="s">
        <v>68</v>
      </c>
      <c r="P45" s="66" t="s">
        <v>592</v>
      </c>
      <c r="Q45" s="66" t="s">
        <v>540</v>
      </c>
      <c r="R45" s="66" t="s">
        <v>541</v>
      </c>
      <c r="S45" s="62"/>
      <c r="T45" s="62"/>
      <c r="U45" s="62"/>
      <c r="V45" s="62"/>
      <c r="W45" s="62"/>
      <c r="X45" s="62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</row>
    <row r="46" spans="1:40" ht="37.799999999999997" x14ac:dyDescent="0.25">
      <c r="A46" s="66" t="s">
        <v>680</v>
      </c>
      <c r="B46" s="66" t="s">
        <v>681</v>
      </c>
      <c r="C46" s="66" t="s">
        <v>682</v>
      </c>
      <c r="D46" s="66" t="s">
        <v>683</v>
      </c>
      <c r="E46" s="66" t="s">
        <v>64</v>
      </c>
      <c r="F46" s="66" t="s">
        <v>535</v>
      </c>
      <c r="G46" s="66" t="s">
        <v>684</v>
      </c>
      <c r="H46" s="66" t="s">
        <v>537</v>
      </c>
      <c r="I46" s="66" t="s">
        <v>174</v>
      </c>
      <c r="J46" s="68" t="s">
        <v>24</v>
      </c>
      <c r="K46" s="66" t="s">
        <v>67</v>
      </c>
      <c r="L46" s="66" t="s">
        <v>685</v>
      </c>
      <c r="M46" s="66" t="s">
        <v>291</v>
      </c>
      <c r="N46" s="66" t="s">
        <v>68</v>
      </c>
      <c r="O46" s="67" t="s">
        <v>68</v>
      </c>
      <c r="P46" s="66" t="s">
        <v>592</v>
      </c>
      <c r="Q46" s="66" t="s">
        <v>540</v>
      </c>
      <c r="R46" s="66" t="s">
        <v>541</v>
      </c>
      <c r="S46" s="62"/>
      <c r="T46" s="62"/>
      <c r="U46" s="62"/>
      <c r="V46" s="62"/>
      <c r="W46" s="62"/>
      <c r="X46" s="62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</row>
    <row r="47" spans="1:40" ht="25.2" x14ac:dyDescent="0.25">
      <c r="A47" s="66" t="s">
        <v>686</v>
      </c>
      <c r="B47" s="66" t="s">
        <v>687</v>
      </c>
      <c r="C47" s="66" t="s">
        <v>688</v>
      </c>
      <c r="D47" s="66" t="s">
        <v>689</v>
      </c>
      <c r="E47" s="66" t="s">
        <v>64</v>
      </c>
      <c r="F47" s="66" t="s">
        <v>535</v>
      </c>
      <c r="G47" s="66" t="s">
        <v>690</v>
      </c>
      <c r="H47" s="66" t="s">
        <v>537</v>
      </c>
      <c r="I47" s="66" t="s">
        <v>174</v>
      </c>
      <c r="J47" s="68" t="s">
        <v>11</v>
      </c>
      <c r="K47" s="66" t="s">
        <v>67</v>
      </c>
      <c r="L47" s="66" t="s">
        <v>691</v>
      </c>
      <c r="M47" s="66" t="s">
        <v>291</v>
      </c>
      <c r="N47" s="66" t="s">
        <v>68</v>
      </c>
      <c r="O47" s="67" t="s">
        <v>68</v>
      </c>
      <c r="P47" s="66" t="s">
        <v>592</v>
      </c>
      <c r="Q47" s="66" t="s">
        <v>540</v>
      </c>
      <c r="R47" s="66" t="s">
        <v>541</v>
      </c>
      <c r="S47" s="62"/>
      <c r="T47" s="62"/>
      <c r="U47" s="62"/>
      <c r="V47" s="62"/>
      <c r="W47" s="62"/>
      <c r="X47" s="62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</row>
    <row r="48" spans="1:40" ht="37.799999999999997" x14ac:dyDescent="0.25">
      <c r="A48" s="66" t="s">
        <v>692</v>
      </c>
      <c r="B48" s="66" t="s">
        <v>693</v>
      </c>
      <c r="C48" s="66" t="s">
        <v>694</v>
      </c>
      <c r="D48" s="66" t="s">
        <v>695</v>
      </c>
      <c r="E48" s="66" t="s">
        <v>64</v>
      </c>
      <c r="F48" s="66" t="s">
        <v>535</v>
      </c>
      <c r="G48" s="66" t="s">
        <v>660</v>
      </c>
      <c r="H48" s="66" t="s">
        <v>696</v>
      </c>
      <c r="I48" s="66" t="s">
        <v>178</v>
      </c>
      <c r="J48" s="68" t="s">
        <v>21</v>
      </c>
      <c r="K48" s="66" t="s">
        <v>67</v>
      </c>
      <c r="L48" s="66" t="s">
        <v>661</v>
      </c>
      <c r="M48" s="66" t="s">
        <v>291</v>
      </c>
      <c r="N48" s="66" t="s">
        <v>84</v>
      </c>
      <c r="O48" s="67" t="s">
        <v>68</v>
      </c>
      <c r="P48" s="66" t="s">
        <v>604</v>
      </c>
      <c r="Q48" s="66" t="s">
        <v>540</v>
      </c>
      <c r="R48" s="66" t="s">
        <v>541</v>
      </c>
      <c r="S48" s="62"/>
      <c r="T48" s="62"/>
      <c r="U48" s="62"/>
      <c r="V48" s="62"/>
      <c r="W48" s="62"/>
      <c r="X48" s="62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</row>
    <row r="49" spans="1:40" ht="37.799999999999997" x14ac:dyDescent="0.25">
      <c r="A49" s="66" t="s">
        <v>697</v>
      </c>
      <c r="B49" s="66" t="s">
        <v>698</v>
      </c>
      <c r="C49" s="66" t="s">
        <v>699</v>
      </c>
      <c r="D49" s="66" t="s">
        <v>700</v>
      </c>
      <c r="E49" s="66" t="s">
        <v>64</v>
      </c>
      <c r="F49" s="66" t="s">
        <v>535</v>
      </c>
      <c r="G49" s="66" t="s">
        <v>690</v>
      </c>
      <c r="H49" s="66" t="s">
        <v>696</v>
      </c>
      <c r="I49" s="66" t="s">
        <v>178</v>
      </c>
      <c r="J49" s="68" t="s">
        <v>5</v>
      </c>
      <c r="K49" s="66" t="s">
        <v>67</v>
      </c>
      <c r="L49" s="66" t="s">
        <v>691</v>
      </c>
      <c r="M49" s="66" t="s">
        <v>291</v>
      </c>
      <c r="N49" s="66" t="s">
        <v>84</v>
      </c>
      <c r="O49" s="67" t="s">
        <v>68</v>
      </c>
      <c r="P49" s="66" t="s">
        <v>604</v>
      </c>
      <c r="Q49" s="66" t="s">
        <v>540</v>
      </c>
      <c r="R49" s="66" t="s">
        <v>541</v>
      </c>
      <c r="S49" s="62"/>
      <c r="T49" s="62"/>
      <c r="U49" s="62"/>
      <c r="V49" s="62"/>
      <c r="W49" s="62"/>
      <c r="X49" s="62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</row>
    <row r="50" spans="1:40" ht="37.799999999999997" x14ac:dyDescent="0.25">
      <c r="A50" s="66" t="s">
        <v>701</v>
      </c>
      <c r="B50" s="66" t="s">
        <v>702</v>
      </c>
      <c r="C50" s="66" t="s">
        <v>703</v>
      </c>
      <c r="D50" s="66" t="s">
        <v>704</v>
      </c>
      <c r="E50" s="66" t="s">
        <v>64</v>
      </c>
      <c r="F50" s="66" t="s">
        <v>535</v>
      </c>
      <c r="G50" s="66" t="s">
        <v>705</v>
      </c>
      <c r="H50" s="66" t="s">
        <v>696</v>
      </c>
      <c r="I50" s="66" t="s">
        <v>178</v>
      </c>
      <c r="J50" s="68" t="s">
        <v>22</v>
      </c>
      <c r="K50" s="66" t="s">
        <v>67</v>
      </c>
      <c r="L50" s="66" t="s">
        <v>706</v>
      </c>
      <c r="M50" s="66" t="s">
        <v>291</v>
      </c>
      <c r="N50" s="66" t="s">
        <v>84</v>
      </c>
      <c r="O50" s="67" t="s">
        <v>68</v>
      </c>
      <c r="P50" s="66" t="s">
        <v>604</v>
      </c>
      <c r="Q50" s="66" t="s">
        <v>540</v>
      </c>
      <c r="R50" s="66" t="s">
        <v>541</v>
      </c>
      <c r="S50" s="62"/>
      <c r="T50" s="62"/>
      <c r="U50" s="62"/>
      <c r="V50" s="62"/>
      <c r="W50" s="62"/>
      <c r="X50" s="62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</row>
    <row r="51" spans="1:40" ht="37.799999999999997" x14ac:dyDescent="0.25">
      <c r="A51" s="66" t="s">
        <v>707</v>
      </c>
      <c r="B51" s="66" t="s">
        <v>708</v>
      </c>
      <c r="C51" s="66" t="s">
        <v>709</v>
      </c>
      <c r="D51" s="66" t="s">
        <v>710</v>
      </c>
      <c r="E51" s="66" t="s">
        <v>64</v>
      </c>
      <c r="F51" s="66" t="s">
        <v>535</v>
      </c>
      <c r="G51" s="66" t="s">
        <v>684</v>
      </c>
      <c r="H51" s="66" t="s">
        <v>696</v>
      </c>
      <c r="I51" s="66" t="s">
        <v>178</v>
      </c>
      <c r="J51" s="68" t="s">
        <v>14</v>
      </c>
      <c r="K51" s="66" t="s">
        <v>67</v>
      </c>
      <c r="L51" s="66" t="s">
        <v>685</v>
      </c>
      <c r="M51" s="66" t="s">
        <v>291</v>
      </c>
      <c r="N51" s="66" t="s">
        <v>84</v>
      </c>
      <c r="O51" s="67" t="s">
        <v>68</v>
      </c>
      <c r="P51" s="66" t="s">
        <v>604</v>
      </c>
      <c r="Q51" s="66" t="s">
        <v>540</v>
      </c>
      <c r="R51" s="66" t="s">
        <v>541</v>
      </c>
      <c r="S51" s="62"/>
      <c r="T51" s="62"/>
      <c r="U51" s="62"/>
      <c r="V51" s="62"/>
      <c r="W51" s="62"/>
      <c r="X51" s="62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</row>
    <row r="52" spans="1:40" ht="37.799999999999997" x14ac:dyDescent="0.25">
      <c r="A52" s="66" t="s">
        <v>711</v>
      </c>
      <c r="B52" s="66" t="s">
        <v>712</v>
      </c>
      <c r="C52" s="66" t="s">
        <v>713</v>
      </c>
      <c r="D52" s="66" t="s">
        <v>714</v>
      </c>
      <c r="E52" s="66" t="s">
        <v>64</v>
      </c>
      <c r="F52" s="66" t="s">
        <v>535</v>
      </c>
      <c r="G52" s="66" t="s">
        <v>672</v>
      </c>
      <c r="H52" s="66" t="s">
        <v>696</v>
      </c>
      <c r="I52" s="66" t="s">
        <v>178</v>
      </c>
      <c r="J52" s="68" t="s">
        <v>15</v>
      </c>
      <c r="K52" s="66" t="s">
        <v>67</v>
      </c>
      <c r="L52" s="66" t="s">
        <v>673</v>
      </c>
      <c r="M52" s="66" t="s">
        <v>291</v>
      </c>
      <c r="N52" s="66" t="s">
        <v>84</v>
      </c>
      <c r="O52" s="67" t="s">
        <v>68</v>
      </c>
      <c r="P52" s="66" t="s">
        <v>604</v>
      </c>
      <c r="Q52" s="66" t="s">
        <v>540</v>
      </c>
      <c r="R52" s="66" t="s">
        <v>541</v>
      </c>
      <c r="S52" s="62"/>
      <c r="T52" s="62"/>
      <c r="U52" s="62"/>
      <c r="V52" s="62"/>
      <c r="W52" s="62"/>
      <c r="X52" s="62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</row>
    <row r="53" spans="1:40" ht="37.799999999999997" x14ac:dyDescent="0.25">
      <c r="A53" s="66" t="s">
        <v>715</v>
      </c>
      <c r="B53" s="66" t="s">
        <v>716</v>
      </c>
      <c r="C53" s="66" t="s">
        <v>717</v>
      </c>
      <c r="D53" s="66" t="s">
        <v>718</v>
      </c>
      <c r="E53" s="66" t="s">
        <v>64</v>
      </c>
      <c r="F53" s="66" t="s">
        <v>535</v>
      </c>
      <c r="G53" s="66" t="s">
        <v>678</v>
      </c>
      <c r="H53" s="66" t="s">
        <v>696</v>
      </c>
      <c r="I53" s="66" t="s">
        <v>178</v>
      </c>
      <c r="J53" s="68" t="s">
        <v>3</v>
      </c>
      <c r="K53" s="66" t="s">
        <v>67</v>
      </c>
      <c r="L53" s="66" t="s">
        <v>679</v>
      </c>
      <c r="M53" s="66" t="s">
        <v>291</v>
      </c>
      <c r="N53" s="66" t="s">
        <v>84</v>
      </c>
      <c r="O53" s="67" t="s">
        <v>68</v>
      </c>
      <c r="P53" s="66" t="s">
        <v>604</v>
      </c>
      <c r="Q53" s="66" t="s">
        <v>540</v>
      </c>
      <c r="R53" s="66" t="s">
        <v>541</v>
      </c>
      <c r="S53" s="62"/>
      <c r="T53" s="62"/>
      <c r="U53" s="62"/>
      <c r="V53" s="62"/>
      <c r="W53" s="62"/>
      <c r="X53" s="62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</row>
    <row r="54" spans="1:40" ht="25.2" x14ac:dyDescent="0.25">
      <c r="A54" s="66" t="s">
        <v>719</v>
      </c>
      <c r="B54" s="66" t="s">
        <v>720</v>
      </c>
      <c r="C54" s="66" t="s">
        <v>721</v>
      </c>
      <c r="D54" s="66" t="s">
        <v>722</v>
      </c>
      <c r="E54" s="66" t="s">
        <v>64</v>
      </c>
      <c r="F54" s="66" t="s">
        <v>535</v>
      </c>
      <c r="G54" s="66" t="s">
        <v>608</v>
      </c>
      <c r="H54" s="66" t="s">
        <v>598</v>
      </c>
      <c r="I54" s="66" t="s">
        <v>176</v>
      </c>
      <c r="J54" s="68" t="s">
        <v>8</v>
      </c>
      <c r="K54" s="66" t="s">
        <v>67</v>
      </c>
      <c r="L54" s="66" t="s">
        <v>620</v>
      </c>
      <c r="M54" s="66" t="s">
        <v>291</v>
      </c>
      <c r="N54" s="66" t="s">
        <v>68</v>
      </c>
      <c r="O54" s="67" t="s">
        <v>68</v>
      </c>
      <c r="P54" s="66" t="s">
        <v>600</v>
      </c>
      <c r="Q54" s="66" t="s">
        <v>540</v>
      </c>
      <c r="R54" s="66" t="s">
        <v>541</v>
      </c>
      <c r="S54" s="62"/>
      <c r="T54" s="62"/>
      <c r="U54" s="62"/>
      <c r="V54" s="62"/>
      <c r="W54" s="62"/>
      <c r="X54" s="62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</row>
    <row r="55" spans="1:40" ht="25.2" x14ac:dyDescent="0.25">
      <c r="A55" s="66" t="s">
        <v>723</v>
      </c>
      <c r="B55" s="66" t="s">
        <v>724</v>
      </c>
      <c r="C55" s="66" t="s">
        <v>725</v>
      </c>
      <c r="D55" s="66" t="s">
        <v>726</v>
      </c>
      <c r="E55" s="66" t="s">
        <v>64</v>
      </c>
      <c r="F55" s="66" t="s">
        <v>535</v>
      </c>
      <c r="G55" s="66" t="s">
        <v>597</v>
      </c>
      <c r="H55" s="66" t="s">
        <v>537</v>
      </c>
      <c r="I55" s="66" t="s">
        <v>180</v>
      </c>
      <c r="J55" s="68" t="s">
        <v>17</v>
      </c>
      <c r="K55" s="66" t="s">
        <v>67</v>
      </c>
      <c r="L55" s="66" t="s">
        <v>599</v>
      </c>
      <c r="M55" s="66" t="s">
        <v>291</v>
      </c>
      <c r="N55" s="66" t="s">
        <v>609</v>
      </c>
      <c r="O55" s="67" t="s">
        <v>68</v>
      </c>
      <c r="P55" s="66" t="s">
        <v>627</v>
      </c>
      <c r="Q55" s="66" t="s">
        <v>540</v>
      </c>
      <c r="R55" s="66" t="s">
        <v>541</v>
      </c>
      <c r="S55" s="62"/>
      <c r="T55" s="62"/>
      <c r="U55" s="62"/>
      <c r="V55" s="62"/>
      <c r="W55" s="62"/>
      <c r="X55" s="62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</row>
    <row r="56" spans="1:40" ht="25.2" x14ac:dyDescent="0.25">
      <c r="A56" s="65" t="s">
        <v>727</v>
      </c>
      <c r="B56" s="66" t="s">
        <v>728</v>
      </c>
      <c r="C56" s="66" t="s">
        <v>729</v>
      </c>
      <c r="D56" s="21" t="s">
        <v>730</v>
      </c>
      <c r="E56" s="66" t="s">
        <v>64</v>
      </c>
      <c r="F56" s="66" t="s">
        <v>535</v>
      </c>
      <c r="G56" s="66" t="s">
        <v>672</v>
      </c>
      <c r="H56" s="66" t="s">
        <v>537</v>
      </c>
      <c r="I56" s="66" t="s">
        <v>182</v>
      </c>
      <c r="J56" s="66" t="s">
        <v>550</v>
      </c>
      <c r="K56" s="66" t="s">
        <v>67</v>
      </c>
      <c r="L56" s="66" t="s">
        <v>673</v>
      </c>
      <c r="M56" s="66" t="s">
        <v>291</v>
      </c>
      <c r="N56" s="66" t="s">
        <v>68</v>
      </c>
      <c r="O56" s="67" t="s">
        <v>68</v>
      </c>
      <c r="P56" s="66" t="s">
        <v>604</v>
      </c>
      <c r="Q56" s="66" t="s">
        <v>540</v>
      </c>
      <c r="R56" s="66" t="s">
        <v>541</v>
      </c>
      <c r="S56" s="62"/>
      <c r="T56" s="62"/>
      <c r="U56" s="62"/>
      <c r="V56" s="62"/>
      <c r="W56" s="62"/>
      <c r="X56" s="62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</row>
    <row r="57" spans="1:40" ht="25.2" x14ac:dyDescent="0.25">
      <c r="A57" s="65" t="s">
        <v>731</v>
      </c>
      <c r="B57" s="66" t="s">
        <v>732</v>
      </c>
      <c r="C57" s="66" t="s">
        <v>733</v>
      </c>
      <c r="D57" s="21" t="s">
        <v>734</v>
      </c>
      <c r="E57" s="66" t="s">
        <v>64</v>
      </c>
      <c r="F57" s="66" t="s">
        <v>535</v>
      </c>
      <c r="G57" s="66" t="s">
        <v>678</v>
      </c>
      <c r="H57" s="66" t="s">
        <v>537</v>
      </c>
      <c r="I57" s="66" t="s">
        <v>182</v>
      </c>
      <c r="J57" s="66" t="s">
        <v>550</v>
      </c>
      <c r="K57" s="66" t="s">
        <v>67</v>
      </c>
      <c r="L57" s="66" t="s">
        <v>679</v>
      </c>
      <c r="M57" s="66" t="s">
        <v>291</v>
      </c>
      <c r="N57" s="66" t="s">
        <v>68</v>
      </c>
      <c r="O57" s="67" t="s">
        <v>68</v>
      </c>
      <c r="P57" s="66" t="s">
        <v>604</v>
      </c>
      <c r="Q57" s="66" t="s">
        <v>540</v>
      </c>
      <c r="R57" s="66" t="s">
        <v>541</v>
      </c>
      <c r="S57" s="62"/>
      <c r="T57" s="62"/>
      <c r="U57" s="62"/>
      <c r="V57" s="62"/>
      <c r="W57" s="62"/>
      <c r="X57" s="62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</row>
    <row r="58" spans="1:40" ht="25.2" x14ac:dyDescent="0.25">
      <c r="A58" s="65" t="s">
        <v>735</v>
      </c>
      <c r="B58" s="66" t="s">
        <v>736</v>
      </c>
      <c r="C58" s="66" t="s">
        <v>737</v>
      </c>
      <c r="D58" s="21" t="s">
        <v>738</v>
      </c>
      <c r="E58" s="66" t="s">
        <v>64</v>
      </c>
      <c r="F58" s="66" t="s">
        <v>535</v>
      </c>
      <c r="G58" s="66" t="s">
        <v>660</v>
      </c>
      <c r="H58" s="66" t="s">
        <v>537</v>
      </c>
      <c r="I58" s="66" t="s">
        <v>182</v>
      </c>
      <c r="J58" s="66" t="s">
        <v>550</v>
      </c>
      <c r="K58" s="66" t="s">
        <v>67</v>
      </c>
      <c r="L58" s="66" t="s">
        <v>661</v>
      </c>
      <c r="M58" s="66" t="s">
        <v>291</v>
      </c>
      <c r="N58" s="66" t="s">
        <v>68</v>
      </c>
      <c r="O58" s="67" t="s">
        <v>68</v>
      </c>
      <c r="P58" s="66" t="s">
        <v>604</v>
      </c>
      <c r="Q58" s="66" t="s">
        <v>540</v>
      </c>
      <c r="R58" s="66" t="s">
        <v>541</v>
      </c>
      <c r="S58" s="62"/>
      <c r="T58" s="62"/>
      <c r="U58" s="62"/>
      <c r="V58" s="62"/>
      <c r="W58" s="62"/>
      <c r="X58" s="62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</row>
    <row r="59" spans="1:40" ht="25.2" x14ac:dyDescent="0.25">
      <c r="A59" s="65" t="s">
        <v>739</v>
      </c>
      <c r="B59" s="66" t="s">
        <v>740</v>
      </c>
      <c r="C59" s="66" t="s">
        <v>741</v>
      </c>
      <c r="D59" s="21" t="s">
        <v>742</v>
      </c>
      <c r="E59" s="66" t="s">
        <v>64</v>
      </c>
      <c r="F59" s="66" t="s">
        <v>535</v>
      </c>
      <c r="G59" s="66" t="s">
        <v>684</v>
      </c>
      <c r="H59" s="66" t="s">
        <v>537</v>
      </c>
      <c r="I59" s="66" t="s">
        <v>182</v>
      </c>
      <c r="J59" s="66" t="s">
        <v>550</v>
      </c>
      <c r="K59" s="66" t="s">
        <v>67</v>
      </c>
      <c r="L59" s="66" t="s">
        <v>685</v>
      </c>
      <c r="M59" s="66" t="s">
        <v>291</v>
      </c>
      <c r="N59" s="66" t="s">
        <v>68</v>
      </c>
      <c r="O59" s="67" t="s">
        <v>68</v>
      </c>
      <c r="P59" s="66" t="s">
        <v>604</v>
      </c>
      <c r="Q59" s="66" t="s">
        <v>540</v>
      </c>
      <c r="R59" s="66" t="s">
        <v>541</v>
      </c>
      <c r="S59" s="62"/>
      <c r="T59" s="62"/>
      <c r="U59" s="62"/>
      <c r="V59" s="62"/>
      <c r="W59" s="62"/>
      <c r="X59" s="62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</row>
    <row r="60" spans="1:40" ht="25.2" x14ac:dyDescent="0.25">
      <c r="A60" s="65" t="s">
        <v>743</v>
      </c>
      <c r="B60" s="66" t="s">
        <v>744</v>
      </c>
      <c r="C60" s="66" t="s">
        <v>745</v>
      </c>
      <c r="D60" s="21" t="s">
        <v>746</v>
      </c>
      <c r="E60" s="66" t="s">
        <v>64</v>
      </c>
      <c r="F60" s="66" t="s">
        <v>535</v>
      </c>
      <c r="G60" s="66" t="s">
        <v>690</v>
      </c>
      <c r="H60" s="66" t="s">
        <v>537</v>
      </c>
      <c r="I60" s="66" t="s">
        <v>182</v>
      </c>
      <c r="J60" s="66" t="s">
        <v>550</v>
      </c>
      <c r="K60" s="66" t="s">
        <v>67</v>
      </c>
      <c r="L60" s="66" t="s">
        <v>691</v>
      </c>
      <c r="M60" s="66" t="s">
        <v>291</v>
      </c>
      <c r="N60" s="66" t="s">
        <v>68</v>
      </c>
      <c r="O60" s="67" t="s">
        <v>68</v>
      </c>
      <c r="P60" s="66" t="s">
        <v>604</v>
      </c>
      <c r="Q60" s="66" t="s">
        <v>540</v>
      </c>
      <c r="R60" s="66" t="s">
        <v>541</v>
      </c>
      <c r="S60" s="62"/>
      <c r="T60" s="62"/>
      <c r="U60" s="62"/>
      <c r="V60" s="62"/>
      <c r="W60" s="62"/>
      <c r="X60" s="62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</row>
    <row r="61" spans="1:40" ht="15.6" x14ac:dyDescent="0.25">
      <c r="A61" s="21" t="s">
        <v>747</v>
      </c>
      <c r="B61" s="21" t="s">
        <v>748</v>
      </c>
      <c r="C61" s="21" t="s">
        <v>748</v>
      </c>
      <c r="D61" s="21" t="s">
        <v>748</v>
      </c>
      <c r="E61" s="66" t="s">
        <v>503</v>
      </c>
      <c r="F61" s="66" t="s">
        <v>749</v>
      </c>
      <c r="G61" s="66" t="s">
        <v>536</v>
      </c>
      <c r="H61" s="66" t="s">
        <v>750</v>
      </c>
      <c r="I61" s="66" t="s">
        <v>190</v>
      </c>
      <c r="J61" s="66" t="s">
        <v>550</v>
      </c>
      <c r="K61" s="66" t="s">
        <v>67</v>
      </c>
      <c r="L61" s="66" t="s">
        <v>538</v>
      </c>
      <c r="M61" s="66" t="s">
        <v>190</v>
      </c>
      <c r="N61" s="21"/>
      <c r="O61" s="67"/>
      <c r="P61" s="66"/>
      <c r="Q61" s="66" t="s">
        <v>540</v>
      </c>
      <c r="R61" s="66" t="s">
        <v>541</v>
      </c>
      <c r="S61" s="62"/>
      <c r="T61" s="62"/>
      <c r="U61" s="62"/>
      <c r="V61" s="62"/>
      <c r="W61" s="62"/>
      <c r="X61" s="62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</row>
    <row r="62" spans="1:40" ht="15.6" x14ac:dyDescent="0.25">
      <c r="A62" s="21" t="s">
        <v>751</v>
      </c>
      <c r="B62" s="21" t="s">
        <v>752</v>
      </c>
      <c r="C62" s="21" t="s">
        <v>752</v>
      </c>
      <c r="D62" s="21" t="s">
        <v>752</v>
      </c>
      <c r="E62" s="66" t="s">
        <v>503</v>
      </c>
      <c r="F62" s="66" t="s">
        <v>749</v>
      </c>
      <c r="G62" s="66" t="s">
        <v>536</v>
      </c>
      <c r="H62" s="66" t="s">
        <v>750</v>
      </c>
      <c r="I62" s="66" t="s">
        <v>190</v>
      </c>
      <c r="J62" s="66" t="s">
        <v>550</v>
      </c>
      <c r="K62" s="66" t="s">
        <v>67</v>
      </c>
      <c r="L62" s="66" t="s">
        <v>538</v>
      </c>
      <c r="M62" s="66" t="s">
        <v>190</v>
      </c>
      <c r="N62" s="21"/>
      <c r="O62" s="67"/>
      <c r="P62" s="66"/>
      <c r="Q62" s="66" t="s">
        <v>540</v>
      </c>
      <c r="R62" s="66" t="s">
        <v>541</v>
      </c>
      <c r="S62" s="62"/>
      <c r="T62" s="62"/>
      <c r="U62" s="62"/>
      <c r="V62" s="62"/>
      <c r="W62" s="62"/>
      <c r="X62" s="62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</row>
    <row r="63" spans="1:40" ht="15.6" x14ac:dyDescent="0.25">
      <c r="A63" s="21" t="s">
        <v>753</v>
      </c>
      <c r="B63" s="21" t="s">
        <v>754</v>
      </c>
      <c r="C63" s="21" t="s">
        <v>754</v>
      </c>
      <c r="D63" s="21" t="s">
        <v>754</v>
      </c>
      <c r="E63" s="66" t="s">
        <v>503</v>
      </c>
      <c r="F63" s="66" t="s">
        <v>749</v>
      </c>
      <c r="G63" s="66" t="s">
        <v>536</v>
      </c>
      <c r="H63" s="66" t="s">
        <v>750</v>
      </c>
      <c r="I63" s="66" t="s">
        <v>190</v>
      </c>
      <c r="J63" s="66" t="s">
        <v>550</v>
      </c>
      <c r="K63" s="66" t="s">
        <v>67</v>
      </c>
      <c r="L63" s="66" t="s">
        <v>538</v>
      </c>
      <c r="M63" s="66" t="s">
        <v>190</v>
      </c>
      <c r="N63" s="21"/>
      <c r="O63" s="67"/>
      <c r="P63" s="66"/>
      <c r="Q63" s="66" t="s">
        <v>540</v>
      </c>
      <c r="R63" s="66" t="s">
        <v>541</v>
      </c>
      <c r="S63" s="62"/>
      <c r="T63" s="62"/>
      <c r="U63" s="62"/>
      <c r="V63" s="62"/>
      <c r="W63" s="62"/>
      <c r="X63" s="62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</row>
    <row r="64" spans="1:40" ht="15.6" x14ac:dyDescent="0.25">
      <c r="A64" s="21" t="s">
        <v>755</v>
      </c>
      <c r="B64" s="21" t="s">
        <v>756</v>
      </c>
      <c r="C64" s="21" t="s">
        <v>756</v>
      </c>
      <c r="D64" s="21" t="s">
        <v>756</v>
      </c>
      <c r="E64" s="66" t="s">
        <v>503</v>
      </c>
      <c r="F64" s="66" t="s">
        <v>749</v>
      </c>
      <c r="G64" s="66" t="s">
        <v>536</v>
      </c>
      <c r="H64" s="66" t="s">
        <v>750</v>
      </c>
      <c r="I64" s="66" t="s">
        <v>190</v>
      </c>
      <c r="J64" s="66" t="s">
        <v>550</v>
      </c>
      <c r="K64" s="66" t="s">
        <v>557</v>
      </c>
      <c r="L64" s="66" t="s">
        <v>538</v>
      </c>
      <c r="M64" s="66" t="s">
        <v>190</v>
      </c>
      <c r="N64" s="21"/>
      <c r="O64" s="67"/>
      <c r="P64" s="66"/>
      <c r="Q64" s="66" t="s">
        <v>540</v>
      </c>
      <c r="R64" s="66" t="s">
        <v>541</v>
      </c>
      <c r="S64" s="62"/>
      <c r="T64" s="62"/>
      <c r="U64" s="62"/>
      <c r="V64" s="62"/>
      <c r="W64" s="62"/>
      <c r="X64" s="62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</row>
    <row r="65" spans="1:40" ht="15.6" x14ac:dyDescent="0.25">
      <c r="A65" s="21" t="s">
        <v>757</v>
      </c>
      <c r="B65" s="21" t="s">
        <v>758</v>
      </c>
      <c r="C65" s="21" t="s">
        <v>758</v>
      </c>
      <c r="D65" s="21" t="s">
        <v>758</v>
      </c>
      <c r="E65" s="66" t="s">
        <v>503</v>
      </c>
      <c r="F65" s="66" t="s">
        <v>749</v>
      </c>
      <c r="G65" s="66" t="s">
        <v>536</v>
      </c>
      <c r="H65" s="66" t="s">
        <v>750</v>
      </c>
      <c r="I65" s="66" t="s">
        <v>190</v>
      </c>
      <c r="J65" s="66" t="s">
        <v>550</v>
      </c>
      <c r="K65" s="66" t="s">
        <v>67</v>
      </c>
      <c r="L65" s="66" t="s">
        <v>538</v>
      </c>
      <c r="M65" s="66" t="s">
        <v>190</v>
      </c>
      <c r="N65" s="21"/>
      <c r="O65" s="67"/>
      <c r="P65" s="21"/>
      <c r="Q65" s="66" t="s">
        <v>540</v>
      </c>
      <c r="R65" s="66" t="s">
        <v>541</v>
      </c>
      <c r="S65" s="62"/>
      <c r="T65" s="62"/>
      <c r="U65" s="62"/>
      <c r="V65" s="62"/>
      <c r="W65" s="62"/>
      <c r="X65" s="62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</row>
    <row r="66" spans="1:40" ht="15.6" x14ac:dyDescent="0.25">
      <c r="A66" s="21" t="s">
        <v>759</v>
      </c>
      <c r="B66" s="21" t="s">
        <v>760</v>
      </c>
      <c r="C66" s="21" t="s">
        <v>760</v>
      </c>
      <c r="D66" s="21" t="s">
        <v>760</v>
      </c>
      <c r="E66" s="66" t="s">
        <v>503</v>
      </c>
      <c r="F66" s="66" t="s">
        <v>749</v>
      </c>
      <c r="G66" s="66" t="s">
        <v>536</v>
      </c>
      <c r="H66" s="66" t="s">
        <v>750</v>
      </c>
      <c r="I66" s="66" t="s">
        <v>190</v>
      </c>
      <c r="J66" s="66" t="s">
        <v>550</v>
      </c>
      <c r="K66" s="66" t="s">
        <v>67</v>
      </c>
      <c r="L66" s="66" t="s">
        <v>538</v>
      </c>
      <c r="M66" s="66" t="s">
        <v>190</v>
      </c>
      <c r="N66" s="21"/>
      <c r="O66" s="67"/>
      <c r="P66" s="21"/>
      <c r="Q66" s="66" t="s">
        <v>540</v>
      </c>
      <c r="R66" s="66" t="s">
        <v>541</v>
      </c>
      <c r="S66" s="62"/>
      <c r="T66" s="62"/>
      <c r="U66" s="62"/>
      <c r="V66" s="62"/>
      <c r="W66" s="62"/>
      <c r="X66" s="62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</row>
    <row r="67" spans="1:40" ht="15.6" x14ac:dyDescent="0.25">
      <c r="A67" s="21" t="s">
        <v>761</v>
      </c>
      <c r="B67" s="21" t="s">
        <v>762</v>
      </c>
      <c r="C67" s="21" t="s">
        <v>762</v>
      </c>
      <c r="D67" s="21" t="s">
        <v>762</v>
      </c>
      <c r="E67" s="66" t="s">
        <v>503</v>
      </c>
      <c r="F67" s="66" t="s">
        <v>749</v>
      </c>
      <c r="G67" s="66" t="s">
        <v>536</v>
      </c>
      <c r="H67" s="66" t="s">
        <v>750</v>
      </c>
      <c r="I67" s="66" t="s">
        <v>190</v>
      </c>
      <c r="J67" s="66" t="s">
        <v>550</v>
      </c>
      <c r="K67" s="66" t="s">
        <v>557</v>
      </c>
      <c r="L67" s="66" t="s">
        <v>538</v>
      </c>
      <c r="M67" s="66" t="s">
        <v>190</v>
      </c>
      <c r="N67" s="21"/>
      <c r="O67" s="67"/>
      <c r="P67" s="21"/>
      <c r="Q67" s="66" t="s">
        <v>540</v>
      </c>
      <c r="R67" s="66" t="s">
        <v>541</v>
      </c>
      <c r="S67" s="62"/>
      <c r="T67" s="62"/>
      <c r="U67" s="62"/>
      <c r="V67" s="62"/>
      <c r="W67" s="62"/>
      <c r="X67" s="62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</row>
    <row r="68" spans="1:40" ht="25.2" x14ac:dyDescent="0.25">
      <c r="A68" s="66" t="s">
        <v>148</v>
      </c>
      <c r="B68" s="66" t="s">
        <v>147</v>
      </c>
      <c r="C68" s="66" t="s">
        <v>149</v>
      </c>
      <c r="D68" s="66" t="s">
        <v>763</v>
      </c>
      <c r="E68" s="66" t="s">
        <v>64</v>
      </c>
      <c r="F68" s="66" t="s">
        <v>535</v>
      </c>
      <c r="G68" s="66" t="s">
        <v>536</v>
      </c>
      <c r="H68" s="66" t="s">
        <v>537</v>
      </c>
      <c r="I68" s="66" t="s">
        <v>140</v>
      </c>
      <c r="J68" s="66" t="s">
        <v>550</v>
      </c>
      <c r="K68" s="66" t="s">
        <v>67</v>
      </c>
      <c r="L68" s="66" t="s">
        <v>538</v>
      </c>
      <c r="M68" s="66" t="s">
        <v>140</v>
      </c>
      <c r="N68" s="66" t="s">
        <v>117</v>
      </c>
      <c r="O68" s="67" t="s">
        <v>68</v>
      </c>
      <c r="P68" s="66" t="s">
        <v>764</v>
      </c>
      <c r="Q68" s="66" t="s">
        <v>540</v>
      </c>
      <c r="R68" s="66" t="s">
        <v>541</v>
      </c>
      <c r="S68" s="66"/>
      <c r="T68" s="66"/>
      <c r="U68" s="66"/>
      <c r="V68" s="66"/>
      <c r="W68" s="66"/>
      <c r="X68" s="66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</row>
    <row r="69" spans="1:40" ht="50.4" x14ac:dyDescent="0.25">
      <c r="A69" s="21" t="s">
        <v>128</v>
      </c>
      <c r="B69" s="21" t="s">
        <v>127</v>
      </c>
      <c r="C69" s="21" t="s">
        <v>129</v>
      </c>
      <c r="D69" s="21" t="s">
        <v>127</v>
      </c>
      <c r="E69" s="66" t="s">
        <v>64</v>
      </c>
      <c r="F69" s="66" t="s">
        <v>535</v>
      </c>
      <c r="G69" s="66" t="s">
        <v>536</v>
      </c>
      <c r="H69" s="66" t="s">
        <v>537</v>
      </c>
      <c r="I69" s="66" t="s">
        <v>120</v>
      </c>
      <c r="J69" s="68" t="s">
        <v>4</v>
      </c>
      <c r="K69" s="66" t="s">
        <v>67</v>
      </c>
      <c r="L69" s="66" t="s">
        <v>538</v>
      </c>
      <c r="M69" s="66" t="s">
        <v>292</v>
      </c>
      <c r="N69" s="21" t="s">
        <v>84</v>
      </c>
      <c r="O69" s="67" t="s">
        <v>68</v>
      </c>
      <c r="P69" s="66" t="s">
        <v>545</v>
      </c>
      <c r="Q69" s="66" t="s">
        <v>540</v>
      </c>
      <c r="R69" s="66" t="s">
        <v>541</v>
      </c>
      <c r="S69" s="63"/>
      <c r="T69" s="63"/>
      <c r="U69" s="63"/>
      <c r="V69" s="63"/>
      <c r="W69" s="63"/>
      <c r="X69" s="62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</row>
    <row r="70" spans="1:40" ht="25.2" x14ac:dyDescent="0.25">
      <c r="A70" s="21" t="s">
        <v>765</v>
      </c>
      <c r="B70" s="21" t="s">
        <v>766</v>
      </c>
      <c r="C70" s="21" t="s">
        <v>767</v>
      </c>
      <c r="D70" s="21" t="s">
        <v>766</v>
      </c>
      <c r="E70" s="66" t="s">
        <v>88</v>
      </c>
      <c r="F70" s="66" t="s">
        <v>654</v>
      </c>
      <c r="G70" s="66" t="s">
        <v>536</v>
      </c>
      <c r="H70" s="66" t="s">
        <v>576</v>
      </c>
      <c r="I70" s="66" t="s">
        <v>194</v>
      </c>
      <c r="J70" s="66" t="s">
        <v>550</v>
      </c>
      <c r="K70" s="66" t="s">
        <v>67</v>
      </c>
      <c r="L70" s="66" t="s">
        <v>538</v>
      </c>
      <c r="M70" s="66" t="s">
        <v>188</v>
      </c>
      <c r="N70" s="66" t="s">
        <v>68</v>
      </c>
      <c r="O70" s="67" t="s">
        <v>68</v>
      </c>
      <c r="P70" s="21" t="s">
        <v>768</v>
      </c>
      <c r="Q70" s="66" t="s">
        <v>540</v>
      </c>
      <c r="R70" s="66" t="s">
        <v>541</v>
      </c>
      <c r="S70" s="63"/>
      <c r="T70" s="63"/>
      <c r="U70" s="63"/>
      <c r="V70" s="63"/>
      <c r="W70" s="63"/>
      <c r="X70" s="62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</row>
    <row r="71" spans="1:40" ht="25.2" x14ac:dyDescent="0.25">
      <c r="A71" s="21" t="s">
        <v>769</v>
      </c>
      <c r="B71" s="21" t="s">
        <v>770</v>
      </c>
      <c r="C71" s="21" t="s">
        <v>771</v>
      </c>
      <c r="D71" s="21" t="s">
        <v>770</v>
      </c>
      <c r="E71" s="66" t="s">
        <v>88</v>
      </c>
      <c r="F71" s="66" t="s">
        <v>654</v>
      </c>
      <c r="G71" s="66" t="s">
        <v>536</v>
      </c>
      <c r="H71" s="66" t="s">
        <v>576</v>
      </c>
      <c r="I71" s="66" t="s">
        <v>194</v>
      </c>
      <c r="J71" s="66" t="s">
        <v>550</v>
      </c>
      <c r="K71" s="66" t="s">
        <v>67</v>
      </c>
      <c r="L71" s="66" t="s">
        <v>538</v>
      </c>
      <c r="M71" s="66" t="s">
        <v>188</v>
      </c>
      <c r="N71" s="66" t="s">
        <v>68</v>
      </c>
      <c r="O71" s="67" t="s">
        <v>68</v>
      </c>
      <c r="P71" s="21" t="s">
        <v>768</v>
      </c>
      <c r="Q71" s="66" t="s">
        <v>540</v>
      </c>
      <c r="R71" s="66" t="s">
        <v>541</v>
      </c>
      <c r="S71" s="62"/>
      <c r="T71" s="62"/>
      <c r="U71" s="62"/>
      <c r="V71" s="62"/>
      <c r="W71" s="62"/>
      <c r="X71" s="62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</row>
    <row r="72" spans="1:40" ht="25.2" x14ac:dyDescent="0.25">
      <c r="A72" s="21" t="s">
        <v>772</v>
      </c>
      <c r="B72" s="21" t="s">
        <v>773</v>
      </c>
      <c r="C72" s="21" t="s">
        <v>129</v>
      </c>
      <c r="D72" s="21" t="s">
        <v>562</v>
      </c>
      <c r="E72" s="66" t="s">
        <v>64</v>
      </c>
      <c r="F72" s="66" t="s">
        <v>535</v>
      </c>
      <c r="G72" s="66" t="s">
        <v>536</v>
      </c>
      <c r="H72" s="66" t="s">
        <v>537</v>
      </c>
      <c r="I72" s="66" t="s">
        <v>120</v>
      </c>
      <c r="J72" s="74" t="s">
        <v>31</v>
      </c>
      <c r="K72" s="66" t="s">
        <v>557</v>
      </c>
      <c r="L72" s="66" t="s">
        <v>538</v>
      </c>
      <c r="M72" s="66" t="s">
        <v>292</v>
      </c>
      <c r="N72" s="21" t="s">
        <v>570</v>
      </c>
      <c r="O72" s="67" t="s">
        <v>558</v>
      </c>
      <c r="P72" s="62" t="s">
        <v>571</v>
      </c>
      <c r="Q72" s="66" t="s">
        <v>540</v>
      </c>
      <c r="R72" s="66" t="s">
        <v>541</v>
      </c>
      <c r="S72" s="62"/>
      <c r="T72" s="62"/>
      <c r="U72" s="62"/>
      <c r="V72" s="62"/>
      <c r="W72" s="62"/>
      <c r="X72" s="62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</row>
    <row r="73" spans="1:40" ht="25.2" x14ac:dyDescent="0.25">
      <c r="A73" s="21" t="s">
        <v>774</v>
      </c>
      <c r="B73" s="21" t="s">
        <v>775</v>
      </c>
      <c r="C73" s="66" t="s">
        <v>87</v>
      </c>
      <c r="D73" s="21" t="s">
        <v>776</v>
      </c>
      <c r="E73" s="66" t="s">
        <v>104</v>
      </c>
      <c r="F73" s="66" t="s">
        <v>581</v>
      </c>
      <c r="G73" s="66" t="s">
        <v>536</v>
      </c>
      <c r="H73" s="66" t="s">
        <v>537</v>
      </c>
      <c r="I73" s="66" t="s">
        <v>83</v>
      </c>
      <c r="J73" s="73" t="s">
        <v>12</v>
      </c>
      <c r="K73" s="66" t="s">
        <v>557</v>
      </c>
      <c r="L73" s="66" t="s">
        <v>538</v>
      </c>
      <c r="M73" s="66" t="s">
        <v>83</v>
      </c>
      <c r="N73" s="66" t="s">
        <v>570</v>
      </c>
      <c r="O73" s="67" t="s">
        <v>558</v>
      </c>
      <c r="P73" s="66" t="s">
        <v>571</v>
      </c>
      <c r="Q73" s="66" t="s">
        <v>540</v>
      </c>
      <c r="R73" s="66" t="s">
        <v>541</v>
      </c>
      <c r="S73" s="62"/>
      <c r="T73" s="62"/>
      <c r="U73" s="62"/>
      <c r="V73" s="62"/>
      <c r="W73" s="62"/>
      <c r="X73" s="62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</row>
    <row r="74" spans="1:40" ht="25.2" x14ac:dyDescent="0.25">
      <c r="A74" s="21" t="s">
        <v>777</v>
      </c>
      <c r="B74" s="21" t="s">
        <v>778</v>
      </c>
      <c r="C74" s="21" t="s">
        <v>779</v>
      </c>
      <c r="D74" s="21" t="s">
        <v>778</v>
      </c>
      <c r="E74" s="66" t="s">
        <v>88</v>
      </c>
      <c r="F74" s="66" t="s">
        <v>654</v>
      </c>
      <c r="G74" s="66" t="s">
        <v>536</v>
      </c>
      <c r="H74" s="66" t="s">
        <v>576</v>
      </c>
      <c r="I74" s="66" t="s">
        <v>194</v>
      </c>
      <c r="J74" s="66" t="s">
        <v>550</v>
      </c>
      <c r="K74" s="66" t="s">
        <v>67</v>
      </c>
      <c r="L74" s="66" t="s">
        <v>538</v>
      </c>
      <c r="M74" s="66" t="s">
        <v>188</v>
      </c>
      <c r="N74" s="66" t="s">
        <v>68</v>
      </c>
      <c r="O74" s="67" t="s">
        <v>68</v>
      </c>
      <c r="P74" s="21" t="s">
        <v>768</v>
      </c>
      <c r="Q74" s="66" t="s">
        <v>540</v>
      </c>
      <c r="R74" s="66" t="s">
        <v>541</v>
      </c>
      <c r="S74" s="62"/>
      <c r="T74" s="62"/>
      <c r="U74" s="62"/>
      <c r="V74" s="62"/>
      <c r="W74" s="62"/>
      <c r="X74" s="62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</row>
    <row r="75" spans="1:40" ht="25.2" x14ac:dyDescent="0.25">
      <c r="A75" s="21" t="s">
        <v>780</v>
      </c>
      <c r="B75" s="21" t="s">
        <v>781</v>
      </c>
      <c r="C75" s="21" t="s">
        <v>782</v>
      </c>
      <c r="D75" s="21" t="s">
        <v>781</v>
      </c>
      <c r="E75" s="66" t="s">
        <v>88</v>
      </c>
      <c r="F75" s="66" t="s">
        <v>654</v>
      </c>
      <c r="G75" s="66" t="s">
        <v>536</v>
      </c>
      <c r="H75" s="66" t="s">
        <v>576</v>
      </c>
      <c r="I75" s="66" t="s">
        <v>194</v>
      </c>
      <c r="J75" s="66" t="s">
        <v>550</v>
      </c>
      <c r="K75" s="66" t="s">
        <v>67</v>
      </c>
      <c r="L75" s="66" t="s">
        <v>538</v>
      </c>
      <c r="M75" s="66" t="s">
        <v>188</v>
      </c>
      <c r="N75" s="66" t="s">
        <v>68</v>
      </c>
      <c r="O75" s="67" t="s">
        <v>68</v>
      </c>
      <c r="P75" s="21" t="s">
        <v>768</v>
      </c>
      <c r="Q75" s="66" t="s">
        <v>540</v>
      </c>
      <c r="R75" s="66" t="s">
        <v>541</v>
      </c>
      <c r="S75" s="62"/>
      <c r="T75" s="62"/>
      <c r="U75" s="62"/>
      <c r="V75" s="62"/>
      <c r="W75" s="62"/>
      <c r="X75" s="62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</row>
    <row r="76" spans="1:40" ht="25.2" x14ac:dyDescent="0.25">
      <c r="A76" s="21" t="s">
        <v>783</v>
      </c>
      <c r="B76" s="21" t="s">
        <v>784</v>
      </c>
      <c r="C76" s="21" t="s">
        <v>785</v>
      </c>
      <c r="D76" s="21" t="s">
        <v>784</v>
      </c>
      <c r="E76" s="66" t="s">
        <v>88</v>
      </c>
      <c r="F76" s="66" t="s">
        <v>654</v>
      </c>
      <c r="G76" s="66" t="s">
        <v>536</v>
      </c>
      <c r="H76" s="66" t="s">
        <v>576</v>
      </c>
      <c r="I76" s="66" t="s">
        <v>194</v>
      </c>
      <c r="J76" s="66" t="s">
        <v>550</v>
      </c>
      <c r="K76" s="66" t="s">
        <v>67</v>
      </c>
      <c r="L76" s="66" t="s">
        <v>538</v>
      </c>
      <c r="M76" s="66" t="s">
        <v>188</v>
      </c>
      <c r="N76" s="66" t="s">
        <v>68</v>
      </c>
      <c r="O76" s="67" t="s">
        <v>68</v>
      </c>
      <c r="P76" s="21" t="s">
        <v>768</v>
      </c>
      <c r="Q76" s="66" t="s">
        <v>540</v>
      </c>
      <c r="R76" s="66" t="s">
        <v>541</v>
      </c>
      <c r="S76" s="62"/>
      <c r="T76" s="62"/>
      <c r="U76" s="62"/>
      <c r="V76" s="62"/>
      <c r="W76" s="62"/>
      <c r="X76" s="62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</row>
    <row r="77" spans="1:40" ht="25.2" x14ac:dyDescent="0.25">
      <c r="A77" s="21" t="s">
        <v>786</v>
      </c>
      <c r="B77" s="21" t="s">
        <v>787</v>
      </c>
      <c r="C77" s="21" t="s">
        <v>788</v>
      </c>
      <c r="D77" s="21" t="s">
        <v>787</v>
      </c>
      <c r="E77" s="66" t="s">
        <v>88</v>
      </c>
      <c r="F77" s="66" t="s">
        <v>654</v>
      </c>
      <c r="G77" s="66" t="s">
        <v>536</v>
      </c>
      <c r="H77" s="66" t="s">
        <v>576</v>
      </c>
      <c r="I77" s="66" t="s">
        <v>194</v>
      </c>
      <c r="J77" s="66" t="s">
        <v>550</v>
      </c>
      <c r="K77" s="66" t="s">
        <v>67</v>
      </c>
      <c r="L77" s="66" t="s">
        <v>538</v>
      </c>
      <c r="M77" s="66" t="s">
        <v>188</v>
      </c>
      <c r="N77" s="66" t="s">
        <v>68</v>
      </c>
      <c r="O77" s="67" t="s">
        <v>68</v>
      </c>
      <c r="P77" s="21" t="s">
        <v>768</v>
      </c>
      <c r="Q77" s="66" t="s">
        <v>540</v>
      </c>
      <c r="R77" s="66" t="s">
        <v>541</v>
      </c>
      <c r="S77" s="62"/>
      <c r="T77" s="62"/>
      <c r="U77" s="62"/>
      <c r="V77" s="62"/>
      <c r="W77" s="62"/>
      <c r="X77" s="62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</row>
    <row r="78" spans="1:40" ht="25.2" x14ac:dyDescent="0.25">
      <c r="A78" s="21" t="s">
        <v>145</v>
      </c>
      <c r="B78" s="21" t="s">
        <v>144</v>
      </c>
      <c r="C78" s="21" t="s">
        <v>146</v>
      </c>
      <c r="D78" s="21" t="s">
        <v>789</v>
      </c>
      <c r="E78" s="66" t="s">
        <v>64</v>
      </c>
      <c r="F78" s="66" t="s">
        <v>535</v>
      </c>
      <c r="G78" s="66" t="s">
        <v>536</v>
      </c>
      <c r="H78" s="66" t="s">
        <v>537</v>
      </c>
      <c r="I78" s="66" t="s">
        <v>78</v>
      </c>
      <c r="J78" s="73" t="s">
        <v>29</v>
      </c>
      <c r="K78" s="66" t="s">
        <v>67</v>
      </c>
      <c r="L78" s="66" t="s">
        <v>538</v>
      </c>
      <c r="M78" s="66" t="s">
        <v>78</v>
      </c>
      <c r="N78" s="66" t="s">
        <v>68</v>
      </c>
      <c r="O78" s="67" t="s">
        <v>68</v>
      </c>
      <c r="P78" s="62" t="s">
        <v>790</v>
      </c>
      <c r="Q78" s="66" t="s">
        <v>540</v>
      </c>
      <c r="R78" s="66" t="s">
        <v>541</v>
      </c>
      <c r="S78" s="62"/>
      <c r="T78" s="62"/>
      <c r="U78" s="62"/>
      <c r="V78" s="62"/>
      <c r="W78" s="62"/>
      <c r="X78" s="62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</row>
    <row r="79" spans="1:40" ht="25.2" x14ac:dyDescent="0.25">
      <c r="A79" s="66" t="s">
        <v>791</v>
      </c>
      <c r="B79" s="66" t="s">
        <v>792</v>
      </c>
      <c r="C79" s="66" t="s">
        <v>793</v>
      </c>
      <c r="D79" s="66" t="s">
        <v>794</v>
      </c>
      <c r="E79" s="66" t="s">
        <v>64</v>
      </c>
      <c r="F79" s="66" t="s">
        <v>535</v>
      </c>
      <c r="G79" s="66" t="s">
        <v>591</v>
      </c>
      <c r="H79" s="66" t="s">
        <v>537</v>
      </c>
      <c r="I79" s="66" t="s">
        <v>182</v>
      </c>
      <c r="J79" s="66" t="s">
        <v>550</v>
      </c>
      <c r="K79" s="66" t="s">
        <v>67</v>
      </c>
      <c r="L79" s="66" t="s">
        <v>291</v>
      </c>
      <c r="M79" s="66" t="s">
        <v>291</v>
      </c>
      <c r="N79" s="66" t="s">
        <v>795</v>
      </c>
      <c r="O79" s="67" t="s">
        <v>68</v>
      </c>
      <c r="P79" s="66" t="s">
        <v>796</v>
      </c>
      <c r="Q79" s="66" t="s">
        <v>540</v>
      </c>
      <c r="R79" s="66" t="s">
        <v>541</v>
      </c>
      <c r="S79" s="62"/>
      <c r="T79" s="62"/>
      <c r="U79" s="62"/>
      <c r="V79" s="62"/>
      <c r="W79" s="62"/>
      <c r="X79" s="62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</row>
    <row r="80" spans="1:40" ht="25.2" x14ac:dyDescent="0.25">
      <c r="A80" s="21" t="s">
        <v>797</v>
      </c>
      <c r="B80" s="66" t="s">
        <v>798</v>
      </c>
      <c r="C80" s="21" t="s">
        <v>799</v>
      </c>
      <c r="D80" s="21" t="s">
        <v>562</v>
      </c>
      <c r="E80" s="66" t="s">
        <v>64</v>
      </c>
      <c r="F80" s="66" t="s">
        <v>535</v>
      </c>
      <c r="G80" s="66" t="s">
        <v>536</v>
      </c>
      <c r="H80" s="66" t="s">
        <v>537</v>
      </c>
      <c r="I80" s="66" t="s">
        <v>140</v>
      </c>
      <c r="J80" s="66" t="s">
        <v>550</v>
      </c>
      <c r="K80" s="66" t="s">
        <v>557</v>
      </c>
      <c r="L80" s="66" t="s">
        <v>538</v>
      </c>
      <c r="M80" s="66" t="s">
        <v>140</v>
      </c>
      <c r="N80" s="66" t="s">
        <v>558</v>
      </c>
      <c r="O80" s="66" t="s">
        <v>558</v>
      </c>
      <c r="P80" s="66" t="s">
        <v>571</v>
      </c>
      <c r="Q80" s="66" t="s">
        <v>540</v>
      </c>
      <c r="R80" s="66" t="s">
        <v>541</v>
      </c>
      <c r="S80" s="67"/>
      <c r="T80" s="66"/>
      <c r="U80" s="66"/>
      <c r="V80" s="66"/>
      <c r="W80" s="62"/>
      <c r="X80" s="62"/>
      <c r="Y80" s="62"/>
      <c r="Z80" s="62"/>
      <c r="AA80" s="62"/>
      <c r="AB80" s="62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</row>
    <row r="81" spans="1:40" ht="25.2" x14ac:dyDescent="0.25">
      <c r="A81" s="66" t="s">
        <v>800</v>
      </c>
      <c r="B81" s="66" t="s">
        <v>801</v>
      </c>
      <c r="C81" s="66" t="s">
        <v>801</v>
      </c>
      <c r="D81" s="66" t="s">
        <v>802</v>
      </c>
      <c r="E81" s="66" t="s">
        <v>64</v>
      </c>
      <c r="F81" s="66" t="s">
        <v>535</v>
      </c>
      <c r="G81" s="66" t="s">
        <v>536</v>
      </c>
      <c r="H81" s="66" t="s">
        <v>537</v>
      </c>
      <c r="I81" s="66" t="s">
        <v>140</v>
      </c>
      <c r="J81" s="66" t="s">
        <v>550</v>
      </c>
      <c r="K81" s="66" t="s">
        <v>557</v>
      </c>
      <c r="L81" s="66" t="s">
        <v>538</v>
      </c>
      <c r="M81" s="66" t="s">
        <v>140</v>
      </c>
      <c r="N81" s="66" t="s">
        <v>558</v>
      </c>
      <c r="O81" s="66" t="s">
        <v>558</v>
      </c>
      <c r="P81" s="66" t="s">
        <v>803</v>
      </c>
      <c r="Q81" s="66" t="s">
        <v>540</v>
      </c>
      <c r="R81" s="66" t="s">
        <v>541</v>
      </c>
      <c r="S81" s="67"/>
      <c r="T81" s="66"/>
      <c r="U81" s="66"/>
      <c r="V81" s="66"/>
      <c r="W81" s="62"/>
      <c r="X81" s="62"/>
      <c r="Y81" s="62"/>
      <c r="Z81" s="62"/>
      <c r="AA81" s="62"/>
      <c r="AB81" s="62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</row>
    <row r="82" spans="1:40" ht="37.799999999999997" x14ac:dyDescent="0.25">
      <c r="A82" s="66" t="s">
        <v>804</v>
      </c>
      <c r="B82" s="66" t="s">
        <v>805</v>
      </c>
      <c r="C82" s="66" t="s">
        <v>806</v>
      </c>
      <c r="D82" s="66" t="s">
        <v>805</v>
      </c>
      <c r="E82" s="66" t="s">
        <v>502</v>
      </c>
      <c r="F82" s="66" t="s">
        <v>535</v>
      </c>
      <c r="G82" s="66" t="s">
        <v>536</v>
      </c>
      <c r="H82" s="66" t="s">
        <v>537</v>
      </c>
      <c r="I82" s="66" t="s">
        <v>188</v>
      </c>
      <c r="J82" s="66" t="s">
        <v>550</v>
      </c>
      <c r="K82" s="66" t="s">
        <v>67</v>
      </c>
      <c r="L82" s="66" t="s">
        <v>538</v>
      </c>
      <c r="M82" s="66" t="s">
        <v>188</v>
      </c>
      <c r="N82" s="66" t="s">
        <v>643</v>
      </c>
      <c r="O82" s="67" t="s">
        <v>68</v>
      </c>
      <c r="P82" s="66" t="s">
        <v>644</v>
      </c>
      <c r="Q82" s="66" t="s">
        <v>540</v>
      </c>
      <c r="R82" s="66" t="s">
        <v>541</v>
      </c>
      <c r="S82" s="67"/>
      <c r="T82" s="66"/>
      <c r="U82" s="66"/>
      <c r="V82" s="66"/>
      <c r="W82" s="62"/>
      <c r="X82" s="62"/>
      <c r="Y82" s="62"/>
      <c r="Z82" s="62"/>
      <c r="AA82" s="62"/>
      <c r="AB82" s="62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</row>
    <row r="83" spans="1:40" ht="25.2" x14ac:dyDescent="0.25">
      <c r="A83" s="21" t="s">
        <v>807</v>
      </c>
      <c r="B83" s="21" t="s">
        <v>808</v>
      </c>
      <c r="C83" s="21" t="s">
        <v>809</v>
      </c>
      <c r="D83" s="21" t="s">
        <v>808</v>
      </c>
      <c r="E83" s="66" t="s">
        <v>88</v>
      </c>
      <c r="F83" s="66" t="s">
        <v>654</v>
      </c>
      <c r="G83" s="66" t="s">
        <v>536</v>
      </c>
      <c r="H83" s="66" t="s">
        <v>576</v>
      </c>
      <c r="I83" s="66" t="s">
        <v>194</v>
      </c>
      <c r="J83" s="66" t="s">
        <v>550</v>
      </c>
      <c r="K83" s="66" t="s">
        <v>67</v>
      </c>
      <c r="L83" s="66" t="s">
        <v>538</v>
      </c>
      <c r="M83" s="66" t="s">
        <v>188</v>
      </c>
      <c r="N83" s="66" t="s">
        <v>68</v>
      </c>
      <c r="O83" s="67" t="s">
        <v>68</v>
      </c>
      <c r="P83" s="21" t="s">
        <v>768</v>
      </c>
      <c r="Q83" s="66" t="s">
        <v>540</v>
      </c>
      <c r="R83" s="66" t="s">
        <v>541</v>
      </c>
      <c r="S83" s="62"/>
      <c r="T83" s="62"/>
      <c r="U83" s="62"/>
      <c r="V83" s="62"/>
      <c r="W83" s="62"/>
      <c r="X83" s="62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</row>
    <row r="84" spans="1:40" ht="25.2" x14ac:dyDescent="0.25">
      <c r="A84" s="21" t="s">
        <v>810</v>
      </c>
      <c r="B84" s="21" t="s">
        <v>811</v>
      </c>
      <c r="C84" s="21" t="s">
        <v>812</v>
      </c>
      <c r="D84" s="21" t="s">
        <v>811</v>
      </c>
      <c r="E84" s="66" t="s">
        <v>88</v>
      </c>
      <c r="F84" s="66" t="s">
        <v>654</v>
      </c>
      <c r="G84" s="66" t="s">
        <v>536</v>
      </c>
      <c r="H84" s="66" t="s">
        <v>576</v>
      </c>
      <c r="I84" s="66" t="s">
        <v>194</v>
      </c>
      <c r="J84" s="66" t="s">
        <v>550</v>
      </c>
      <c r="K84" s="66" t="s">
        <v>67</v>
      </c>
      <c r="L84" s="66" t="s">
        <v>538</v>
      </c>
      <c r="M84" s="66" t="s">
        <v>188</v>
      </c>
      <c r="N84" s="66" t="s">
        <v>68</v>
      </c>
      <c r="O84" s="67" t="s">
        <v>68</v>
      </c>
      <c r="P84" s="21" t="s">
        <v>768</v>
      </c>
      <c r="Q84" s="66" t="s">
        <v>540</v>
      </c>
      <c r="R84" s="66" t="s">
        <v>541</v>
      </c>
      <c r="S84" s="62"/>
      <c r="T84" s="62"/>
      <c r="U84" s="62"/>
      <c r="V84" s="62"/>
      <c r="W84" s="62"/>
      <c r="X84" s="62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</row>
    <row r="85" spans="1:40" ht="25.2" x14ac:dyDescent="0.25">
      <c r="A85" s="21" t="s">
        <v>813</v>
      </c>
      <c r="B85" s="21" t="s">
        <v>814</v>
      </c>
      <c r="C85" s="21" t="s">
        <v>815</v>
      </c>
      <c r="D85" s="21" t="s">
        <v>814</v>
      </c>
      <c r="E85" s="66" t="s">
        <v>88</v>
      </c>
      <c r="F85" s="66" t="s">
        <v>654</v>
      </c>
      <c r="G85" s="66" t="s">
        <v>536</v>
      </c>
      <c r="H85" s="66" t="s">
        <v>576</v>
      </c>
      <c r="I85" s="66" t="s">
        <v>194</v>
      </c>
      <c r="J85" s="66" t="s">
        <v>550</v>
      </c>
      <c r="K85" s="66" t="s">
        <v>67</v>
      </c>
      <c r="L85" s="66" t="s">
        <v>538</v>
      </c>
      <c r="M85" s="66" t="s">
        <v>188</v>
      </c>
      <c r="N85" s="66" t="s">
        <v>68</v>
      </c>
      <c r="O85" s="67" t="s">
        <v>68</v>
      </c>
      <c r="P85" s="21" t="s">
        <v>768</v>
      </c>
      <c r="Q85" s="66" t="s">
        <v>540</v>
      </c>
      <c r="R85" s="66" t="s">
        <v>541</v>
      </c>
      <c r="S85" s="62"/>
      <c r="T85" s="62"/>
      <c r="U85" s="62"/>
      <c r="V85" s="62"/>
      <c r="W85" s="62"/>
      <c r="X85" s="62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</row>
    <row r="86" spans="1:40" ht="15.6" x14ac:dyDescent="0.25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4"/>
      <c r="P86" s="62"/>
      <c r="Q86" s="62"/>
      <c r="R86" s="62"/>
      <c r="S86" s="62"/>
      <c r="T86" s="62"/>
      <c r="U86" s="62"/>
      <c r="V86" s="62"/>
      <c r="W86" s="62"/>
      <c r="X86" s="62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</row>
    <row r="87" spans="1:40" ht="15.6" x14ac:dyDescent="0.25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4"/>
      <c r="P87" s="62"/>
      <c r="Q87" s="62"/>
      <c r="R87" s="62"/>
      <c r="S87" s="62"/>
      <c r="T87" s="62"/>
      <c r="U87" s="62"/>
      <c r="V87" s="62"/>
      <c r="W87" s="62"/>
      <c r="X87" s="62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</row>
    <row r="88" spans="1:40" ht="15.6" x14ac:dyDescent="0.25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4"/>
      <c r="P88" s="62"/>
      <c r="Q88" s="62"/>
      <c r="R88" s="62"/>
      <c r="S88" s="62"/>
      <c r="T88" s="62"/>
      <c r="U88" s="62"/>
      <c r="V88" s="62"/>
      <c r="W88" s="62"/>
      <c r="X88" s="62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</row>
    <row r="89" spans="1:40" ht="15.6" x14ac:dyDescent="0.25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4"/>
      <c r="P89" s="62"/>
      <c r="Q89" s="62"/>
      <c r="R89" s="62"/>
      <c r="S89" s="62"/>
      <c r="T89" s="62"/>
      <c r="U89" s="62"/>
      <c r="V89" s="62"/>
      <c r="W89" s="62"/>
      <c r="X89" s="62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</row>
    <row r="90" spans="1:40" ht="15.6" x14ac:dyDescent="0.25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4"/>
      <c r="P90" s="62"/>
      <c r="Q90" s="62"/>
      <c r="R90" s="62"/>
      <c r="S90" s="62"/>
      <c r="T90" s="62"/>
      <c r="U90" s="62"/>
      <c r="V90" s="62"/>
      <c r="W90" s="62"/>
      <c r="X90" s="62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</row>
    <row r="91" spans="1:40" ht="15.6" x14ac:dyDescent="0.25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4"/>
      <c r="P91" s="62"/>
      <c r="Q91" s="62"/>
      <c r="R91" s="62"/>
      <c r="S91" s="62"/>
      <c r="T91" s="62"/>
      <c r="U91" s="62"/>
      <c r="V91" s="62"/>
      <c r="W91" s="62"/>
      <c r="X91" s="62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</row>
    <row r="92" spans="1:40" ht="15.6" x14ac:dyDescent="0.25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4"/>
      <c r="P92" s="62"/>
      <c r="Q92" s="62"/>
      <c r="R92" s="62"/>
      <c r="S92" s="62"/>
      <c r="T92" s="62"/>
      <c r="U92" s="62"/>
      <c r="V92" s="62"/>
      <c r="W92" s="62"/>
      <c r="X92" s="62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</row>
    <row r="93" spans="1:40" ht="15.6" x14ac:dyDescent="0.25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4"/>
      <c r="P93" s="62"/>
      <c r="Q93" s="62"/>
      <c r="R93" s="62"/>
      <c r="S93" s="62"/>
      <c r="T93" s="62"/>
      <c r="U93" s="62"/>
      <c r="V93" s="62"/>
      <c r="W93" s="62"/>
      <c r="X93" s="62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</row>
    <row r="94" spans="1:40" ht="15.6" x14ac:dyDescent="0.25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4"/>
      <c r="P94" s="62"/>
      <c r="Q94" s="62"/>
      <c r="R94" s="62"/>
      <c r="S94" s="62"/>
      <c r="T94" s="62"/>
      <c r="U94" s="62"/>
      <c r="V94" s="62"/>
      <c r="W94" s="62"/>
      <c r="X94" s="62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</row>
    <row r="95" spans="1:40" ht="15.6" x14ac:dyDescent="0.2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4"/>
      <c r="P95" s="62"/>
      <c r="Q95" s="62"/>
      <c r="R95" s="62"/>
      <c r="S95" s="62"/>
      <c r="T95" s="62"/>
      <c r="U95" s="62"/>
      <c r="V95" s="62"/>
      <c r="W95" s="62"/>
      <c r="X95" s="62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</row>
    <row r="96" spans="1:40" ht="15.6" x14ac:dyDescent="0.25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4"/>
      <c r="P96" s="62"/>
      <c r="Q96" s="62"/>
      <c r="R96" s="62"/>
      <c r="S96" s="62"/>
      <c r="T96" s="62"/>
      <c r="U96" s="62"/>
      <c r="V96" s="62"/>
      <c r="W96" s="62"/>
      <c r="X96" s="62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</row>
    <row r="97" spans="1:40" ht="15.6" x14ac:dyDescent="0.25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4"/>
      <c r="P97" s="62"/>
      <c r="Q97" s="62"/>
      <c r="R97" s="62"/>
      <c r="S97" s="62"/>
      <c r="T97" s="62"/>
      <c r="U97" s="62"/>
      <c r="V97" s="62"/>
      <c r="W97" s="62"/>
      <c r="X97" s="62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</row>
    <row r="98" spans="1:40" ht="15.6" x14ac:dyDescent="0.25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4"/>
      <c r="P98" s="62"/>
      <c r="Q98" s="62"/>
      <c r="R98" s="62"/>
      <c r="S98" s="62"/>
      <c r="T98" s="62"/>
      <c r="U98" s="62"/>
      <c r="V98" s="62"/>
      <c r="W98" s="62"/>
      <c r="X98" s="62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</row>
    <row r="99" spans="1:40" ht="15.6" x14ac:dyDescent="0.25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4"/>
      <c r="P99" s="62"/>
      <c r="Q99" s="62"/>
      <c r="R99" s="62"/>
      <c r="S99" s="62"/>
      <c r="T99" s="62"/>
      <c r="U99" s="62"/>
      <c r="V99" s="62"/>
      <c r="W99" s="62"/>
      <c r="X99" s="62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</row>
    <row r="100" spans="1:40" ht="15.6" x14ac:dyDescent="0.25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4"/>
      <c r="P100" s="62"/>
      <c r="Q100" s="62"/>
      <c r="R100" s="62"/>
      <c r="S100" s="62"/>
      <c r="T100" s="62"/>
      <c r="U100" s="62"/>
      <c r="V100" s="62"/>
      <c r="W100" s="62"/>
      <c r="X100" s="62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</row>
    <row r="101" spans="1:40" ht="15.6" x14ac:dyDescent="0.25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4"/>
      <c r="P101" s="62"/>
      <c r="Q101" s="62"/>
      <c r="R101" s="62"/>
      <c r="S101" s="62"/>
      <c r="T101" s="62"/>
      <c r="U101" s="62"/>
      <c r="V101" s="62"/>
      <c r="W101" s="62"/>
      <c r="X101" s="62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</row>
    <row r="102" spans="1:40" ht="15.6" x14ac:dyDescent="0.25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4"/>
      <c r="P102" s="62"/>
      <c r="Q102" s="62"/>
      <c r="R102" s="62"/>
      <c r="S102" s="62"/>
      <c r="T102" s="62"/>
      <c r="U102" s="62"/>
      <c r="V102" s="62"/>
      <c r="W102" s="62"/>
      <c r="X102" s="62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</row>
    <row r="103" spans="1:40" ht="15.6" x14ac:dyDescent="0.25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4"/>
      <c r="P103" s="62"/>
      <c r="Q103" s="62"/>
      <c r="R103" s="62"/>
      <c r="S103" s="62"/>
      <c r="T103" s="62"/>
      <c r="U103" s="62"/>
      <c r="V103" s="62"/>
      <c r="W103" s="62"/>
      <c r="X103" s="62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</row>
    <row r="104" spans="1:40" ht="15.6" x14ac:dyDescent="0.25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4"/>
      <c r="P104" s="62"/>
      <c r="Q104" s="62"/>
      <c r="R104" s="62"/>
      <c r="S104" s="62"/>
      <c r="T104" s="62"/>
      <c r="U104" s="62"/>
      <c r="V104" s="62"/>
      <c r="W104" s="62"/>
      <c r="X104" s="62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</row>
    <row r="105" spans="1:40" ht="15.6" x14ac:dyDescent="0.2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4"/>
      <c r="P105" s="62"/>
      <c r="Q105" s="62"/>
      <c r="R105" s="62"/>
      <c r="S105" s="62"/>
      <c r="T105" s="62"/>
      <c r="U105" s="62"/>
      <c r="V105" s="62"/>
      <c r="W105" s="62"/>
      <c r="X105" s="62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</row>
    <row r="106" spans="1:40" ht="15.6" x14ac:dyDescent="0.25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4"/>
      <c r="P106" s="62"/>
      <c r="Q106" s="62"/>
      <c r="R106" s="62"/>
      <c r="S106" s="62"/>
      <c r="T106" s="62"/>
      <c r="U106" s="62"/>
      <c r="V106" s="62"/>
      <c r="W106" s="62"/>
      <c r="X106" s="62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</row>
    <row r="107" spans="1:40" ht="15.6" x14ac:dyDescent="0.25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4"/>
      <c r="P107" s="62"/>
      <c r="Q107" s="62"/>
      <c r="R107" s="62"/>
      <c r="S107" s="62"/>
      <c r="T107" s="62"/>
      <c r="U107" s="62"/>
      <c r="V107" s="62"/>
      <c r="W107" s="62"/>
      <c r="X107" s="62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</row>
    <row r="108" spans="1:40" ht="15.6" x14ac:dyDescent="0.25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4"/>
      <c r="P108" s="62"/>
      <c r="Q108" s="62"/>
      <c r="R108" s="62"/>
      <c r="S108" s="62"/>
      <c r="T108" s="62"/>
      <c r="U108" s="62"/>
      <c r="V108" s="62"/>
      <c r="W108" s="62"/>
      <c r="X108" s="62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</row>
    <row r="109" spans="1:40" ht="15.6" x14ac:dyDescent="0.25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4"/>
      <c r="P109" s="62"/>
      <c r="Q109" s="62"/>
      <c r="R109" s="62"/>
      <c r="S109" s="62"/>
      <c r="T109" s="62"/>
      <c r="U109" s="62"/>
      <c r="V109" s="62"/>
      <c r="W109" s="62"/>
      <c r="X109" s="62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</row>
    <row r="110" spans="1:40" ht="15.6" x14ac:dyDescent="0.25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4"/>
      <c r="P110" s="62"/>
      <c r="Q110" s="62"/>
      <c r="R110" s="62"/>
      <c r="S110" s="62"/>
      <c r="T110" s="62"/>
      <c r="U110" s="62"/>
      <c r="V110" s="62"/>
      <c r="W110" s="62"/>
      <c r="X110" s="62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</row>
    <row r="111" spans="1:40" ht="15.6" x14ac:dyDescent="0.25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4"/>
      <c r="P111" s="62"/>
      <c r="Q111" s="62"/>
      <c r="R111" s="62"/>
      <c r="S111" s="62"/>
      <c r="T111" s="62"/>
      <c r="U111" s="62"/>
      <c r="V111" s="62"/>
      <c r="W111" s="62"/>
      <c r="X111" s="62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</row>
    <row r="112" spans="1:40" ht="15.6" x14ac:dyDescent="0.25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4"/>
      <c r="P112" s="62"/>
      <c r="Q112" s="62"/>
      <c r="R112" s="62"/>
      <c r="S112" s="62"/>
      <c r="T112" s="62"/>
      <c r="U112" s="62"/>
      <c r="V112" s="62"/>
      <c r="W112" s="62"/>
      <c r="X112" s="62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</row>
    <row r="113" spans="1:40" ht="15.6" x14ac:dyDescent="0.25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4"/>
      <c r="P113" s="62"/>
      <c r="Q113" s="62"/>
      <c r="R113" s="62"/>
      <c r="S113" s="62"/>
      <c r="T113" s="62"/>
      <c r="U113" s="62"/>
      <c r="V113" s="62"/>
      <c r="W113" s="62"/>
      <c r="X113" s="62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</row>
    <row r="114" spans="1:40" ht="15.6" x14ac:dyDescent="0.25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4"/>
      <c r="P114" s="62"/>
      <c r="Q114" s="62"/>
      <c r="R114" s="62"/>
      <c r="S114" s="62"/>
      <c r="T114" s="62"/>
      <c r="U114" s="62"/>
      <c r="V114" s="62"/>
      <c r="W114" s="62"/>
      <c r="X114" s="62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</row>
    <row r="115" spans="1:40" ht="15.6" x14ac:dyDescent="0.2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4"/>
      <c r="P115" s="62"/>
      <c r="Q115" s="62"/>
      <c r="R115" s="62"/>
      <c r="S115" s="62"/>
      <c r="T115" s="62"/>
      <c r="U115" s="62"/>
      <c r="V115" s="62"/>
      <c r="W115" s="62"/>
      <c r="X115" s="62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</row>
    <row r="116" spans="1:40" ht="15.6" x14ac:dyDescent="0.25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4"/>
      <c r="P116" s="62"/>
      <c r="Q116" s="62"/>
      <c r="R116" s="62"/>
      <c r="S116" s="62"/>
      <c r="T116" s="62"/>
      <c r="U116" s="62"/>
      <c r="V116" s="62"/>
      <c r="W116" s="62"/>
      <c r="X116" s="62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</row>
    <row r="117" spans="1:40" ht="15.6" x14ac:dyDescent="0.25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4"/>
      <c r="P117" s="62"/>
      <c r="Q117" s="62"/>
      <c r="R117" s="62"/>
      <c r="S117" s="62"/>
      <c r="T117" s="62"/>
      <c r="U117" s="62"/>
      <c r="V117" s="62"/>
      <c r="W117" s="62"/>
      <c r="X117" s="62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</row>
    <row r="118" spans="1:40" ht="15.6" x14ac:dyDescent="0.25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4"/>
      <c r="P118" s="62"/>
      <c r="Q118" s="62"/>
      <c r="R118" s="62"/>
      <c r="S118" s="62"/>
      <c r="T118" s="62"/>
      <c r="U118" s="62"/>
      <c r="V118" s="62"/>
      <c r="W118" s="62"/>
      <c r="X118" s="62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</row>
    <row r="119" spans="1:40" ht="15.6" x14ac:dyDescent="0.25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4"/>
      <c r="P119" s="62"/>
      <c r="Q119" s="62"/>
      <c r="R119" s="62"/>
      <c r="S119" s="62"/>
      <c r="T119" s="62"/>
      <c r="U119" s="62"/>
      <c r="V119" s="62"/>
      <c r="W119" s="62"/>
      <c r="X119" s="62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</row>
    <row r="120" spans="1:40" ht="15.6" x14ac:dyDescent="0.25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4"/>
      <c r="P120" s="62"/>
      <c r="Q120" s="62"/>
      <c r="R120" s="62"/>
      <c r="S120" s="62"/>
      <c r="T120" s="62"/>
      <c r="U120" s="62"/>
      <c r="V120" s="62"/>
      <c r="W120" s="62"/>
      <c r="X120" s="62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</row>
    <row r="121" spans="1:40" ht="15.6" x14ac:dyDescent="0.25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4"/>
      <c r="P121" s="62"/>
      <c r="Q121" s="62"/>
      <c r="R121" s="62"/>
      <c r="S121" s="62"/>
      <c r="T121" s="62"/>
      <c r="U121" s="62"/>
      <c r="V121" s="62"/>
      <c r="W121" s="62"/>
      <c r="X121" s="62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</row>
    <row r="122" spans="1:40" ht="15.6" x14ac:dyDescent="0.25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4"/>
      <c r="P122" s="62"/>
      <c r="Q122" s="62"/>
      <c r="R122" s="62"/>
      <c r="S122" s="62"/>
      <c r="T122" s="62"/>
      <c r="U122" s="62"/>
      <c r="V122" s="62"/>
      <c r="W122" s="62"/>
      <c r="X122" s="62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</row>
    <row r="123" spans="1:40" ht="15.6" x14ac:dyDescent="0.25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4"/>
      <c r="P123" s="62"/>
      <c r="Q123" s="62"/>
      <c r="R123" s="62"/>
      <c r="S123" s="62"/>
      <c r="T123" s="62"/>
      <c r="U123" s="62"/>
      <c r="V123" s="62"/>
      <c r="W123" s="62"/>
      <c r="X123" s="62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</row>
    <row r="124" spans="1:40" ht="15.6" x14ac:dyDescent="0.25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4"/>
      <c r="P124" s="62"/>
      <c r="Q124" s="62"/>
      <c r="R124" s="62"/>
      <c r="S124" s="62"/>
      <c r="T124" s="62"/>
      <c r="U124" s="62"/>
      <c r="V124" s="62"/>
      <c r="W124" s="62"/>
      <c r="X124" s="62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</row>
    <row r="125" spans="1:40" ht="15.6" x14ac:dyDescent="0.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4"/>
      <c r="P125" s="62"/>
      <c r="Q125" s="62"/>
      <c r="R125" s="62"/>
      <c r="S125" s="62"/>
      <c r="T125" s="62"/>
      <c r="U125" s="62"/>
      <c r="V125" s="62"/>
      <c r="W125" s="62"/>
      <c r="X125" s="62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</row>
    <row r="126" spans="1:40" ht="15.6" x14ac:dyDescent="0.25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4"/>
      <c r="P126" s="62"/>
      <c r="Q126" s="62"/>
      <c r="R126" s="62"/>
      <c r="S126" s="62"/>
      <c r="T126" s="62"/>
      <c r="U126" s="62"/>
      <c r="V126" s="62"/>
      <c r="W126" s="62"/>
      <c r="X126" s="62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</row>
    <row r="127" spans="1:40" ht="15.6" x14ac:dyDescent="0.25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4"/>
      <c r="P127" s="62"/>
      <c r="Q127" s="62"/>
      <c r="R127" s="62"/>
      <c r="S127" s="62"/>
      <c r="T127" s="62"/>
      <c r="U127" s="62"/>
      <c r="V127" s="62"/>
      <c r="W127" s="62"/>
      <c r="X127" s="62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</row>
    <row r="128" spans="1:40" ht="15.6" x14ac:dyDescent="0.25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4"/>
      <c r="P128" s="62"/>
      <c r="Q128" s="62"/>
      <c r="R128" s="62"/>
      <c r="S128" s="62"/>
      <c r="T128" s="62"/>
      <c r="U128" s="62"/>
      <c r="V128" s="62"/>
      <c r="W128" s="62"/>
      <c r="X128" s="62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</row>
    <row r="129" spans="1:40" ht="15.6" x14ac:dyDescent="0.25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4"/>
      <c r="P129" s="62"/>
      <c r="Q129" s="62"/>
      <c r="R129" s="62"/>
      <c r="S129" s="62"/>
      <c r="T129" s="62"/>
      <c r="U129" s="62"/>
      <c r="V129" s="62"/>
      <c r="W129" s="62"/>
      <c r="X129" s="62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</row>
    <row r="130" spans="1:40" ht="15.6" x14ac:dyDescent="0.25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4"/>
      <c r="P130" s="62"/>
      <c r="Q130" s="62"/>
      <c r="R130" s="62"/>
      <c r="S130" s="62"/>
      <c r="T130" s="62"/>
      <c r="U130" s="62"/>
      <c r="V130" s="62"/>
      <c r="W130" s="62"/>
      <c r="X130" s="62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</row>
    <row r="131" spans="1:40" ht="15.6" x14ac:dyDescent="0.25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4"/>
      <c r="P131" s="62"/>
      <c r="Q131" s="62"/>
      <c r="R131" s="62"/>
      <c r="S131" s="62"/>
      <c r="T131" s="62"/>
      <c r="U131" s="62"/>
      <c r="V131" s="62"/>
      <c r="W131" s="62"/>
      <c r="X131" s="62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</row>
    <row r="132" spans="1:40" ht="15.6" x14ac:dyDescent="0.25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4"/>
      <c r="P132" s="62"/>
      <c r="Q132" s="62"/>
      <c r="R132" s="62"/>
      <c r="S132" s="62"/>
      <c r="T132" s="62"/>
      <c r="U132" s="62"/>
      <c r="V132" s="62"/>
      <c r="W132" s="62"/>
      <c r="X132" s="62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</row>
    <row r="133" spans="1:40" ht="15.6" x14ac:dyDescent="0.25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4"/>
      <c r="P133" s="62"/>
      <c r="Q133" s="62"/>
      <c r="R133" s="62"/>
      <c r="S133" s="62"/>
      <c r="T133" s="62"/>
      <c r="U133" s="62"/>
      <c r="V133" s="62"/>
      <c r="W133" s="62"/>
      <c r="X133" s="62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</row>
    <row r="134" spans="1:40" ht="15.6" x14ac:dyDescent="0.25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4"/>
      <c r="P134" s="62"/>
      <c r="Q134" s="62"/>
      <c r="R134" s="62"/>
      <c r="S134" s="62"/>
      <c r="T134" s="62"/>
      <c r="U134" s="62"/>
      <c r="V134" s="62"/>
      <c r="W134" s="62"/>
      <c r="X134" s="62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</row>
    <row r="135" spans="1:40" ht="15.6" x14ac:dyDescent="0.2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4"/>
      <c r="P135" s="62"/>
      <c r="Q135" s="62"/>
      <c r="R135" s="62"/>
      <c r="S135" s="62"/>
      <c r="T135" s="62"/>
      <c r="U135" s="62"/>
      <c r="V135" s="62"/>
      <c r="W135" s="62"/>
      <c r="X135" s="62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</row>
    <row r="136" spans="1:40" ht="15.6" x14ac:dyDescent="0.25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4"/>
      <c r="P136" s="62"/>
      <c r="Q136" s="62"/>
      <c r="R136" s="62"/>
      <c r="S136" s="62"/>
      <c r="T136" s="62"/>
      <c r="U136" s="62"/>
      <c r="V136" s="62"/>
      <c r="W136" s="62"/>
      <c r="X136" s="62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</row>
    <row r="137" spans="1:40" ht="15.6" x14ac:dyDescent="0.25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4"/>
      <c r="P137" s="62"/>
      <c r="Q137" s="62"/>
      <c r="R137" s="62"/>
      <c r="S137" s="62"/>
      <c r="T137" s="62"/>
      <c r="U137" s="62"/>
      <c r="V137" s="62"/>
      <c r="W137" s="62"/>
      <c r="X137" s="62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</row>
    <row r="138" spans="1:40" ht="15.6" x14ac:dyDescent="0.25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4"/>
      <c r="P138" s="62"/>
      <c r="Q138" s="62"/>
      <c r="R138" s="62"/>
      <c r="S138" s="62"/>
      <c r="T138" s="62"/>
      <c r="U138" s="62"/>
      <c r="V138" s="62"/>
      <c r="W138" s="62"/>
      <c r="X138" s="62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</row>
    <row r="139" spans="1:40" ht="15.6" x14ac:dyDescent="0.25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4"/>
      <c r="P139" s="62"/>
      <c r="Q139" s="62"/>
      <c r="R139" s="62"/>
      <c r="S139" s="62"/>
      <c r="T139" s="62"/>
      <c r="U139" s="62"/>
      <c r="V139" s="62"/>
      <c r="W139" s="62"/>
      <c r="X139" s="62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</row>
    <row r="140" spans="1:40" ht="15.6" x14ac:dyDescent="0.25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4"/>
      <c r="P140" s="62"/>
      <c r="Q140" s="62"/>
      <c r="R140" s="62"/>
      <c r="S140" s="62"/>
      <c r="T140" s="62"/>
      <c r="U140" s="62"/>
      <c r="V140" s="62"/>
      <c r="W140" s="62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</row>
    <row r="141" spans="1:40" ht="15.6" x14ac:dyDescent="0.25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4"/>
      <c r="P141" s="62"/>
      <c r="Q141" s="62"/>
      <c r="R141" s="62"/>
      <c r="S141" s="62"/>
      <c r="T141" s="62"/>
      <c r="U141" s="62"/>
      <c r="V141" s="62"/>
      <c r="W141" s="62"/>
      <c r="X141" s="62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</row>
    <row r="142" spans="1:40" ht="15.6" x14ac:dyDescent="0.25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4"/>
      <c r="P142" s="62"/>
      <c r="Q142" s="62"/>
      <c r="R142" s="62"/>
      <c r="S142" s="62"/>
      <c r="T142" s="62"/>
      <c r="U142" s="62"/>
      <c r="V142" s="62"/>
      <c r="W142" s="62"/>
      <c r="X142" s="62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</row>
    <row r="143" spans="1:40" ht="15.6" x14ac:dyDescent="0.25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4"/>
      <c r="P143" s="62"/>
      <c r="Q143" s="62"/>
      <c r="R143" s="62"/>
      <c r="S143" s="62"/>
      <c r="T143" s="62"/>
      <c r="U143" s="62"/>
      <c r="V143" s="62"/>
      <c r="W143" s="62"/>
      <c r="X143" s="62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</row>
    <row r="144" spans="1:40" ht="15.6" x14ac:dyDescent="0.25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4"/>
      <c r="P144" s="62"/>
      <c r="Q144" s="62"/>
      <c r="R144" s="62"/>
      <c r="S144" s="62"/>
      <c r="T144" s="62"/>
      <c r="U144" s="62"/>
      <c r="V144" s="62"/>
      <c r="W144" s="62"/>
      <c r="X144" s="62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</row>
    <row r="145" spans="1:40" ht="15.6" x14ac:dyDescent="0.2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4"/>
      <c r="P145" s="62"/>
      <c r="Q145" s="62"/>
      <c r="R145" s="62"/>
      <c r="S145" s="62"/>
      <c r="T145" s="62"/>
      <c r="U145" s="62"/>
      <c r="V145" s="62"/>
      <c r="W145" s="62"/>
      <c r="X145" s="62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</row>
    <row r="146" spans="1:40" ht="15.6" x14ac:dyDescent="0.25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4"/>
      <c r="P146" s="62"/>
      <c r="Q146" s="62"/>
      <c r="R146" s="62"/>
      <c r="S146" s="62"/>
      <c r="T146" s="62"/>
      <c r="U146" s="62"/>
      <c r="V146" s="62"/>
      <c r="W146" s="62"/>
      <c r="X146" s="62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</row>
    <row r="147" spans="1:40" ht="15.6" x14ac:dyDescent="0.25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4"/>
      <c r="P147" s="62"/>
      <c r="Q147" s="62"/>
      <c r="R147" s="62"/>
      <c r="S147" s="62"/>
      <c r="T147" s="62"/>
      <c r="U147" s="62"/>
      <c r="V147" s="62"/>
      <c r="W147" s="62"/>
      <c r="X147" s="62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</row>
    <row r="148" spans="1:40" ht="15.6" x14ac:dyDescent="0.25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4"/>
      <c r="P148" s="62"/>
      <c r="Q148" s="62"/>
      <c r="R148" s="62"/>
      <c r="S148" s="62"/>
      <c r="T148" s="62"/>
      <c r="U148" s="62"/>
      <c r="V148" s="62"/>
      <c r="W148" s="62"/>
      <c r="X148" s="62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</row>
    <row r="149" spans="1:40" ht="15.6" x14ac:dyDescent="0.25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4"/>
      <c r="P149" s="62"/>
      <c r="Q149" s="62"/>
      <c r="R149" s="62"/>
      <c r="S149" s="62"/>
      <c r="T149" s="62"/>
      <c r="U149" s="62"/>
      <c r="V149" s="62"/>
      <c r="W149" s="62"/>
      <c r="X149" s="62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</row>
    <row r="150" spans="1:40" ht="15.6" x14ac:dyDescent="0.25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4"/>
      <c r="P150" s="62"/>
      <c r="Q150" s="62"/>
      <c r="R150" s="62"/>
      <c r="S150" s="62"/>
      <c r="T150" s="62"/>
      <c r="U150" s="62"/>
      <c r="V150" s="62"/>
      <c r="W150" s="62"/>
      <c r="X150" s="62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</row>
    <row r="151" spans="1:40" ht="15.6" x14ac:dyDescent="0.25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4"/>
      <c r="P151" s="62"/>
      <c r="Q151" s="62"/>
      <c r="R151" s="62"/>
      <c r="S151" s="62"/>
      <c r="T151" s="62"/>
      <c r="U151" s="62"/>
      <c r="V151" s="62"/>
      <c r="W151" s="62"/>
      <c r="X151" s="62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</row>
    <row r="152" spans="1:40" ht="15.6" x14ac:dyDescent="0.25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4"/>
      <c r="P152" s="62"/>
      <c r="Q152" s="62"/>
      <c r="R152" s="62"/>
      <c r="S152" s="62"/>
      <c r="T152" s="62"/>
      <c r="U152" s="62"/>
      <c r="V152" s="62"/>
      <c r="W152" s="62"/>
      <c r="X152" s="62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</row>
    <row r="153" spans="1:40" ht="15.6" x14ac:dyDescent="0.25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4"/>
      <c r="P153" s="62"/>
      <c r="Q153" s="62"/>
      <c r="R153" s="62"/>
      <c r="S153" s="62"/>
      <c r="T153" s="62"/>
      <c r="U153" s="62"/>
      <c r="V153" s="62"/>
      <c r="W153" s="62"/>
      <c r="X153" s="62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</row>
    <row r="154" spans="1:40" ht="15.6" x14ac:dyDescent="0.25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4"/>
      <c r="P154" s="62"/>
      <c r="Q154" s="62"/>
      <c r="R154" s="62"/>
      <c r="S154" s="62"/>
      <c r="T154" s="62"/>
      <c r="U154" s="62"/>
      <c r="V154" s="62"/>
      <c r="W154" s="62"/>
      <c r="X154" s="62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</row>
    <row r="155" spans="1:40" ht="15.6" x14ac:dyDescent="0.2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4"/>
      <c r="P155" s="62"/>
      <c r="Q155" s="62"/>
      <c r="R155" s="62"/>
      <c r="S155" s="62"/>
      <c r="T155" s="62"/>
      <c r="U155" s="62"/>
      <c r="V155" s="62"/>
      <c r="W155" s="62"/>
      <c r="X155" s="62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</row>
    <row r="156" spans="1:40" ht="15.6" x14ac:dyDescent="0.25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4"/>
      <c r="P156" s="62"/>
      <c r="Q156" s="62"/>
      <c r="R156" s="62"/>
      <c r="S156" s="62"/>
      <c r="T156" s="62"/>
      <c r="U156" s="62"/>
      <c r="V156" s="62"/>
      <c r="W156" s="62"/>
      <c r="X156" s="62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</row>
    <row r="157" spans="1:40" ht="15.6" x14ac:dyDescent="0.25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4"/>
      <c r="P157" s="62"/>
      <c r="Q157" s="62"/>
      <c r="R157" s="62"/>
      <c r="S157" s="62"/>
      <c r="T157" s="62"/>
      <c r="U157" s="62"/>
      <c r="V157" s="62"/>
      <c r="W157" s="62"/>
      <c r="X157" s="62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</row>
    <row r="158" spans="1:40" ht="15.6" x14ac:dyDescent="0.25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4"/>
      <c r="P158" s="62"/>
      <c r="Q158" s="62"/>
      <c r="R158" s="62"/>
      <c r="S158" s="62"/>
      <c r="T158" s="62"/>
      <c r="U158" s="62"/>
      <c r="V158" s="62"/>
      <c r="W158" s="62"/>
      <c r="X158" s="62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</row>
    <row r="159" spans="1:40" ht="15.6" x14ac:dyDescent="0.25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4"/>
      <c r="P159" s="62"/>
      <c r="Q159" s="62"/>
      <c r="R159" s="62"/>
      <c r="S159" s="62"/>
      <c r="T159" s="62"/>
      <c r="U159" s="62"/>
      <c r="V159" s="62"/>
      <c r="W159" s="62"/>
      <c r="X159" s="62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</row>
    <row r="160" spans="1:40" ht="15.6" x14ac:dyDescent="0.25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4"/>
      <c r="P160" s="62"/>
      <c r="Q160" s="62"/>
      <c r="R160" s="62"/>
      <c r="S160" s="62"/>
      <c r="T160" s="62"/>
      <c r="U160" s="62"/>
      <c r="V160" s="62"/>
      <c r="W160" s="62"/>
      <c r="X160" s="62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</row>
    <row r="161" spans="1:40" ht="15.6" x14ac:dyDescent="0.25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4"/>
      <c r="P161" s="62"/>
      <c r="Q161" s="62"/>
      <c r="R161" s="62"/>
      <c r="S161" s="62"/>
      <c r="T161" s="62"/>
      <c r="U161" s="62"/>
      <c r="V161" s="62"/>
      <c r="W161" s="62"/>
      <c r="X161" s="62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</row>
    <row r="162" spans="1:40" ht="15.6" x14ac:dyDescent="0.25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4"/>
      <c r="P162" s="62"/>
      <c r="Q162" s="62"/>
      <c r="R162" s="62"/>
      <c r="S162" s="62"/>
      <c r="T162" s="62"/>
      <c r="U162" s="62"/>
      <c r="V162" s="62"/>
      <c r="W162" s="62"/>
      <c r="X162" s="62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</row>
    <row r="163" spans="1:40" ht="15.6" x14ac:dyDescent="0.25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4"/>
      <c r="P163" s="62"/>
      <c r="Q163" s="62"/>
      <c r="R163" s="62"/>
      <c r="S163" s="62"/>
      <c r="T163" s="62"/>
      <c r="U163" s="62"/>
      <c r="V163" s="62"/>
      <c r="W163" s="62"/>
      <c r="X163" s="62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</row>
    <row r="164" spans="1:40" ht="15.6" x14ac:dyDescent="0.25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4"/>
      <c r="P164" s="62"/>
      <c r="Q164" s="62"/>
      <c r="R164" s="62"/>
      <c r="S164" s="62"/>
      <c r="T164" s="62"/>
      <c r="U164" s="62"/>
      <c r="V164" s="62"/>
      <c r="W164" s="62"/>
      <c r="X164" s="62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</row>
    <row r="165" spans="1:40" ht="15.6" x14ac:dyDescent="0.2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4"/>
      <c r="P165" s="62"/>
      <c r="Q165" s="62"/>
      <c r="R165" s="62"/>
      <c r="S165" s="62"/>
      <c r="T165" s="62"/>
      <c r="U165" s="62"/>
      <c r="V165" s="62"/>
      <c r="W165" s="62"/>
      <c r="X165" s="62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</row>
    <row r="166" spans="1:40" ht="15.6" x14ac:dyDescent="0.25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4"/>
      <c r="P166" s="62"/>
      <c r="Q166" s="62"/>
      <c r="R166" s="62"/>
      <c r="S166" s="62"/>
      <c r="T166" s="62"/>
      <c r="U166" s="62"/>
      <c r="V166" s="62"/>
      <c r="W166" s="62"/>
      <c r="X166" s="62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</row>
    <row r="167" spans="1:40" ht="15.6" x14ac:dyDescent="0.25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4"/>
      <c r="P167" s="62"/>
      <c r="Q167" s="62"/>
      <c r="R167" s="62"/>
      <c r="S167" s="62"/>
      <c r="T167" s="62"/>
      <c r="U167" s="62"/>
      <c r="V167" s="62"/>
      <c r="W167" s="62"/>
      <c r="X167" s="62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</row>
    <row r="168" spans="1:40" ht="15.6" x14ac:dyDescent="0.25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4"/>
      <c r="P168" s="62"/>
      <c r="Q168" s="62"/>
      <c r="R168" s="62"/>
      <c r="S168" s="62"/>
      <c r="T168" s="62"/>
      <c r="U168" s="62"/>
      <c r="V168" s="62"/>
      <c r="W168" s="62"/>
      <c r="X168" s="62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</row>
    <row r="169" spans="1:40" ht="15.6" x14ac:dyDescent="0.25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4"/>
      <c r="P169" s="62"/>
      <c r="Q169" s="62"/>
      <c r="R169" s="62"/>
      <c r="S169" s="62"/>
      <c r="T169" s="62"/>
      <c r="U169" s="62"/>
      <c r="V169" s="62"/>
      <c r="W169" s="62"/>
      <c r="X169" s="62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</row>
    <row r="170" spans="1:40" ht="15.6" x14ac:dyDescent="0.25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4"/>
      <c r="P170" s="62"/>
      <c r="Q170" s="62"/>
      <c r="R170" s="62"/>
      <c r="S170" s="62"/>
      <c r="T170" s="62"/>
      <c r="U170" s="62"/>
      <c r="V170" s="62"/>
      <c r="W170" s="62"/>
      <c r="X170" s="62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</row>
    <row r="171" spans="1:40" ht="15.6" x14ac:dyDescent="0.25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4"/>
      <c r="P171" s="62"/>
      <c r="Q171" s="62"/>
      <c r="R171" s="62"/>
      <c r="S171" s="62"/>
      <c r="T171" s="62"/>
      <c r="U171" s="62"/>
      <c r="V171" s="62"/>
      <c r="W171" s="62"/>
      <c r="X171" s="62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</row>
    <row r="172" spans="1:40" ht="15.6" x14ac:dyDescent="0.25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4"/>
      <c r="P172" s="62"/>
      <c r="Q172" s="62"/>
      <c r="R172" s="62"/>
      <c r="S172" s="62"/>
      <c r="T172" s="62"/>
      <c r="U172" s="62"/>
      <c r="V172" s="62"/>
      <c r="W172" s="62"/>
      <c r="X172" s="62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</row>
    <row r="173" spans="1:40" ht="15.6" x14ac:dyDescent="0.25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4"/>
      <c r="P173" s="62"/>
      <c r="Q173" s="62"/>
      <c r="R173" s="62"/>
      <c r="S173" s="62"/>
      <c r="T173" s="62"/>
      <c r="U173" s="62"/>
      <c r="V173" s="62"/>
      <c r="W173" s="62"/>
      <c r="X173" s="62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</row>
    <row r="174" spans="1:40" ht="15.6" x14ac:dyDescent="0.25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4"/>
      <c r="P174" s="62"/>
      <c r="Q174" s="62"/>
      <c r="R174" s="62"/>
      <c r="S174" s="62"/>
      <c r="T174" s="62"/>
      <c r="U174" s="62"/>
      <c r="V174" s="62"/>
      <c r="W174" s="62"/>
      <c r="X174" s="62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</row>
    <row r="175" spans="1:40" ht="15.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</row>
    <row r="176" spans="1:40" ht="15.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</row>
    <row r="177" spans="1:40" ht="15.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</row>
    <row r="178" spans="1:40" ht="15.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</row>
    <row r="179" spans="1:40" ht="15.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</row>
    <row r="180" spans="1:40" ht="15.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</row>
    <row r="181" spans="1:40" ht="15.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</row>
    <row r="182" spans="1:40" ht="15.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</row>
    <row r="183" spans="1:40" ht="15.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</row>
    <row r="184" spans="1:40" ht="15.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</row>
    <row r="185" spans="1:40" ht="15.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</row>
    <row r="186" spans="1:40" ht="15.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</row>
    <row r="187" spans="1:40" ht="15.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</row>
    <row r="188" spans="1:40" ht="15.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</row>
    <row r="189" spans="1:40" ht="15.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</row>
    <row r="190" spans="1:40" ht="15.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</row>
    <row r="191" spans="1:40" ht="15.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</row>
    <row r="192" spans="1:40" ht="15.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</row>
    <row r="193" spans="1:40" ht="15.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</row>
    <row r="194" spans="1:40" ht="15.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</row>
    <row r="195" spans="1:40" ht="15.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</row>
    <row r="196" spans="1:40" ht="15.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</row>
    <row r="197" spans="1:40" ht="15.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</row>
    <row r="198" spans="1:40" ht="15.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</row>
    <row r="199" spans="1:40" ht="15.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</row>
    <row r="200" spans="1:40" ht="15.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</row>
  </sheetData>
  <phoneticPr fontId="89" type="noConversion"/>
  <hyperlinks>
    <hyperlink ref="J42" r:id="rId1" xr:uid="{00000000-0004-0000-0D00-000000000000}"/>
    <hyperlink ref="J28" r:id="rId2" xr:uid="{00000000-0004-0000-0D00-000001000000}"/>
    <hyperlink ref="J8" r:id="rId3" xr:uid="{00000000-0004-0000-0D00-000002000000}"/>
    <hyperlink ref="J6" r:id="rId4" xr:uid="{00000000-0004-0000-0D00-000003000000}"/>
    <hyperlink ref="J16" r:id="rId5" xr:uid="{00000000-0004-0000-0D00-000004000000}"/>
    <hyperlink ref="J12" r:id="rId6" xr:uid="{00000000-0004-0000-0D00-000005000000}"/>
    <hyperlink ref="J69" r:id="rId7" xr:uid="{00000000-0004-0000-0D00-000006000000}"/>
    <hyperlink ref="J53" r:id="rId8" xr:uid="{00000000-0004-0000-0D00-000007000000}"/>
    <hyperlink ref="J13" r:id="rId9" xr:uid="{00000000-0004-0000-0D00-000008000000}"/>
    <hyperlink ref="J4" r:id="rId10" xr:uid="{00000000-0004-0000-0D00-000009000000}"/>
    <hyperlink ref="J25" r:id="rId11" xr:uid="{00000000-0004-0000-0D00-00000A000000}"/>
    <hyperlink ref="J5" r:id="rId12" xr:uid="{00000000-0004-0000-0D00-00000B000000}"/>
    <hyperlink ref="J47" r:id="rId13" xr:uid="{00000000-0004-0000-0D00-00000C000000}"/>
    <hyperlink ref="J26" r:id="rId14" xr:uid="{00000000-0004-0000-0D00-00000D000000}"/>
    <hyperlink ref="J50" r:id="rId15" xr:uid="{00000000-0004-0000-0D00-00000E000000}"/>
    <hyperlink ref="J18" r:id="rId16" xr:uid="{00000000-0004-0000-0D00-00000F000000}"/>
    <hyperlink ref="J33" r:id="rId17" xr:uid="{00000000-0004-0000-0D00-000010000000}"/>
    <hyperlink ref="J14" r:id="rId18" xr:uid="{00000000-0004-0000-0D00-000011000000}"/>
    <hyperlink ref="J43" r:id="rId19" xr:uid="{00000000-0004-0000-0D00-000012000000}"/>
    <hyperlink ref="J48" r:id="rId20" xr:uid="{00000000-0004-0000-0D00-000013000000}"/>
    <hyperlink ref="J27" r:id="rId21" xr:uid="{00000000-0004-0000-0D00-000014000000}"/>
    <hyperlink ref="J45" r:id="rId22" xr:uid="{00000000-0004-0000-0D00-000015000000}"/>
    <hyperlink ref="J34" r:id="rId23" xr:uid="{00000000-0004-0000-0D00-000016000000}"/>
    <hyperlink ref="J39" r:id="rId24" xr:uid="{00000000-0004-0000-0D00-000017000000}"/>
    <hyperlink ref="J51" r:id="rId25" xr:uid="{00000000-0004-0000-0D00-000018000000}"/>
    <hyperlink ref="J21" r:id="rId26" xr:uid="{00000000-0004-0000-0D00-000019000000}"/>
    <hyperlink ref="J72" r:id="rId27" display="https://mobile.yangkeduo.com/mall_page.html?_x_org=2&amp;refer_share_uin=&amp;refer_share_id=1O7qrdBrxbfibUeT5dSlFIMei0QCeKHH&amp;_x_query=ogp%E8%93%9D%E9%93%9C%E8%83%9C%E8%82%BD%E9%9D%A2%E9%9C%9C&amp;msn=r74qsmbizsfsfnnca7csikqd6a_axbuy&amp;refer_share_channel=copy_link&amp;_wv=41729&amp;mall_id=478070408&amp;_wvx=10" xr:uid="{00000000-0004-0000-0D00-00001A000000}"/>
    <hyperlink ref="J24" r:id="rId28" xr:uid="{00000000-0004-0000-0D00-00001B000000}"/>
    <hyperlink ref="J52" r:id="rId29" xr:uid="{00000000-0004-0000-0D00-00001C000000}"/>
    <hyperlink ref="J38" r:id="rId30" xr:uid="{00000000-0004-0000-0D00-00001D000000}"/>
    <hyperlink ref="J54" r:id="rId31" xr:uid="{00000000-0004-0000-0D00-00001E000000}"/>
    <hyperlink ref="J73" r:id="rId32" xr:uid="{00000000-0004-0000-0D00-00001F000000}"/>
    <hyperlink ref="J7" r:id="rId33" xr:uid="{00000000-0004-0000-0D00-000020000000}"/>
    <hyperlink ref="J41" r:id="rId34" xr:uid="{00000000-0004-0000-0D00-000021000000}"/>
    <hyperlink ref="J19" r:id="rId35" xr:uid="{00000000-0004-0000-0D00-000022000000}"/>
    <hyperlink ref="J23" r:id="rId36" xr:uid="{00000000-0004-0000-0D00-000023000000}"/>
    <hyperlink ref="J46" r:id="rId37" xr:uid="{00000000-0004-0000-0D00-000024000000}"/>
    <hyperlink ref="J78" r:id="rId38" xr:uid="{00000000-0004-0000-0D00-000025000000}"/>
    <hyperlink ref="J32" r:id="rId39" xr:uid="{00000000-0004-0000-0D00-000026000000}"/>
    <hyperlink ref="J10" r:id="rId40" xr:uid="{00000000-0004-0000-0D00-000027000000}"/>
    <hyperlink ref="J55" r:id="rId41" xr:uid="{00000000-0004-0000-0D00-000028000000}"/>
    <hyperlink ref="J44" r:id="rId42" xr:uid="{00000000-0004-0000-0D00-000029000000}"/>
    <hyperlink ref="J49" r:id="rId43" xr:uid="{00000000-0004-0000-0D00-00002A000000}"/>
    <hyperlink ref="J36" r:id="rId44" xr:uid="{00000000-0004-0000-0D00-00002B000000}"/>
  </hyperlinks>
  <pageMargins left="0.7" right="0.7" top="0.75" bottom="0.75" header="0.3" footer="0.3"/>
  <picture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收集数据表</vt:lpstr>
      <vt:lpstr>渠道</vt:lpstr>
      <vt:lpstr>渠道树</vt:lpstr>
      <vt:lpstr>店铺运营分组</vt:lpstr>
      <vt:lpstr>平台</vt:lpstr>
      <vt:lpstr>基础信息</vt:lpstr>
      <vt:lpstr>基础信息参考</vt:lpstr>
      <vt:lpstr>销售部门</vt:lpstr>
      <vt:lpstr>销售人员</vt:lpstr>
      <vt:lpstr>发货仓</vt:lpstr>
      <vt:lpstr>区域范围</vt:lpstr>
      <vt:lpstr>结算主体</vt:lpstr>
      <vt:lpstr>枚举值</vt:lpstr>
      <vt:lpstr>Sheet13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jianghua geng</cp:lastModifiedBy>
  <dcterms:modified xsi:type="dcterms:W3CDTF">2024-05-08T11:14:26Z</dcterms:modified>
</cp:coreProperties>
</file>
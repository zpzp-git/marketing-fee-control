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表清单" sheetId="2" r:id="rId5"/>
    <sheet name="营销费用源表-天猫-淘宝客" sheetId="3" r:id="rId6"/>
    <sheet name="营销费用源表-天猫-淘宝客-维权逆向" sheetId="4" r:id="rId7"/>
    <sheet name="营销费用源表-天猫-热浪引擎" sheetId="5" r:id="rId8"/>
    <sheet name="营销费用源表-天猫-UD信息流-业务计划" sheetId="6" r:id="rId9"/>
    <sheet name="营销费用源表-天猫-UD信息流-资金流水" sheetId="7" r:id="rId10"/>
    <sheet name="营销费用源表-天猫-AD信息流-广告计划" sheetId="8" r:id="rId11"/>
    <sheet name="营销费用源表-天猫-AD信息流-交易流水" sheetId="9" r:id="rId12"/>
    <sheet name="营销费用源表-天猫-磁力引擎-广告计划" sheetId="10" r:id="rId13"/>
    <sheet name="营销费用源表-天猫-磁力引擎-资金流水" sheetId="11" r:id="rId14"/>
    <sheet name="营销费用源表-天猫-直通车-业务计划" sheetId="12" r:id="rId15"/>
    <sheet name="营销费用源表-天猫-直通车-资金流水" sheetId="13" r:id="rId16"/>
    <sheet name="营销费用源表-天猫-万相台-超级直播-业务计划" sheetId="14" r:id="rId17"/>
    <sheet name="营销费用源表-天猫-万相台-短视频-业务计划" sheetId="15" r:id="rId18"/>
    <sheet name="营销费用源表-天猫-万相台-资金流水" sheetId="16" r:id="rId19"/>
    <sheet name="营销费用源表-天猫-引力魔方-业务计划" sheetId="17" r:id="rId20"/>
    <sheet name="营销费用源表-天猫-引力魔方-资金流水" sheetId="18" r:id="rId21"/>
    <sheet name="营销费用源表-抖音-千川-其他" sheetId="19" r:id="rId22"/>
    <sheet name="营销费用源表-抖音-千川-直播自投" sheetId="20" r:id="rId23"/>
    <sheet name="营销费用源表-抖音-精选联盟" sheetId="21" r:id="rId24"/>
    <sheet name="营销费用源表-抖音-DOU+" sheetId="22" r:id="rId25"/>
    <sheet name="营销费用源表-抖音-矩阵号DOU+" sheetId="23" r:id="rId26"/>
    <sheet name="营销费用源表-抖音-品牌DOU+" sheetId="24" r:id="rId27"/>
    <sheet name="营销费用源表-小红书-业务计划" sheetId="25" r:id="rId28"/>
    <sheet name="营销费用源表-小红书-省广美妆-资金流水" sheetId="26" r:id="rId29"/>
    <sheet name="营销费用源表-小红书-拾光宝盒-资金流水" sheetId="27" r:id="rId30"/>
    <sheet name="营销费用源表-B站-业务计划" sheetId="28" r:id="rId31"/>
    <sheet name="营销费用源表-B站-资金流水" sheetId="29" r:id="rId32"/>
    <sheet name="营销费用源表-品牌专区-品销宝-资金流水" sheetId="30" r:id="rId33"/>
    <sheet name="营销费用源表-财务-预付待摊" sheetId="31" r:id="rId34"/>
    <sheet name="营销费用源表-财务-长期待摊" sheetId="32" r:id="rId35"/>
    <sheet name="分摊金额表" sheetId="33" r:id="rId36"/>
    <sheet name="营销费用源表-财务-预提" sheetId="34" r:id="rId37"/>
    <sheet name="营销费用源表-品牌运营中心" sheetId="35" r:id="rId38"/>
    <sheet name="营销费用源表-内容热推" sheetId="36" r:id="rId3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<sst xmlns="http://schemas.openxmlformats.org/spreadsheetml/2006/main" count="34" uniqueCount="34">
  <si>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  </t>
  </si>
  <si>
    <t/>
    <r>
      <rPr>
        <u/>
        <color theme="10"/>
      </rPr>
      <t>营销费用源表-天猫-万相台-超级直播-业务计划</t>
    </r>
  </si>
  <si>
    <t/>
    <r>
      <rPr>
        <u/>
        <color theme="10"/>
      </rPr>
      <t>营销费用源表-抖音-DOU+</t>
    </r>
  </si>
  <si>
    <t/>
    <r>
      <rPr>
        <u/>
        <color theme="10"/>
      </rPr>
      <t>营销费用源表-天猫-AD信息流-交易流水</t>
    </r>
  </si>
  <si>
    <t/>
    <r>
      <rPr>
        <u/>
        <color theme="10"/>
      </rPr>
      <t>营销费用源表-天猫-磁力引擎-广告计划</t>
    </r>
  </si>
  <si>
    <t/>
    <r>
      <rPr>
        <u/>
        <color theme="10"/>
      </rPr>
      <t>营销费用源表-财务-预付待摊</t>
    </r>
  </si>
  <si>
    <t/>
    <r>
      <rPr>
        <u/>
        <color theme="10"/>
      </rPr>
      <t>营销费用源表-财务-长期待摊</t>
    </r>
  </si>
  <si>
    <t/>
    <r>
      <rPr>
        <u/>
        <sz val="9.75"/>
        <color theme="10"/>
        <rFont val="Calibri"/>
        <family val="2"/>
      </rPr>
      <t>营销费用源表-品牌运营中心</t>
    </r>
  </si>
  <si>
    <t/>
    <r>
      <rPr>
        <u/>
        <color theme="10"/>
      </rPr>
      <t>营销费用源表-B站-业务计划</t>
    </r>
  </si>
  <si>
    <t/>
    <r>
      <rPr>
        <u/>
        <color theme="10"/>
      </rPr>
      <t>营销费用源表-财务-预提</t>
    </r>
  </si>
  <si>
    <t/>
    <r>
      <rPr>
        <u/>
        <color theme="10"/>
      </rPr>
      <t>营销费用源表-天猫-磁力引擎-资金流水</t>
    </r>
  </si>
  <si>
    <t/>
    <r>
      <rPr>
        <u/>
        <color theme="10"/>
      </rPr>
      <t>营销费用源表-抖音-矩阵号DOU+</t>
    </r>
  </si>
  <si>
    <t/>
    <r>
      <rPr>
        <u/>
        <color theme="10"/>
      </rPr>
      <t>营销费用源表-天猫-引力魔方-业务计划</t>
    </r>
  </si>
  <si>
    <t/>
    <r>
      <rPr>
        <u/>
        <color theme="10"/>
      </rPr>
      <t>营销费用源表-B站-资金流水</t>
    </r>
  </si>
  <si>
    <t/>
    <r>
      <rPr>
        <u/>
        <color theme="10"/>
      </rPr>
      <t>营销费用源表-小红书-拾光宝盒-资金流水</t>
    </r>
  </si>
  <si>
    <t/>
    <r>
      <rPr>
        <u/>
        <color theme="10"/>
      </rPr>
      <t>营销费用源表-天猫-万相台-资金流水</t>
    </r>
  </si>
  <si>
    <t/>
    <r>
      <rPr>
        <u/>
        <color theme="10"/>
      </rPr>
      <t>营销费用源表-天猫-AD信息流-广告计划</t>
    </r>
  </si>
  <si>
    <t/>
    <r>
      <rPr>
        <u/>
        <color theme="10"/>
      </rPr>
      <t>营销费用源表-小红书-业务计划</t>
    </r>
  </si>
  <si>
    <t/>
    <r>
      <rPr>
        <u/>
        <color theme="10"/>
      </rPr>
      <t>营销费用源表-内容热推</t>
    </r>
  </si>
  <si>
    <t/>
    <r>
      <rPr>
        <u/>
        <color theme="10"/>
      </rPr>
      <t>营销费用源表-天猫-淘宝客</t>
    </r>
  </si>
  <si>
    <t/>
    <r>
      <rPr>
        <u/>
        <color theme="10"/>
      </rPr>
      <t>营销费用源表-天猫-热浪引擎</t>
    </r>
  </si>
  <si>
    <t/>
    <r>
      <rPr>
        <u/>
        <color theme="10"/>
      </rPr>
      <t>营销费用源表-天猫-淘宝客-维权逆向</t>
    </r>
  </si>
  <si>
    <t/>
    <r>
      <rPr>
        <u/>
        <color theme="10"/>
      </rPr>
      <t>营销费用源表-抖音-品牌DOU+</t>
    </r>
  </si>
  <si>
    <t/>
    <r>
      <rPr>
        <u/>
        <color theme="10"/>
      </rPr>
      <t>营销费用源表-品牌专区-品销宝-资金流水</t>
    </r>
  </si>
  <si>
    <t/>
    <r>
      <rPr>
        <u/>
        <color theme="10"/>
      </rPr>
      <t>营销费用源表-天猫-万相台-短视频-业务计划</t>
    </r>
  </si>
  <si>
    <t/>
    <r>
      <rPr>
        <u/>
        <color theme="10"/>
      </rPr>
      <t>营销费用源表-抖音-精选联盟</t>
    </r>
  </si>
  <si>
    <t/>
    <r>
      <rPr>
        <u/>
        <color theme="10"/>
      </rPr>
      <t>营销费用源表-天猫-UD信息流-业务计划</t>
    </r>
  </si>
  <si>
    <t/>
    <r>
      <rPr>
        <u/>
        <color theme="10"/>
      </rPr>
      <t>营销费用源表-抖音-千川-直播自投</t>
    </r>
  </si>
  <si>
    <t/>
    <r>
      <rPr>
        <u/>
        <color theme="10"/>
      </rPr>
      <t>营销费用源表-天猫-直通车-业务计划</t>
    </r>
  </si>
  <si>
    <t/>
    <r>
      <rPr>
        <u/>
        <color theme="10"/>
      </rPr>
      <t>营销费用源表-天猫-引力魔方-资金流水</t>
    </r>
  </si>
  <si>
    <t/>
    <r>
      <rPr>
        <u/>
        <color theme="10"/>
      </rPr>
      <t>营销费用源表-抖音-千川-其他</t>
    </r>
  </si>
  <si>
    <t/>
    <r>
      <rPr>
        <u/>
        <color theme="10"/>
      </rPr>
      <t>营销费用源表-小红书-省广美妆-资金流水</t>
    </r>
  </si>
  <si>
    <t/>
    <r>
      <rPr>
        <u/>
        <color theme="10"/>
      </rPr>
      <t>营销费用源表-天猫-UD信息流-资金流水</t>
    </r>
  </si>
  <si>
    <t/>
    <r>
      <rPr>
        <u/>
        <color theme="10"/>
      </rPr>
      <t>营销费用源表-天猫-直通车-资金流水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</si>
</sst>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7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37415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sz val="10.5"/>
      <color rgb="FF374151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sz val="10.5"/>
      <color rgb="FF374151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</fonts>
  <fills count="4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0AD47"/>
        <bgColor/>
      </patternFill>
    </fill>
    <fill>
      <patternFill patternType="solid">
        <fgColor rgb="FF92D050"/>
        <bgColor/>
      </patternFill>
    </fill>
    <fill>
      <patternFill patternType="solid">
        <fgColor rgb="FFFFFF00"/>
        <bgColor/>
      </patternFill>
    </fill>
    <fill>
      <patternFill patternType="solid">
        <fgColor rgb="FF92D050"/>
        <bgColor/>
      </patternFill>
    </fill>
    <fill>
      <patternFill patternType="solid">
        <fgColor rgb="FFBDD7EE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BDD7EE"/>
        <bgColor/>
      </patternFill>
    </fill>
    <fill>
      <patternFill patternType="solid">
        <fgColor rgb="FFD6DCE4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6DCE4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FFFF00"/>
        <bgColor/>
      </patternFill>
    </fill>
    <fill>
      <patternFill patternType="solid">
        <fgColor rgb="FFBDD7EE"/>
        <bgColor/>
      </patternFill>
    </fill>
    <fill>
      <patternFill patternType="solid">
        <fgColor rgb="FFD9D9D9"/>
        <bgColor/>
      </patternFill>
    </fill>
    <fill>
      <patternFill patternType="solid">
        <fgColor rgb="FFD6DCE4"/>
        <bgColor/>
      </patternFill>
    </fill>
    <fill>
      <patternFill patternType="solid">
        <fgColor rgb="FFD6DCE4"/>
        <bgColor/>
      </patternFill>
    </fill>
    <fill>
      <patternFill patternType="solid">
        <fgColor rgb="FFD6DCE4"/>
        <bgColor/>
      </patternFill>
    </fill>
    <fill>
      <patternFill patternType="solid">
        <fgColor rgb="FFD6DCE4"/>
        <bgColor/>
      </patternFill>
    </fill>
    <fill>
      <patternFill patternType="solid">
        <fgColor rgb="FFFFF258"/>
        <bgColor/>
      </patternFill>
    </fill>
    <fill>
      <patternFill patternType="solid">
        <fgColor rgb="FFD6DCE4"/>
        <bgColor/>
      </patternFill>
    </fill>
    <fill>
      <patternFill patternType="solid">
        <fgColor rgb="FFBFBFBF"/>
        <bgColor/>
      </patternFill>
    </fill>
    <fill>
      <patternFill patternType="solid">
        <fgColor rgb="FFFFFF00"/>
        <bgColor/>
      </patternFill>
    </fill>
    <fill>
      <patternFill patternType="solid">
        <fgColor rgb="FFECECF1"/>
        <bgColor/>
      </patternFill>
    </fill>
    <fill>
      <patternFill patternType="solid">
        <fgColor rgb="FFECECF1"/>
        <bgColor/>
      </patternFill>
    </fill>
    <fill>
      <patternFill patternType="solid">
        <fgColor rgb="FFBDD7EE"/>
        <bgColor/>
      </patternFill>
    </fill>
    <fill>
      <patternFill patternType="solid">
        <fgColor rgb="FFFFF258"/>
        <bgColor/>
      </patternFill>
    </fill>
    <fill>
      <patternFill patternType="solid">
        <fgColor rgb="FF92D050"/>
        <bgColor/>
      </patternFill>
    </fill>
    <fill>
      <patternFill patternType="solid">
        <fgColor rgb="FF92D050"/>
        <bgColor/>
      </patternFill>
    </fill>
    <fill>
      <patternFill patternType="solid">
        <fgColor rgb="FF92D050"/>
        <bgColor/>
      </patternFill>
    </fill>
    <fill>
      <patternFill patternType="solid">
        <fgColor rgb="FFFFFF00"/>
        <bgColor/>
      </patternFill>
    </fill>
    <fill>
      <patternFill patternType="solid">
        <fgColor rgb="FFFFF258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92D050"/>
        <bgColor/>
      </patternFill>
    </fill>
    <fill>
      <patternFill patternType="solid">
        <fgColor rgb="FFFFFF00"/>
        <bgColor/>
      </patternFill>
    </fill>
    <fill>
      <patternFill patternType="solid">
        <fgColor rgb="FFD6DCE4"/>
        <bgColor/>
      </patternFill>
    </fill>
    <fill>
      <patternFill patternType="solid">
        <fgColor rgb="FFFFF258"/>
        <bgColor/>
      </patternFill>
    </fill>
  </fills>
  <borders count="8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9D9E3"/>
      </left>
      <right/>
      <top/>
      <bottom/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false" applyFont="true" applyNumberFormat="false" applyProtection="false" borderId="5" fillId="0" fontId="5" numFmtId="0" xfId="0">
      <alignment vertical="center" wrapText="true"/>
    </xf>
    <xf applyAlignment="true" applyBorder="false" applyFill="false" applyFont="true" applyNumberFormat="false" applyProtection="false" borderId="6" fillId="2" fontId="6" numFmtId="0" xfId="0">
      <alignment horizontal="center" vertical="center" wrapText="true"/>
    </xf>
    <xf applyAlignment="true" applyBorder="false" applyFill="false" applyFont="true" applyNumberFormat="false" applyProtection="false" borderId="7" fillId="3" fontId="7" numFmtId="0" xfId="0">
      <alignment horizontal="center" vertical="center" wrapText="true"/>
    </xf>
    <xf applyAlignment="true" applyBorder="false" applyFill="false" applyFont="true" applyNumberFormat="false" applyProtection="false" borderId="8" fillId="4" fontId="8" numFmtId="0" xfId="0">
      <alignment horizontal="center" vertical="center" wrapText="true"/>
    </xf>
    <xf applyAlignment="true" applyBorder="false" applyFill="false" applyFont="true" applyNumberFormat="false" applyProtection="false" borderId="9" fillId="5" fontId="9" numFmtId="0" xfId="0">
      <alignment horizontal="center" vertical="center" wrapText="true"/>
    </xf>
    <xf applyAlignment="true" applyBorder="false" applyFill="false" applyFont="true" applyNumberFormat="false" applyProtection="false" borderId="10" fillId="6" fontId="10" numFmtId="0" xfId="0">
      <alignment horizontal="center" vertical="center" wrapText="true"/>
    </xf>
    <xf applyAlignment="true" applyBorder="false" applyFill="false" applyFont="true" applyNumberFormat="false" applyProtection="false" borderId="11" fillId="7" fontId="11" numFmtId="0" xfId="0">
      <alignment horizontal="center" vertical="center" wrapText="true"/>
    </xf>
    <xf applyAlignment="true" applyBorder="false" applyFill="false" applyFont="true" applyNumberFormat="false" applyProtection="false" borderId="12" fillId="8" fontId="12" numFmtId="0" xfId="0">
      <alignment horizontal="center" vertical="center" wrapText="true"/>
    </xf>
    <xf applyAlignment="true" applyBorder="false" applyFill="false" applyFont="true" applyNumberFormat="false" applyProtection="false" borderId="13" fillId="9" fontId="13" numFmtId="0" xfId="0">
      <alignment horizontal="center" vertical="center" wrapText="true"/>
    </xf>
    <xf applyAlignment="true" applyBorder="false" applyFill="false" applyFont="true" applyNumberFormat="false" applyProtection="false" borderId="14" fillId="10" fontId="14" numFmtId="0" xfId="0">
      <alignment horizontal="center" vertical="center" wrapText="true"/>
    </xf>
    <xf applyAlignment="true" applyBorder="false" applyFill="false" applyFont="true" applyNumberFormat="false" applyProtection="false" borderId="15" fillId="0" fontId="15" numFmtId="0" xfId="0">
      <alignment horizontal="center" vertical="center" wrapText="true"/>
    </xf>
    <xf applyAlignment="true" applyBorder="false" applyFill="false" applyFont="true" applyNumberFormat="false" applyProtection="false" borderId="16" fillId="0" fontId="16" numFmtId="0" xfId="0">
      <alignment horizontal="left" vertical="center" wrapText="true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 wrapText="true"/>
    </xf>
    <xf applyAlignment="true" applyBorder="false" applyFill="false" applyFont="true" applyNumberFormat="false" applyProtection="false" borderId="19" fillId="11" fontId="19" numFmtId="0" xfId="0">
      <alignment horizontal="center" vertical="center" wrapText="true"/>
    </xf>
    <xf applyAlignment="true" applyBorder="false" applyFill="false" applyFont="true" applyNumberFormat="false" applyProtection="false" borderId="20" fillId="12" fontId="20" numFmtId="0" xfId="0">
      <alignment horizontal="center" vertical="center" wrapText="true"/>
    </xf>
    <xf applyAlignment="true" applyBorder="false" applyFill="false" applyFont="true" applyNumberFormat="false" applyProtection="false" borderId="21" fillId="13" fontId="21" numFmtId="0" xfId="0">
      <alignment horizontal="center" vertical="center" wrapText="true"/>
    </xf>
    <xf applyAlignment="true" applyBorder="false" applyFill="false" applyFont="true" applyNumberFormat="false" applyProtection="false" borderId="22" fillId="14" fontId="22" numFmtId="0" xfId="0">
      <alignment horizontal="center" vertical="center" wrapText="true"/>
    </xf>
    <xf applyAlignment="true" applyBorder="false" applyFill="false" applyFont="true" applyNumberFormat="false" applyProtection="false" borderId="23" fillId="0" fontId="23" numFmtId="0" xfId="0">
      <alignment horizontal="center" vertical="center" wrapText="true"/>
    </xf>
    <xf applyAlignment="true" applyBorder="false" applyFill="false" applyFont="true" applyNumberFormat="false" applyProtection="false" borderId="24" fillId="15" fontId="24" numFmtId="0" xfId="0">
      <alignment horizontal="center" vertical="center" wrapText="true"/>
    </xf>
    <xf applyAlignment="true" applyBorder="false" applyFill="false" applyFont="true" applyNumberFormat="false" applyProtection="false" borderId="25" fillId="0" fontId="25" numFmtId="0" xfId="0">
      <alignment horizontal="left" vertical="center" wrapText="true"/>
    </xf>
    <xf applyAlignment="true" applyBorder="false" applyFill="false" applyFont="true" applyNumberFormat="false" applyProtection="false" borderId="26" fillId="0" fontId="26" numFmtId="0" xfId="0">
      <alignment horizontal="center" vertical="center" wrapText="true"/>
    </xf>
    <xf applyAlignment="true" applyBorder="false" applyFill="false" applyFont="true" applyNumberFormat="false" applyProtection="false" borderId="27" fillId="0" fontId="27" numFmtId="0" xfId="0">
      <alignment horizontal="left" vertical="center" wrapText="true"/>
    </xf>
    <xf applyAlignment="true" applyBorder="false" applyFill="false" applyFont="true" applyNumberFormat="false" applyProtection="false" borderId="28" fillId="0" fontId="28" numFmtId="0" xfId="0">
      <alignment horizontal="left" vertical="center" wrapText="true"/>
    </xf>
    <xf applyAlignment="true" applyBorder="false" applyFill="false" applyFont="true" applyNumberFormat="false" applyProtection="false" borderId="29" fillId="0" fontId="29" numFmtId="0" xfId="0">
      <alignment horizontal="center" vertical="center" wrapText="true"/>
    </xf>
    <xf applyAlignment="true" applyBorder="false" applyFill="false" applyFont="true" applyNumberFormat="false" applyProtection="false" borderId="30" fillId="0" fontId="30" numFmtId="0" xfId="0">
      <alignment horizontal="left" vertical="center" wrapText="true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16" fontId="35" numFmtId="0" xfId="0">
      <alignment horizontal="center" vertical="center" wrapText="true"/>
    </xf>
    <xf applyAlignment="true" applyBorder="false" applyFill="false" applyFont="true" applyNumberFormat="false" applyProtection="false" borderId="36" fillId="17" fontId="36" numFmtId="0" xfId="0">
      <alignment horizontal="center" vertical="center" wrapText="true"/>
    </xf>
    <xf applyAlignment="true" applyBorder="false" applyFill="false" applyFont="true" applyNumberFormat="false" applyProtection="false" borderId="37" fillId="18" fontId="37" numFmtId="0" xfId="0">
      <alignment horizontal="center" vertical="center" wrapText="true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19" fontId="39" numFmtId="0" xfId="0">
      <alignment horizontal="center" vertical="center" wrapText="true"/>
    </xf>
    <xf applyAlignment="true" applyBorder="false" applyFill="false" applyFont="true" applyNumberFormat="false" applyProtection="false" borderId="40" fillId="20" fontId="40" numFmtId="0" xfId="0">
      <alignment horizontal="center" vertical="center" wrapText="true"/>
    </xf>
    <xf applyAlignment="true" applyBorder="false" applyFill="false" applyFont="true" applyNumberFormat="false" applyProtection="false" borderId="41" fillId="21" fontId="41" numFmtId="0" xfId="0">
      <alignment horizontal="center" vertical="center" wrapText="true"/>
    </xf>
    <xf applyAlignment="true" applyBorder="false" applyFill="false" applyFont="true" applyNumberFormat="false" applyProtection="false" borderId="42" fillId="22" fontId="42" numFmtId="0" xfId="0">
      <alignment horizontal="center" vertical="center" wrapText="true"/>
    </xf>
    <xf applyAlignment="true" applyBorder="false" applyFill="false" applyFont="true" applyNumberFormat="false" applyProtection="false" borderId="43" fillId="23" fontId="43" numFmtId="0" xfId="0">
      <alignment horizontal="center" vertical="center" wrapText="true"/>
    </xf>
    <xf applyAlignment="true" applyBorder="false" applyFill="false" applyFont="true" applyNumberFormat="false" applyProtection="false" borderId="44" fillId="24" fontId="44" numFmtId="0" xfId="0">
      <alignment horizontal="center" vertical="center" wrapText="true"/>
    </xf>
    <xf applyAlignment="true" applyBorder="false" applyFill="false" applyFont="true" applyNumberFormat="false" applyProtection="false" borderId="45" fillId="0" fontId="45" numFmtId="0" xfId="0">
      <alignment horizontal="center" vertical="bottom"/>
    </xf>
    <xf applyAlignment="true" applyBorder="false" applyFill="false" applyFont="true" applyNumberFormat="false" applyProtection="false" borderId="46" fillId="0" fontId="46" numFmtId="0" xfId="0">
      <alignment horizontal="center" vertical="bottom"/>
    </xf>
    <xf applyAlignment="true" applyBorder="false" applyFill="false" applyFont="true" applyNumberFormat="false" applyProtection="false" borderId="47" fillId="0" fontId="47" numFmtId="0" xfId="0">
      <alignment horizontal="left" vertical="center" wrapText="true"/>
    </xf>
    <xf applyAlignment="true" applyBorder="false" applyFill="false" applyFont="true" applyNumberFormat="false" applyProtection="false" borderId="48" fillId="0" fontId="48" numFmtId="0" xfId="0">
      <alignment horizontal="left" vertical="center" wrapText="true"/>
    </xf>
    <xf applyAlignment="true" applyBorder="false" applyFill="false" applyFont="true" applyNumberFormat="false" applyProtection="false" borderId="49" fillId="0" fontId="49" numFmtId="0" xfId="0">
      <alignment horizontal="left" vertical="center" wrapText="true"/>
    </xf>
    <xf applyAlignment="true" applyBorder="false" applyFill="false" applyFont="true" applyNumberFormat="false" applyProtection="false" borderId="50" fillId="0" fontId="50" numFmtId="0" xfId="0">
      <alignment horizontal="left" vertical="center" wrapText="true"/>
    </xf>
    <xf applyAlignment="true" applyBorder="false" applyFill="false" applyFont="true" applyNumberFormat="false" applyProtection="false" borderId="51" fillId="25" fontId="51" numFmtId="0" xfId="0">
      <alignment horizontal="center" vertical="center" wrapText="true"/>
    </xf>
    <xf applyAlignment="true" applyBorder="false" applyFill="false" applyFont="true" applyNumberFormat="false" applyProtection="false" borderId="52" fillId="0" fontId="52" numFmtId="0" xfId="0">
      <alignment vertical="center"/>
    </xf>
    <xf applyAlignment="true" applyBorder="false" applyFill="false" applyFont="true" applyNumberFormat="false" applyProtection="false" borderId="53" fillId="0" fontId="53" numFmtId="0" xfId="0">
      <alignment horizontal="center" vertical="center" wrapText="true"/>
    </xf>
    <xf applyAlignment="true" applyBorder="false" applyFill="false" applyFont="true" applyNumberFormat="false" applyProtection="false" borderId="54" fillId="0" fontId="54" numFmtId="0" xfId="0">
      <alignment horizontal="center" vertical="center"/>
    </xf>
    <xf applyAlignment="true" applyBorder="false" applyFill="false" applyFont="true" applyNumberFormat="false" applyProtection="false" borderId="55" fillId="26" fontId="55" numFmtId="0" xfId="0">
      <alignment horizontal="center" vertical="center" wrapText="true"/>
    </xf>
    <xf applyAlignment="true" applyBorder="false" applyFill="false" applyFont="true" applyNumberFormat="false" applyProtection="false" borderId="56" fillId="0" fontId="56" numFmtId="0" xfId="0">
      <alignment horizontal="center" vertical="center" wrapText="true"/>
    </xf>
    <xf applyAlignment="true" applyBorder="false" applyFill="false" applyFont="true" applyNumberFormat="false" applyProtection="false" borderId="57" fillId="27" fontId="57" numFmtId="0" xfId="0">
      <alignment horizontal="center" vertical="center" wrapText="true"/>
    </xf>
    <xf applyAlignment="true" applyBorder="false" applyFill="false" applyFont="true" applyNumberFormat="false" applyProtection="false" borderId="58" fillId="28" fontId="58" numFmtId="0" xfId="0">
      <alignment horizontal="center" vertical="center" wrapText="true"/>
    </xf>
    <xf applyAlignment="true" applyBorder="false" applyFill="false" applyFont="true" applyNumberFormat="false" applyProtection="false" borderId="59" fillId="29" fontId="59" numFmtId="0" xfId="0">
      <alignment horizontal="left" vertical="bottom" wrapText="true"/>
    </xf>
    <xf applyAlignment="true" applyBorder="false" applyFill="false" applyFont="true" applyNumberFormat="false" applyProtection="false" borderId="60" fillId="30" fontId="60" numFmtId="0" xfId="0">
      <alignment horizontal="left" vertical="bottom" wrapText="true"/>
    </xf>
    <xf applyAlignment="true" applyBorder="false" applyFill="false" applyFont="true" applyNumberFormat="false" applyProtection="false" borderId="61" fillId="0" fontId="61" numFmtId="0" xfId="0">
      <alignment horizontal="left" vertical="center" wrapText="true"/>
    </xf>
    <xf applyAlignment="true" applyBorder="false" applyFill="false" applyFont="true" applyNumberFormat="false" applyProtection="false" borderId="62" fillId="0" fontId="62" numFmtId="0" xfId="0">
      <alignment vertical="bottom"/>
    </xf>
    <xf applyAlignment="true" applyBorder="false" applyFill="false" applyFont="true" applyNumberFormat="false" applyProtection="false" borderId="63" fillId="0" fontId="63" numFmtId="0" xfId="0">
      <alignment vertical="center"/>
    </xf>
    <xf applyAlignment="true" applyBorder="false" applyFill="false" applyFont="true" applyNumberFormat="false" applyProtection="false" borderId="64" fillId="31" fontId="64" numFmtId="0" xfId="0">
      <alignment horizontal="left" vertical="center" wrapText="true"/>
    </xf>
    <xf applyAlignment="true" applyBorder="false" applyFill="false" applyFont="true" applyNumberFormat="false" applyProtection="false" borderId="65" fillId="0" fontId="65" numFmtId="0" xfId="0">
      <alignment horizontal="left" vertical="center"/>
    </xf>
    <xf applyAlignment="true" applyBorder="false" applyFill="false" applyFont="true" applyNumberFormat="false" applyProtection="false" borderId="66" fillId="32" fontId="66" numFmtId="0" xfId="0">
      <alignment horizontal="left" vertical="center"/>
    </xf>
    <xf applyAlignment="true" applyBorder="false" applyFill="false" applyFont="true" applyNumberFormat="false" applyProtection="false" borderId="67" fillId="33" fontId="67" numFmtId="0" xfId="0">
      <alignment horizontal="left" vertical="center" wrapText="true"/>
    </xf>
    <xf applyAlignment="true" applyBorder="false" applyFill="false" applyFont="true" applyNumberFormat="false" applyProtection="false" borderId="68" fillId="34" fontId="68" numFmtId="0" xfId="0">
      <alignment horizontal="center" vertical="center" wrapText="true"/>
    </xf>
    <xf applyAlignment="true" applyBorder="false" applyFill="false" applyFont="true" applyNumberFormat="false" applyProtection="false" borderId="69" fillId="0" fontId="69" numFmtId="0" xfId="0">
      <alignment horizontal="left" vertical="center" wrapText="true"/>
    </xf>
    <xf applyAlignment="true" applyBorder="false" applyFill="false" applyFont="true" applyNumberFormat="false" applyProtection="false" borderId="70" fillId="0" fontId="70" numFmtId="0" xfId="0">
      <alignment horizontal="center" vertical="center" wrapText="true"/>
    </xf>
    <xf applyAlignment="true" applyBorder="false" applyFill="false" applyFont="true" applyNumberFormat="false" applyProtection="false" borderId="71" fillId="35" fontId="71" numFmtId="0" xfId="0">
      <alignment horizontal="center" vertical="center" wrapText="true"/>
    </xf>
    <xf applyAlignment="true" applyBorder="false" applyFill="false" applyFont="true" applyNumberFormat="false" applyProtection="false" borderId="72" fillId="36" fontId="72" numFmtId="0" xfId="0">
      <alignment horizontal="center" vertical="center" wrapText="true"/>
    </xf>
    <xf applyAlignment="true" applyBorder="false" applyFill="false" applyFont="true" applyNumberFormat="false" applyProtection="false" borderId="73" fillId="0" fontId="73" numFmtId="0" xfId="0">
      <alignment horizontal="left" vertical="center" wrapText="true"/>
    </xf>
    <xf applyAlignment="true" applyBorder="false" applyFill="false" applyFont="true" applyNumberFormat="false" applyProtection="false" borderId="74" fillId="0" fontId="74" numFmtId="0" xfId="0">
      <alignment vertical="center"/>
    </xf>
    <xf applyAlignment="true" applyBorder="false" applyFill="false" applyFont="true" applyNumberFormat="false" applyProtection="false" borderId="75" fillId="37" fontId="75" numFmtId="0" xfId="0">
      <alignment vertical="center"/>
    </xf>
    <xf applyAlignment="true" applyBorder="false" applyFill="false" applyFont="true" applyNumberFormat="false" applyProtection="false" borderId="76" fillId="38" fontId="76" numFmtId="0" xfId="0">
      <alignment horizontal="center" vertical="center" wrapText="true"/>
    </xf>
    <xf applyAlignment="true" applyBorder="false" applyFill="false" applyFont="true" applyNumberFormat="false" applyProtection="false" borderId="77" fillId="39" fontId="77" numFmtId="0" xfId="0">
      <alignment horizontal="center" vertical="center" wrapText="true"/>
    </xf>
    <xf applyAlignment="true" applyBorder="false" applyFill="false" applyFont="true" applyNumberFormat="false" applyProtection="false" borderId="78" fillId="40" fontId="78" numFmtId="0" xfId="0">
      <alignment horizontal="center" vertical="center" wrapText="true"/>
    </xf>
    <xf applyAlignment="true" applyBorder="false" applyFill="false" applyFont="true" applyNumberFormat="false" applyProtection="false" borderId="79" fillId="41" fontId="79" numFmtId="0" xfId="0">
      <alignment horizontal="center" vertical="center" wrapText="true"/>
    </xf>
    <xf applyAlignment="true" applyBorder="false" applyFill="false" applyFont="true" applyNumberFormat="false" applyProtection="false" borderId="80" fillId="0" fontId="80" numFmtId="0" xfId="0">
      <alignment vertical="center"/>
    </xf>
    <xf applyAlignment="true" applyBorder="false" applyFill="false" applyFont="true" applyNumberFormat="false" applyProtection="false" borderId="81" fillId="0" fontId="81" numFmtId="0" xfId="0">
      <alignment horizontal="center" vertical="center"/>
    </xf>
    <xf applyAlignment="true" applyBorder="false" applyFill="false" applyFont="true" applyNumberFormat="false" applyProtection="false" borderId="82" fillId="0" fontId="82" numFmtId="0" xfId="0">
      <alignment horizontal="center" vertical="center"/>
    </xf>
    <xf applyAlignment="true" applyBorder="false" applyFill="false" applyFont="true" applyNumberFormat="false" applyProtection="false" borderId="83" fillId="42" fontId="83" numFmtId="0" xfId="0">
      <alignment horizontal="center" vertical="center" wrapText="true"/>
    </xf>
    <xf applyAlignment="true" applyBorder="false" applyFill="false" applyFont="true" applyNumberFormat="false" applyProtection="false" borderId="84" fillId="43" fontId="84" numFmtId="0" xfId="0">
      <alignment horizontal="center" vertical="center"/>
    </xf>
    <xf applyAlignment="true" applyBorder="false" applyFill="false" applyFont="true" applyNumberFormat="false" applyProtection="false" borderId="85" fillId="0" fontId="85" numFmtId="0" xfId="0">
      <alignment horizontal="center" vertical="center"/>
    </xf>
    <xf applyAlignment="true" applyBorder="false" applyFill="false" applyFont="true" applyNumberFormat="false" applyProtection="false" borderId="86" fillId="0" fontId="86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Relationship Id="rId27" Target="worksheets/sheet24.xml" Type="http://schemas.openxmlformats.org/officeDocument/2006/relationships/worksheet"></Relationship><Relationship Id="rId28" Target="worksheets/sheet25.xml" Type="http://schemas.openxmlformats.org/officeDocument/2006/relationships/worksheet"></Relationship><Relationship Id="rId29" Target="worksheets/sheet26.xml" Type="http://schemas.openxmlformats.org/officeDocument/2006/relationships/worksheet"></Relationship><Relationship Id="rId30" Target="worksheets/sheet27.xml" Type="http://schemas.openxmlformats.org/officeDocument/2006/relationships/worksheet"></Relationship><Relationship Id="rId31" Target="worksheets/sheet28.xml" Type="http://schemas.openxmlformats.org/officeDocument/2006/relationships/worksheet"></Relationship><Relationship Id="rId32" Target="worksheets/sheet29.xml" Type="http://schemas.openxmlformats.org/officeDocument/2006/relationships/worksheet"></Relationship><Relationship Id="rId33" Target="worksheets/sheet30.xml" Type="http://schemas.openxmlformats.org/officeDocument/2006/relationships/worksheet"></Relationship><Relationship Id="rId34" Target="worksheets/sheet31.xml" Type="http://schemas.openxmlformats.org/officeDocument/2006/relationships/worksheet"></Relationship><Relationship Id="rId35" Target="worksheets/sheet32.xml" Type="http://schemas.openxmlformats.org/officeDocument/2006/relationships/worksheet"></Relationship><Relationship Id="rId36" Target="worksheets/sheet33.xml" Type="http://schemas.openxmlformats.org/officeDocument/2006/relationships/worksheet"></Relationship><Relationship Id="rId37" Target="worksheets/sheet34.xml" Type="http://schemas.openxmlformats.org/officeDocument/2006/relationships/worksheet"></Relationship><Relationship Id="rId38" Target="worksheets/sheet35.xml" Type="http://schemas.openxmlformats.org/officeDocument/2006/relationships/worksheet"></Relationship><Relationship Id="rId39" Target="worksheets/sheet3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6"/>
    <col collapsed="false" customWidth="true" hidden="false" max="3" min="3" style="0" width="38"/>
    <col collapsed="false" customWidth="true" hidden="false" max="4" min="4" style="0" width="45"/>
    <col collapsed="false" customWidth="true" hidden="false" max="5" min="5" style="0" width="38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</cols>
  <sheetData>
    <row r="1">
      <c r="A1" s="6" t="str">
        <v>序号</v>
      </c>
      <c r="B1" s="6" t="str">
        <v>平台</v>
      </c>
      <c r="C1" s="6" t="str">
        <v>源表描述</v>
      </c>
      <c r="D1" s="6" t="str">
        <v>源表名</v>
      </c>
      <c r="E1" s="6" t="str">
        <v>文档链接</v>
      </c>
      <c r="F1" s="5"/>
      <c r="G1" s="5"/>
      <c r="H1" s="5"/>
      <c r="I1" s="5"/>
      <c r="J1" s="5"/>
      <c r="K1" s="5"/>
      <c r="L1" s="5"/>
    </row>
    <row r="2">
      <c r="A2" s="1">
        <v>1</v>
      </c>
      <c r="B2" s="1" t="str">
        <v>天猫</v>
      </c>
      <c r="C2" s="2" t="str">
        <v>营销费用源表-天猫-淘宝客</v>
      </c>
      <c r="D2" s="4" t="str">
        <v>stg_fin_direct_exp_tmall_tbk</v>
      </c>
      <c r="E2" t="s">
        <v>19</v>
      </c>
    </row>
    <row customHeight="true" ht="19" r="3">
      <c r="A3" s="1">
        <v>2</v>
      </c>
      <c r="B3" s="1"/>
      <c r="C3" s="2" t="str">
        <v>营销费用源表-天猫-淘宝客-维权逆向</v>
      </c>
      <c r="D3" s="3" t="str">
        <v>stg_fin_direct_exp_tmall_tbk_refund</v>
      </c>
      <c r="E3" t="s">
        <v>21</v>
      </c>
    </row>
    <row r="4">
      <c r="A4" s="1">
        <v>3</v>
      </c>
      <c r="B4" s="1"/>
      <c r="C4" s="2" t="str">
        <v>营销费用源表-天猫-热浪引擎</v>
      </c>
      <c r="D4" s="3" t="str">
        <v>stg_fin_direct_exp_tmall_hotwave</v>
      </c>
      <c r="E4" t="s">
        <v>20</v>
      </c>
    </row>
    <row r="5">
      <c r="A5" s="1">
        <v>4</v>
      </c>
      <c r="B5" s="1"/>
      <c r="C5" s="2" t="str">
        <v>营销费用源表-天猫-UD信息流-业务计划</v>
      </c>
      <c r="D5" s="3" t="str">
        <v>stg_fin_direct_exp_tmall_ud_bp</v>
      </c>
      <c r="E5" t="s">
        <v>26</v>
      </c>
    </row>
    <row r="6">
      <c r="A6" s="1">
        <v>5</v>
      </c>
      <c r="B6" s="1"/>
      <c r="C6" s="2" t="str">
        <v>营销费用源表-天猫-UD信息流-资金流水</v>
      </c>
      <c r="D6" s="3" t="str">
        <v>stg_fin_direct_exp_tmall_ud_cf</v>
      </c>
      <c r="E6" t="s">
        <v>32</v>
      </c>
    </row>
    <row r="7">
      <c r="A7" s="1">
        <v>6</v>
      </c>
      <c r="B7" s="1"/>
      <c r="C7" s="2" t="str">
        <v>营销费用源表-天猫-AD信息流-广告计划</v>
      </c>
      <c r="D7" s="3" t="str">
        <v>stg_fin_direct_exp_tmall_ad_bp</v>
      </c>
      <c r="E7" t="s">
        <v>16</v>
      </c>
    </row>
    <row r="8">
      <c r="A8" s="1">
        <v>7</v>
      </c>
      <c r="B8" s="1"/>
      <c r="C8" s="2" t="str">
        <v>营销费用源表-天猫-AD信息流-交易流水</v>
      </c>
      <c r="D8" s="3" t="str">
        <v>stg_fin_direct_exp_tmall_ad_cf</v>
      </c>
      <c r="E8" t="s">
        <v>3</v>
      </c>
    </row>
    <row r="9">
      <c r="A9" s="1">
        <v>8</v>
      </c>
      <c r="B9" s="1"/>
      <c r="C9" s="2" t="str">
        <v>营销费用源表-天猫-磁力引擎-广告计划</v>
      </c>
      <c r="D9" s="3" t="str">
        <v>stg_fin_direct_exp_tmall_magnetic_bp</v>
      </c>
      <c r="E9" t="s">
        <v>4</v>
      </c>
    </row>
    <row r="10">
      <c r="A10" s="1">
        <v>9</v>
      </c>
      <c r="B10" s="1"/>
      <c r="C10" s="2" t="str">
        <v>营销费用源表-天猫-磁力引擎-资金流水</v>
      </c>
      <c r="D10" s="3" t="str">
        <v>stg_fin_direct_exp_tmall_magnetic_cf</v>
      </c>
      <c r="E10" t="s">
        <v>10</v>
      </c>
    </row>
    <row r="11">
      <c r="A11" s="1">
        <v>10</v>
      </c>
      <c r="B11" s="1"/>
      <c r="C11" s="2" t="str">
        <v>营销费用源表-天猫-直通车-业务计划</v>
      </c>
      <c r="D11" s="3" t="str">
        <v>stg_fin_direct_exp_tmall_dirtrain_bp</v>
      </c>
      <c r="E11" t="s">
        <v>28</v>
      </c>
    </row>
    <row r="12">
      <c r="A12" s="1">
        <v>11</v>
      </c>
      <c r="B12" s="1"/>
      <c r="C12" s="2" t="str">
        <v>营销费用源表-天猫-直通车-资金流水</v>
      </c>
      <c r="D12" s="3" t="str">
        <v>stg_fin_direct_exp_tmall_dirtrain_cf</v>
      </c>
      <c r="E12" t="s">
        <v>33</v>
      </c>
    </row>
    <row r="13">
      <c r="A13" s="1">
        <v>12</v>
      </c>
      <c r="B13" s="1"/>
      <c r="C13" s="2" t="str">
        <v>营销费用源表-天猫-万相台-超级直播-业务计划</v>
      </c>
      <c r="D13" s="3" t="str">
        <v>stg_fin_direct_exp_tmall_adbrain_live_bp</v>
      </c>
      <c r="E13" t="s">
        <v>1</v>
      </c>
    </row>
    <row r="14">
      <c r="A14" s="1">
        <v>13</v>
      </c>
      <c r="B14" s="1"/>
      <c r="C14" s="2" t="str">
        <v>营销费用源表-天猫-万相台-短视频-业务计划</v>
      </c>
      <c r="D14" s="3" t="str">
        <v>stg_fin_direct_exp_tmall_adbrain_video_bp</v>
      </c>
      <c r="E14" t="s">
        <v>24</v>
      </c>
    </row>
    <row r="15">
      <c r="A15" s="1">
        <v>14</v>
      </c>
      <c r="B15" s="1"/>
      <c r="C15" s="2" t="str">
        <v>营销费用源表-天猫-万相台-资金流水</v>
      </c>
      <c r="D15" s="3" t="str">
        <v>stg_fin_direct_exp_tmall_adbrain_cf</v>
      </c>
      <c r="E15" t="s">
        <v>15</v>
      </c>
    </row>
    <row r="16">
      <c r="A16" s="1">
        <v>15</v>
      </c>
      <c r="B16" s="1"/>
      <c r="C16" s="2" t="str">
        <v>营销费用源表-天猫-引力魔方-业务计划</v>
      </c>
      <c r="D16" s="3" t="str">
        <v>stg_fin_direct_exp_tmall_gravity_cube_bp</v>
      </c>
      <c r="E16" t="s">
        <v>12</v>
      </c>
    </row>
    <row r="17">
      <c r="A17" s="1">
        <v>16</v>
      </c>
      <c r="B17" s="1"/>
      <c r="C17" s="2" t="str">
        <v>营销费用源表-天猫-引力魔方-资金流水</v>
      </c>
      <c r="D17" s="3" t="str">
        <v>stg_fin_direct_exp_tmall_gravity_cube_cf</v>
      </c>
      <c r="E17" t="s">
        <v>29</v>
      </c>
    </row>
    <row r="18">
      <c r="A18" s="1">
        <v>17</v>
      </c>
      <c r="B18" s="1" t="str">
        <v>抖音</v>
      </c>
      <c r="C18" s="2" t="str">
        <v>营销费用源表-抖音-千川-其他</v>
      </c>
      <c r="D18" s="3" t="str">
        <v>stg_fin_direct_exp_douyin_qc_other</v>
      </c>
      <c r="E18" t="s">
        <v>30</v>
      </c>
    </row>
    <row r="19">
      <c r="A19" s="1">
        <v>18</v>
      </c>
      <c r="B19" s="1"/>
      <c r="C19" s="2" t="str">
        <v>营销费用源表-抖音-千川-直播自投</v>
      </c>
      <c r="D19" s="3" t="str">
        <v>stg_fin_direct_exp_douyin_qc_self_inv</v>
      </c>
      <c r="E19" t="s">
        <v>27</v>
      </c>
    </row>
    <row r="20">
      <c r="A20" s="1">
        <v>19</v>
      </c>
      <c r="B20" s="1"/>
      <c r="C20" s="2" t="str">
        <v>营销费用源表-抖音-精选联盟</v>
      </c>
      <c r="D20" s="3" t="str">
        <v>stg_fin_direct_exp_douyin_sel_alliance</v>
      </c>
      <c r="E20" t="s">
        <v>25</v>
      </c>
    </row>
    <row r="21">
      <c r="A21" s="1">
        <v>20</v>
      </c>
      <c r="B21" s="1"/>
      <c r="C21" s="2" t="str">
        <v>营销费用源表-抖音-DOU+</v>
      </c>
      <c r="D21" s="3" t="str">
        <v>stg_fin_direct_exp_douyin_dou_plus</v>
      </c>
      <c r="E21" t="s">
        <v>2</v>
      </c>
    </row>
    <row r="22">
      <c r="A22" s="1">
        <v>21</v>
      </c>
      <c r="B22" s="1"/>
      <c r="C22" s="2" t="str">
        <v>营销费用源表-抖音-矩阵号DOU+</v>
      </c>
      <c r="D22" s="3" t="str">
        <v>stg_fin_direct_exp_douyin_dou_matrix_num</v>
      </c>
      <c r="E22" t="s">
        <v>11</v>
      </c>
    </row>
    <row r="23">
      <c r="A23" s="1">
        <v>22</v>
      </c>
      <c r="B23" s="1"/>
      <c r="C23" s="2" t="str">
        <v>营销费用源表-抖音-品牌DOU+</v>
      </c>
      <c r="D23" s="3" t="str">
        <v>stg_fin_direct_exp_douyin_dou_brand</v>
      </c>
      <c r="E23" t="s">
        <v>22</v>
      </c>
    </row>
    <row r="24">
      <c r="A24" s="1">
        <v>23</v>
      </c>
      <c r="B24" s="1" t="str">
        <v>小红书</v>
      </c>
      <c r="C24" s="2" t="str">
        <v>营销费用源表-小红书-业务计划</v>
      </c>
      <c r="D24" s="3" t="str">
        <v>stg_fin_direct_exp_xhs_bp</v>
      </c>
      <c r="E24" t="s">
        <v>17</v>
      </c>
    </row>
    <row r="25">
      <c r="A25" s="1">
        <v>24</v>
      </c>
      <c r="B25" s="1"/>
      <c r="C25" s="2" t="str">
        <v>营销费用源表-小红书-省广美妆-资金流水</v>
      </c>
      <c r="D25" s="3" t="str">
        <v>stg_fin_direct_exp_xhs_prov_cf</v>
      </c>
      <c r="E25" t="s">
        <v>31</v>
      </c>
    </row>
    <row r="26">
      <c r="A26" s="1">
        <v>25</v>
      </c>
      <c r="B26" s="1"/>
      <c r="C26" s="2" t="str">
        <v>营销费用源表-小红书-拾光宝盒-资金流水</v>
      </c>
      <c r="D26" s="3" t="str">
        <v>stg_fin_direct_exp_xhs_shiguang_cf</v>
      </c>
      <c r="E26" t="s">
        <v>14</v>
      </c>
    </row>
    <row r="27">
      <c r="A27" s="1">
        <v>26</v>
      </c>
      <c r="B27" s="1" t="str">
        <v>B站</v>
      </c>
      <c r="C27" s="2" t="str">
        <v>营销费用源表-B站-业务计划</v>
      </c>
      <c r="D27" s="3" t="str">
        <v>stg_fin_direct_exp_bilibili_bp</v>
      </c>
      <c r="E27" t="s">
        <v>8</v>
      </c>
    </row>
    <row r="28">
      <c r="A28" s="1">
        <v>27</v>
      </c>
      <c r="B28" s="1"/>
      <c r="C28" s="2" t="str">
        <v>营销费用源表-B站-资金流水</v>
      </c>
      <c r="D28" s="3" t="str">
        <v>stg_fin_direct_exp_bilibili_cf</v>
      </c>
      <c r="E28" t="s">
        <v>13</v>
      </c>
    </row>
    <row r="29">
      <c r="A29" s="1">
        <v>28</v>
      </c>
      <c r="B29" s="2" t="str">
        <v>天猫</v>
      </c>
      <c r="C29" s="2" t="str">
        <v>营销费用源表-品牌专区-品销宝-资金流水</v>
      </c>
      <c r="D29" s="3" t="str">
        <v>stg_fin_direct_exp_brand_pinxiab_cf</v>
      </c>
      <c r="E29" t="s">
        <v>23</v>
      </c>
    </row>
    <row customHeight="true" ht="19" r="30">
      <c r="A30" s="1">
        <v>29</v>
      </c>
      <c r="B30" s="2"/>
      <c r="C30" s="2" t="str">
        <v>营销费用源表-财务-预提</v>
      </c>
      <c r="D30" s="4" t="str">
        <v>stg_fin_direct_exp_fin_drawing</v>
      </c>
      <c r="E30" t="s">
        <v>9</v>
      </c>
    </row>
    <row r="31">
      <c r="A31" s="1">
        <v>30</v>
      </c>
      <c r="B31" s="2"/>
      <c r="C31" s="2" t="str">
        <v>营销费用源表-财务-长期待摊</v>
      </c>
      <c r="D31" s="4" t="str">
        <v>stg_fin_direct_exp_fin_ltd_deferred</v>
      </c>
      <c r="E31" t="s">
        <v>6</v>
      </c>
    </row>
    <row r="32">
      <c r="A32" s="1">
        <v>31</v>
      </c>
      <c r="B32" s="2"/>
      <c r="C32" s="2" t="str">
        <v>营销费用源表-财务-预付待摊</v>
      </c>
      <c r="D32" s="3" t="str">
        <v>stg_fin_direct_exp_fin_prepaid_deferred</v>
      </c>
      <c r="E32" t="s">
        <v>5</v>
      </c>
    </row>
    <row r="33">
      <c r="A33" s="1">
        <v>32</v>
      </c>
      <c r="C33" s="2" t="str">
        <v>营销费用源表-品牌运营中心</v>
      </c>
      <c r="D33" s="3" t="str">
        <v>stg_fin_direct_exp_brand_op</v>
      </c>
      <c r="E33" s="2" t="s">
        <v>7</v>
      </c>
    </row>
    <row r="34">
      <c r="A34" s="1">
        <v>33</v>
      </c>
      <c r="C34" s="2" t="str">
        <v>营销费用源表-内容热推</v>
      </c>
      <c r="D34" s="3" t="str">
        <v>stg_fin_direct_exp_hot_push</v>
      </c>
      <c r="E34" t="s">
        <v>18</v>
      </c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  <mergeCells>
    <mergeCell ref="B27:B28"/>
    <mergeCell ref="B24:B26"/>
    <mergeCell ref="B18:B23"/>
    <mergeCell ref="B2:B17"/>
  </mergeCells>
  <hyperlinks>
    <hyperlink ref="E32" location="'营销费用源表-财务-预付待摊'!A1" display="营销费用源表-财务-预付待摊"/>
    <hyperlink ref="E6" location="'营销费用源表-天猫-UD信息流-资金流水'!A1" display="营销费用源表-天猫-UD信息流-资金流水"/>
    <hyperlink ref="E21" location="'营销费用源表-抖音-DOU+'!A1" display="营销费用源表-抖音-DOU+"/>
    <hyperlink ref="E34" location="'营销费用源表-内容热推'!A1" display="营销费用源表-内容热推"/>
    <hyperlink ref="E3" location="'营销费用源表-天猫-淘宝客-维权逆向'!A1" display="营销费用源表-天猫-淘宝客-维权逆向"/>
    <hyperlink ref="E4" location="'营销费用源表-天猫-热浪引擎'!A1" display="营销费用源表-天猫-热浪引擎"/>
    <hyperlink ref="E20" location="'营销费用源表-抖音-精选联盟'!A1" display="营销费用源表-抖音-精选联盟"/>
    <hyperlink ref="E24" location="'营销费用源表-小红书-业务计划'!A1" display="营销费用源表-小红书-业务计划"/>
    <hyperlink ref="E8" location="'营销费用源表-天猫-AD信息流-交易流水'!A1" display="营销费用源表-天猫-AD信息流-交易流水"/>
    <hyperlink ref="E26" location="'营销费用源表-小红书-拾光宝盒-资金流水'!A1" display="营销费用源表-小红书-拾光宝盒-资金流水"/>
    <hyperlink ref="E15" location="'营销费用源表-天猫-万相台-资金流水'!A1" display="营销费用源表-天猫-万相台-资金流水"/>
    <hyperlink ref="E30" location="'营销费用源表-财务-预提'!A1" display="营销费用源表-财务-预提"/>
    <hyperlink ref="E2" location="'营销费用源表-天猫-淘宝客'!A1" display="营销费用源表-天猫-淘宝客"/>
    <hyperlink ref="E7" location="'营销费用源表-天猫-AD信息流-广告计划'!A1" display="营销费用源表-天猫-AD信息流-广告计划"/>
    <hyperlink ref="E16" location="'营销费用源表-天猫-引力魔方-业务计划'!A1" display="营销费用源表-天猫-引力魔方-业务计划"/>
    <hyperlink ref="E13" location="'营销费用源表-天猫-万相台-超级直播-业务计划'!A1" display="营销费用源表-天猫-万相台-超级直播-业务计划"/>
    <hyperlink ref="E33" location="'营销费用源表-品牌运营中心'!A1" display="营销费用源表-品牌运营中心"/>
    <hyperlink ref="E17" location="'营销费用源表-天猫-引力魔方-资金流水'!A1" display="营销费用源表-天猫-引力魔方-资金流水"/>
    <hyperlink ref="E22" location="'营销费用源表-抖音-矩阵号DOU+'!A1" display="营销费用源表-抖音-矩阵号DOU+"/>
    <hyperlink ref="E10" location="'营销费用源表-天猫-磁力引擎-资金流水'!A1" display="营销费用源表-天猫-磁力引擎-资金流水"/>
    <hyperlink ref="E11" location="'营销费用源表-天猫-直通车-业务计划'!A1" display="营销费用源表-天猫-直通车-业务计划"/>
    <hyperlink ref="E14" location="'营销费用源表-天猫-万相台-短视频-业务计划'!A1" display="营销费用源表-天猫-万相台-短视频-业务计划"/>
    <hyperlink ref="E29" location="'营销费用源表-品牌专区-品销宝-资金流水'!A1" display="营销费用源表-品牌专区-品销宝-资金流水"/>
    <hyperlink ref="E31" location="'营销费用源表-财务-长期待摊'!A1" display="营销费用源表-财务-长期待摊"/>
    <hyperlink ref="E19" location="'营销费用源表-抖音-千川-直播自投'!A1" display="营销费用源表-抖音-千川-直播自投"/>
    <hyperlink ref="E28" location="'营销费用源表-B站-资金流水'!A1" display="营销费用源表-B站-资金流水"/>
    <hyperlink ref="E5" location="'营销费用源表-天猫-UD信息流-业务计划'!A1" display="营销费用源表-天猫-UD信息流-业务计划"/>
    <hyperlink ref="E25" location="'营销费用源表-小红书-省广美妆-资金流水'!A1" display="营销费用源表-小红书-省广美妆-资金流水"/>
    <hyperlink ref="E12" location="'营销费用源表-天猫-直通车-资金流水'!A1" display="营销费用源表-天猫-直通车-资金流水"/>
    <hyperlink ref="E27" location="'营销费用源表-B站-业务计划'!A1" display="营销费用源表-B站-业务计划"/>
    <hyperlink ref="E23" location="'营销费用源表-抖音-品牌DOU+'!A1" display="营销费用源表-抖音-品牌DOU+"/>
    <hyperlink ref="E18" location="'营销费用源表-抖音-千川-其他'!A1" display="营销费用源表-抖音-千川-其他"/>
    <hyperlink ref="E9" location="'营销费用源表-天猫-磁力引擎-广告计划'!A1" display="营销费用源表-天猫-磁力引擎-广告计划"/>
  </hyperlink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4"/>
    <col collapsed="false" customWidth="true" hidden="false" max="3" min="3" style="0" width="20"/>
    <col collapsed="false" customWidth="true" hidden="false" max="4" min="4" style="0" width="21"/>
    <col collapsed="false" customWidth="true" hidden="false" max="5" min="5" style="0" width="14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2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2"/>
    <col collapsed="false" customWidth="true" hidden="false" max="14" min="14" style="0" width="5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</cols>
  <sheetData>
    <row r="1">
      <c r="A1" s="9" t="str">
        <v>数据模型属性定义</v>
      </c>
      <c r="B1" s="7"/>
      <c r="C1" s="7"/>
      <c r="D1" s="7"/>
      <c r="E1" s="7"/>
      <c r="F1" s="7"/>
      <c r="G1" s="7"/>
      <c r="H1" s="7"/>
      <c r="I1" s="8" t="str">
        <v>系统溯源分析</v>
      </c>
      <c r="J1" s="8"/>
      <c r="K1" s="8"/>
      <c r="L1" s="8"/>
      <c r="M1" s="8"/>
      <c r="N1" s="8"/>
    </row>
    <row r="2">
      <c r="A2" s="13" t="str">
        <v>序号</v>
      </c>
      <c r="B2" s="10" t="str">
        <v>模型名称</v>
      </c>
      <c r="C2" s="10" t="str">
        <v>字段</v>
      </c>
      <c r="D2" s="10" t="str">
        <v>字段描述</v>
      </c>
      <c r="E2" s="10" t="str">
        <v>字段类型</v>
      </c>
      <c r="F2" s="10" t="str">
        <v>字段长度</v>
      </c>
      <c r="G2" s="10" t="str">
        <v>是否主键</v>
      </c>
      <c r="H2" s="10" t="str">
        <v>字段备注</v>
      </c>
      <c r="I2" s="11" t="str">
        <v>数据来源系统</v>
      </c>
      <c r="J2" s="11" t="str">
        <v>数据来源表</v>
      </c>
      <c r="K2" s="11" t="str">
        <v>来源表描述</v>
      </c>
      <c r="L2" s="12" t="str">
        <v>来源字段</v>
      </c>
      <c r="M2" s="12" t="str">
        <v>来源字段描述</v>
      </c>
      <c r="N2" s="12" t="str">
        <v>备注</v>
      </c>
    </row>
    <row r="3">
      <c r="A3" s="15">
        <v>1</v>
      </c>
      <c r="B3" s="18" t="str">
        <v>营销费用源表-天猫-淘宝客</v>
      </c>
      <c r="C3" s="16" t="str">
        <v>confirm_receipt_time</v>
      </c>
      <c r="D3" s="18" t="str">
        <v>确认收货时间</v>
      </c>
      <c r="E3" s="16" t="str">
        <v>DATETIME</v>
      </c>
      <c r="F3" s="18"/>
      <c r="G3" s="18"/>
      <c r="H3" s="18"/>
      <c r="I3" s="14"/>
      <c r="J3" s="14"/>
      <c r="K3" s="14"/>
      <c r="L3" s="14"/>
      <c r="M3" s="14"/>
      <c r="N3" s="14"/>
    </row>
    <row r="4">
      <c r="A4" s="15">
        <v>2</v>
      </c>
      <c r="B4" s="18" t="str">
        <v>营销费用源表-天猫-淘宝客</v>
      </c>
      <c r="C4" s="16" t="str">
        <v>account_expense_time</v>
      </c>
      <c r="D4" s="18" t="str">
        <v>账户支出时间</v>
      </c>
      <c r="E4" s="16" t="str">
        <v>DATETIME</v>
      </c>
      <c r="F4" s="18"/>
      <c r="G4" s="17"/>
      <c r="H4" s="17"/>
      <c r="I4" s="14"/>
      <c r="J4" s="14"/>
      <c r="K4" s="14"/>
      <c r="L4" s="14"/>
      <c r="M4" s="14"/>
      <c r="N4" s="14"/>
    </row>
    <row r="5">
      <c r="A5" s="15">
        <v>3</v>
      </c>
      <c r="B5" s="18" t="str">
        <v>营销费用源表-天猫-淘宝客</v>
      </c>
      <c r="C5" s="16" t="str">
        <v>settlement_time</v>
      </c>
      <c r="D5" s="18" t="str">
        <v>淘客结算时间</v>
      </c>
      <c r="E5" s="16" t="str">
        <v>DATETIME</v>
      </c>
      <c r="F5" s="18"/>
      <c r="G5" s="17"/>
      <c r="H5" s="17"/>
      <c r="I5" s="14"/>
      <c r="J5" s="14"/>
      <c r="K5" s="14"/>
      <c r="L5" s="14"/>
      <c r="M5" s="14"/>
      <c r="N5" s="14"/>
    </row>
    <row r="6">
      <c r="A6" s="15">
        <v>4</v>
      </c>
      <c r="B6" s="18" t="str">
        <v>营销费用源表-天猫-淘宝客</v>
      </c>
      <c r="C6" s="16" t="str">
        <v>create_time</v>
      </c>
      <c r="D6" s="18" t="str">
        <v>创建时间</v>
      </c>
      <c r="E6" s="16" t="str">
        <v>DATETIME</v>
      </c>
      <c r="F6" s="18"/>
      <c r="G6" s="17"/>
      <c r="H6" s="17"/>
      <c r="I6" s="14"/>
      <c r="J6" s="14"/>
      <c r="K6" s="14"/>
      <c r="L6" s="14"/>
      <c r="M6" s="14"/>
      <c r="N6" s="14"/>
    </row>
    <row r="7">
      <c r="A7" s="15">
        <v>5</v>
      </c>
      <c r="B7" s="18" t="str">
        <v>营销费用源表-天猫-淘宝客</v>
      </c>
      <c r="C7" s="16" t="str">
        <v>plan_name</v>
      </c>
      <c r="D7" s="18" t="str">
        <v>计划名称</v>
      </c>
      <c r="E7" s="16" t="str">
        <v>VARCHAR(255)</v>
      </c>
      <c r="F7" s="18"/>
      <c r="G7" s="17"/>
      <c r="H7" s="17"/>
      <c r="I7" s="14"/>
      <c r="J7" s="14"/>
      <c r="K7" s="14"/>
      <c r="L7" s="14"/>
      <c r="M7" s="14"/>
      <c r="N7" s="14"/>
    </row>
    <row r="8">
      <c r="A8" s="15">
        <v>6</v>
      </c>
      <c r="B8" s="18" t="str">
        <v>营销费用源表-天猫-淘宝客</v>
      </c>
      <c r="C8" s="16" t="str">
        <v>product_id</v>
      </c>
      <c r="D8" s="18" t="str">
        <v>商品ID</v>
      </c>
      <c r="E8" s="16" t="str">
        <v>INT</v>
      </c>
      <c r="F8" s="18"/>
      <c r="G8" s="17"/>
      <c r="H8" s="17"/>
      <c r="I8" s="14"/>
      <c r="J8" s="14"/>
      <c r="K8" s="14"/>
      <c r="L8" s="14"/>
      <c r="M8" s="14"/>
      <c r="N8" s="14"/>
    </row>
    <row r="9">
      <c r="A9" s="15">
        <v>7</v>
      </c>
      <c r="B9" s="18" t="str">
        <v>营销费用源表-天猫-淘宝客</v>
      </c>
      <c r="C9" s="16" t="str">
        <v>product_name</v>
      </c>
      <c r="D9" s="18" t="str">
        <v>商品名称</v>
      </c>
      <c r="E9" s="16" t="str">
        <v>VARCHAR(255)</v>
      </c>
      <c r="F9" s="18"/>
      <c r="G9" s="17"/>
      <c r="H9" s="17"/>
      <c r="I9" s="14"/>
      <c r="J9" s="14"/>
      <c r="K9" s="14"/>
      <c r="L9" s="14"/>
      <c r="M9" s="14"/>
      <c r="N9" s="14"/>
    </row>
    <row r="10">
      <c r="A10" s="15">
        <v>8</v>
      </c>
      <c r="B10" s="18" t="str">
        <v>营销费用源表-天猫-淘宝客</v>
      </c>
      <c r="C10" s="16" t="str">
        <v>actual_transaction_price</v>
      </c>
      <c r="D10" s="18" t="str">
        <v>实际成交价格</v>
      </c>
      <c r="E10" s="16" t="str">
        <v>DECIMAL(10, 2)</v>
      </c>
      <c r="F10" s="18"/>
      <c r="G10" s="17"/>
      <c r="H10" s="17"/>
      <c r="I10" s="14"/>
      <c r="J10" s="14"/>
      <c r="K10" s="14"/>
      <c r="L10" s="14"/>
      <c r="M10" s="14"/>
      <c r="N10" s="14"/>
    </row>
    <row r="11">
      <c r="A11" s="15">
        <v>9</v>
      </c>
      <c r="B11" s="18" t="str">
        <v>营销费用源表-天猫-淘宝客</v>
      </c>
      <c r="C11" s="16" t="str">
        <v>transaction_quantity</v>
      </c>
      <c r="D11" s="18" t="str">
        <v>成交商品数</v>
      </c>
      <c r="E11" s="16" t="str">
        <v>INT</v>
      </c>
      <c r="F11" s="18"/>
      <c r="G11" s="17"/>
      <c r="H11" s="17"/>
      <c r="I11" s="14"/>
      <c r="J11" s="14"/>
      <c r="K11" s="14"/>
      <c r="L11" s="14"/>
      <c r="M11" s="14"/>
      <c r="N11" s="14"/>
    </row>
    <row r="12">
      <c r="A12" s="15">
        <v>10</v>
      </c>
      <c r="B12" s="18" t="str">
        <v>营销费用源表-天猫-淘宝客</v>
      </c>
      <c r="C12" s="16" t="str">
        <v>commission_rate</v>
      </c>
      <c r="D12" s="18" t="str">
        <v>佣金比例</v>
      </c>
      <c r="E12" s="16" t="str">
        <v>DECIMAL(5, 2)</v>
      </c>
      <c r="F12" s="18"/>
      <c r="G12" s="17"/>
      <c r="H12" s="17"/>
      <c r="I12" s="14"/>
      <c r="J12" s="14"/>
      <c r="K12" s="14"/>
      <c r="L12" s="14"/>
      <c r="M12" s="14"/>
      <c r="N12" s="14"/>
    </row>
    <row r="13">
      <c r="A13" s="15">
        <v>11</v>
      </c>
      <c r="B13" s="18" t="str">
        <v>营销费用源表-天猫-淘宝客</v>
      </c>
      <c r="C13" s="16" t="str">
        <v>commission</v>
      </c>
      <c r="D13" s="18" t="str">
        <v>佣金</v>
      </c>
      <c r="E13" s="16" t="str">
        <v>DECIMAL(10, 2)</v>
      </c>
      <c r="F13" s="18"/>
      <c r="G13" s="17"/>
      <c r="H13" s="17"/>
      <c r="I13" s="14"/>
      <c r="J13" s="14"/>
      <c r="K13" s="14"/>
      <c r="L13" s="14"/>
      <c r="M13" s="14"/>
      <c r="N13" s="14"/>
    </row>
    <row r="14">
      <c r="A14" s="15">
        <v>12</v>
      </c>
      <c r="B14" s="18" t="str">
        <v>营销费用源表-天猫-淘宝客</v>
      </c>
      <c r="C14" s="16" t="str">
        <v>service_fee_rate</v>
      </c>
      <c r="D14" s="18" t="str">
        <v>服务费率</v>
      </c>
      <c r="E14" s="16" t="str">
        <v>DECIMAL(5, 2)</v>
      </c>
      <c r="F14" s="18"/>
      <c r="G14" s="17"/>
      <c r="H14" s="17"/>
      <c r="I14" s="14"/>
      <c r="J14" s="14"/>
      <c r="K14" s="14"/>
      <c r="L14" s="14"/>
      <c r="M14" s="14"/>
      <c r="N14" s="14"/>
    </row>
    <row r="15">
      <c r="A15" s="15">
        <v>13</v>
      </c>
      <c r="B15" s="18" t="str">
        <v>营销费用源表-天猫-淘宝客</v>
      </c>
      <c r="C15" s="16" t="str">
        <v>service_fee_amount</v>
      </c>
      <c r="D15" s="18" t="str">
        <v>服务费金额</v>
      </c>
      <c r="E15" s="16" t="str">
        <v>DECIMAL(10, 2)</v>
      </c>
      <c r="F15" s="18"/>
      <c r="G15" s="17"/>
      <c r="H15" s="17"/>
      <c r="I15" s="14"/>
      <c r="J15" s="14"/>
      <c r="K15" s="14"/>
      <c r="L15" s="14"/>
      <c r="M15" s="14"/>
      <c r="N15" s="14"/>
    </row>
    <row r="16">
      <c r="A16" s="15">
        <v>14</v>
      </c>
      <c r="B16" s="18" t="str">
        <v>营销费用源表-天猫-淘宝客</v>
      </c>
      <c r="C16" s="16" t="str">
        <v>tb_order_id</v>
      </c>
      <c r="D16" s="18" t="str">
        <v>淘宝父订单编号</v>
      </c>
      <c r="E16" s="16" t="str">
        <v>VARCHAR(50)</v>
      </c>
      <c r="F16" s="18"/>
      <c r="G16" s="17"/>
      <c r="H16" s="17"/>
      <c r="I16" s="14"/>
      <c r="J16" s="14"/>
      <c r="K16" s="14"/>
      <c r="L16" s="14"/>
      <c r="M16" s="14"/>
      <c r="N16" s="14"/>
    </row>
    <row r="17">
      <c r="A17" s="15">
        <v>15</v>
      </c>
      <c r="B17" s="18" t="str">
        <v>营销费用源表-天猫-淘宝客</v>
      </c>
      <c r="C17" s="16" t="str">
        <v>tb_child_order_id</v>
      </c>
      <c r="D17" s="18" t="str">
        <v>淘宝子订单编号</v>
      </c>
      <c r="E17" s="16" t="str">
        <v>VARCHAR(50)</v>
      </c>
      <c r="F17" s="18"/>
      <c r="G17" s="17"/>
      <c r="H17" s="17"/>
      <c r="I17" s="14"/>
      <c r="J17" s="14"/>
      <c r="K17" s="14"/>
      <c r="L17" s="14"/>
      <c r="M17" s="14"/>
      <c r="N17" s="14"/>
    </row>
    <row r="18">
      <c r="A18" s="15">
        <v>16</v>
      </c>
      <c r="B18" s="18" t="str">
        <v>营销费用源表-天猫-淘宝客</v>
      </c>
      <c r="C18" s="16" t="str">
        <v>source_or_tb_nickname</v>
      </c>
      <c r="D18" s="18" t="str">
        <v>来源或淘客昵称</v>
      </c>
      <c r="E18" s="16" t="str">
        <v>VARCHAR(255)</v>
      </c>
      <c r="F18" s="18"/>
      <c r="G18" s="17"/>
      <c r="H18" s="17"/>
      <c r="I18" s="14"/>
      <c r="J18" s="14"/>
      <c r="K18" s="14"/>
      <c r="L18" s="14"/>
      <c r="M18" s="14"/>
      <c r="N18" s="14"/>
    </row>
    <row r="19">
      <c r="A19" s="15">
        <v>17</v>
      </c>
      <c r="B19" s="18" t="str">
        <v>营销费用源表-天猫-淘宝客</v>
      </c>
      <c r="C19" s="16" t="str">
        <v>leader_name</v>
      </c>
      <c r="D19" s="18" t="str">
        <v>团长名称</v>
      </c>
      <c r="E19" s="16" t="str">
        <v>VARCHAR(255)</v>
      </c>
      <c r="F19" s="18"/>
      <c r="G19" s="17"/>
      <c r="H19" s="17"/>
      <c r="I19" s="14"/>
      <c r="J19" s="14"/>
      <c r="K19" s="14"/>
      <c r="L19" s="14"/>
      <c r="M19" s="14"/>
      <c r="N19" s="14"/>
    </row>
    <row r="20">
      <c r="A20" s="15">
        <v>18</v>
      </c>
      <c r="B20" s="18" t="str">
        <v>营销费用源表-天猫-淘宝客</v>
      </c>
      <c r="C20" s="16" t="str">
        <v>is_unpaid_order</v>
      </c>
      <c r="D20" s="18" t="str">
        <v>是否预售未付尾款订单</v>
      </c>
      <c r="E20" s="16" t="str">
        <v>TINYINT(1)</v>
      </c>
      <c r="F20" s="18"/>
      <c r="G20" s="17"/>
      <c r="H20" s="17"/>
      <c r="I20" s="14"/>
      <c r="J20" s="14"/>
      <c r="K20" s="14"/>
      <c r="L20" s="14"/>
      <c r="M20" s="14"/>
      <c r="N20" s="14"/>
    </row>
    <row r="21">
      <c r="A21" s="15">
        <v>19</v>
      </c>
      <c r="B21" s="18" t="str">
        <v>营销费用源表-天猫-淘宝客</v>
      </c>
      <c r="C21" s="16" t="str">
        <v>remarks</v>
      </c>
      <c r="D21" s="18" t="str">
        <v>备注</v>
      </c>
      <c r="E21" s="16" t="str">
        <v>TEXT</v>
      </c>
      <c r="F21" s="18"/>
      <c r="G21" s="17"/>
      <c r="H21" s="17"/>
      <c r="I21" s="14"/>
      <c r="J21" s="14"/>
      <c r="K21" s="14"/>
      <c r="L21" s="14"/>
      <c r="M21" s="14"/>
      <c r="N21" s="14"/>
    </row>
  </sheetData>
  <mergeCells>
    <mergeCell ref="I1:N1"/>
    <mergeCell ref="A1:H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3"/>
    <col collapsed="false" customWidth="true" hidden="false" max="3" min="3" style="0" width="21"/>
    <col collapsed="false" customWidth="true" hidden="false" max="4" min="4" style="0" width="17"/>
    <col collapsed="false" customWidth="true" hidden="false" max="5" min="5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2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2"/>
    <col collapsed="false" customWidth="true" hidden="false" max="14" min="14" style="0" width="5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</cols>
  <sheetData>
    <row r="1">
      <c r="A1" s="7" t="str">
        <v>数据模型属性定义</v>
      </c>
      <c r="B1" s="7"/>
      <c r="C1" s="7"/>
      <c r="D1" s="7"/>
      <c r="E1" s="7"/>
      <c r="F1" s="7"/>
      <c r="G1" s="7"/>
      <c r="H1" s="7"/>
      <c r="I1" s="8" t="str">
        <v>系统溯源分析</v>
      </c>
      <c r="J1" s="8"/>
      <c r="K1" s="8"/>
      <c r="L1" s="8"/>
      <c r="M1" s="8"/>
      <c r="N1" s="8"/>
    </row>
    <row r="2">
      <c r="A2" s="10" t="str">
        <v>序号</v>
      </c>
      <c r="B2" s="10" t="str">
        <v>模型名称</v>
      </c>
      <c r="C2" s="10" t="str">
        <v>字段</v>
      </c>
      <c r="D2" s="10" t="str">
        <v>字段描述</v>
      </c>
      <c r="E2" s="10" t="str">
        <v>字段类型</v>
      </c>
      <c r="F2" s="10" t="str">
        <v>字段长度</v>
      </c>
      <c r="G2" s="10" t="str">
        <v>是否主键</v>
      </c>
      <c r="H2" s="10" t="str">
        <v>字段备注</v>
      </c>
      <c r="I2" s="11" t="str">
        <v>数据来源系统</v>
      </c>
      <c r="J2" s="11" t="str">
        <v>数据来源表</v>
      </c>
      <c r="K2" s="11" t="str">
        <v>来源表描述</v>
      </c>
      <c r="L2" s="12" t="str">
        <v>来源字段</v>
      </c>
      <c r="M2" s="12" t="str">
        <v>来源字段描述</v>
      </c>
      <c r="N2" s="12" t="str">
        <v>备注</v>
      </c>
    </row>
    <row r="3">
      <c r="A3" s="18">
        <v>1</v>
      </c>
      <c r="B3" s="18" t="str">
        <v>营销费用源表-天猫-淘宝客</v>
      </c>
      <c r="C3" s="16" t="str">
        <v>tb_order_id</v>
      </c>
      <c r="D3" s="18" t="str">
        <v>淘宝订单编号</v>
      </c>
      <c r="E3" s="16" t="str">
        <v>VARCHAR(50)</v>
      </c>
      <c r="F3" s="18"/>
      <c r="G3" s="18"/>
      <c r="H3" s="18"/>
      <c r="I3" s="14"/>
      <c r="J3" s="14"/>
      <c r="K3" s="14"/>
      <c r="L3" s="14"/>
      <c r="M3" s="14"/>
      <c r="N3" s="14"/>
    </row>
    <row r="4">
      <c r="A4" s="18">
        <v>2</v>
      </c>
      <c r="B4" s="18" t="str">
        <v>营销费用源表-天猫-淘宝客</v>
      </c>
      <c r="C4" s="16" t="str">
        <v>tb_child_order_id</v>
      </c>
      <c r="D4" s="18" t="str">
        <v>淘宝子订单编号</v>
      </c>
      <c r="E4" s="16" t="str">
        <v>VARCHAR(50)</v>
      </c>
      <c r="F4" s="18"/>
      <c r="G4" s="17"/>
      <c r="H4" s="17"/>
      <c r="I4" s="14"/>
      <c r="J4" s="14"/>
      <c r="K4" s="14"/>
      <c r="L4" s="14"/>
      <c r="M4" s="14"/>
      <c r="N4" s="14"/>
    </row>
    <row r="5">
      <c r="A5" s="18">
        <v>3</v>
      </c>
      <c r="B5" s="18" t="str">
        <v>营销费用源表-天猫-淘宝客</v>
      </c>
      <c r="C5" s="16" t="str">
        <v>product_name</v>
      </c>
      <c r="D5" s="18" t="str">
        <v>商品名称</v>
      </c>
      <c r="E5" s="16" t="str">
        <v>VARCHAR(255)</v>
      </c>
      <c r="F5" s="18"/>
      <c r="G5" s="17"/>
      <c r="H5" s="17"/>
      <c r="I5" s="14"/>
      <c r="J5" s="14"/>
      <c r="K5" s="14"/>
      <c r="L5" s="14"/>
      <c r="M5" s="14"/>
      <c r="N5" s="14"/>
    </row>
    <row r="6">
      <c r="A6" s="18">
        <v>4</v>
      </c>
      <c r="B6" s="18" t="str">
        <v>营销费用源表-天猫-淘宝客</v>
      </c>
      <c r="C6" s="16" t="str">
        <v>refund_amount</v>
      </c>
      <c r="D6" s="18" t="str">
        <v>维权退款金额</v>
      </c>
      <c r="E6" s="16" t="str">
        <v>DECIMAL(10, 2)</v>
      </c>
      <c r="F6" s="18"/>
      <c r="G6" s="17"/>
      <c r="H6" s="17"/>
      <c r="I6" s="14"/>
      <c r="J6" s="14"/>
      <c r="K6" s="14"/>
      <c r="L6" s="14"/>
      <c r="M6" s="14"/>
      <c r="N6" s="14"/>
    </row>
    <row r="7">
      <c r="A7" s="18">
        <v>5</v>
      </c>
      <c r="B7" s="18" t="str">
        <v>营销费用源表-天猫-淘宝客</v>
      </c>
      <c r="C7" s="16" t="str">
        <v>refund_service_fee</v>
      </c>
      <c r="D7" s="18" t="str">
        <v>应退回服务费</v>
      </c>
      <c r="E7" s="16" t="str">
        <v>DECIMAL(10, 2)</v>
      </c>
      <c r="F7" s="18"/>
      <c r="G7" s="17"/>
      <c r="H7" s="17"/>
      <c r="I7" s="14"/>
      <c r="J7" s="14"/>
      <c r="K7" s="14"/>
      <c r="L7" s="14"/>
      <c r="M7" s="14"/>
      <c r="N7" s="14"/>
    </row>
    <row r="8">
      <c r="A8" s="18">
        <v>6</v>
      </c>
      <c r="B8" s="18" t="str">
        <v>营销费用源表-天猫-淘宝客</v>
      </c>
      <c r="C8" s="16" t="str">
        <v>refund_commission</v>
      </c>
      <c r="D8" s="18" t="str">
        <v>应退回佣金</v>
      </c>
      <c r="E8" s="16" t="str">
        <v>DECIMAL(10, 2)</v>
      </c>
      <c r="F8" s="18"/>
      <c r="G8" s="17"/>
      <c r="H8" s="17"/>
      <c r="I8" s="14"/>
      <c r="J8" s="14"/>
      <c r="K8" s="14"/>
      <c r="L8" s="14"/>
      <c r="M8" s="14"/>
      <c r="N8" s="14"/>
    </row>
    <row r="9">
      <c r="A9" s="18">
        <v>7</v>
      </c>
      <c r="B9" s="18" t="str">
        <v>营销费用源表-天猫-淘宝客</v>
      </c>
      <c r="C9" s="16" t="str">
        <v>rights_protection_status</v>
      </c>
      <c r="D9" s="18" t="str">
        <v>维权状态</v>
      </c>
      <c r="E9" s="16" t="str">
        <v>VARCHAR(50)</v>
      </c>
      <c r="F9" s="18"/>
      <c r="G9" s="17"/>
      <c r="H9" s="17"/>
      <c r="I9" s="14"/>
      <c r="J9" s="14"/>
      <c r="K9" s="14"/>
      <c r="L9" s="14"/>
      <c r="M9" s="14"/>
      <c r="N9" s="14"/>
    </row>
    <row r="10">
      <c r="A10" s="18">
        <v>8</v>
      </c>
      <c r="B10" s="18" t="str">
        <v>营销费用源表-天猫-淘宝客</v>
      </c>
      <c r="C10" s="16" t="str">
        <v>order_settlement_time</v>
      </c>
      <c r="D10" s="18" t="str">
        <v>订单结算时间</v>
      </c>
      <c r="E10" s="16" t="str">
        <v>DATETIME</v>
      </c>
      <c r="F10" s="18"/>
      <c r="G10" s="17"/>
      <c r="H10" s="17"/>
      <c r="I10" s="14"/>
      <c r="J10" s="14"/>
      <c r="K10" s="14"/>
      <c r="L10" s="14"/>
      <c r="M10" s="14"/>
      <c r="N10" s="14"/>
    </row>
    <row r="11">
      <c r="A11" s="18">
        <v>9</v>
      </c>
      <c r="B11" s="18" t="str">
        <v>营销费用源表-天猫-淘宝客</v>
      </c>
      <c r="C11" s="16" t="str">
        <v>protection_create_time</v>
      </c>
      <c r="D11" s="18" t="str">
        <v>维权创建时间</v>
      </c>
      <c r="E11" s="16" t="str">
        <v>DATETIME</v>
      </c>
      <c r="F11" s="18"/>
      <c r="G11" s="17"/>
      <c r="H11" s="17"/>
      <c r="I11" s="14"/>
      <c r="J11" s="14"/>
      <c r="K11" s="14"/>
      <c r="L11" s="14"/>
      <c r="M11" s="14"/>
      <c r="N11" s="14"/>
    </row>
    <row r="12">
      <c r="A12" s="18">
        <v>10</v>
      </c>
      <c r="B12" s="18" t="str">
        <v>营销费用源表-天猫-淘宝客</v>
      </c>
      <c r="C12" s="16" t="str">
        <v>protection_complete_time</v>
      </c>
      <c r="D12" s="18" t="str">
        <v>维权完成时间</v>
      </c>
      <c r="E12" s="16" t="str">
        <v>DATETIME</v>
      </c>
      <c r="F12" s="18"/>
      <c r="G12" s="17"/>
      <c r="H12" s="17"/>
      <c r="I12" s="14"/>
      <c r="J12" s="14"/>
      <c r="K12" s="14"/>
      <c r="L12" s="14"/>
      <c r="M12" s="14"/>
      <c r="N12" s="14"/>
    </row>
    <row r="13">
      <c r="A13" s="18">
        <v>11</v>
      </c>
      <c r="B13" s="18" t="str">
        <v>营销费用源表-天猫-淘宝客</v>
      </c>
      <c r="C13" s="16" t="str">
        <v>remarks</v>
      </c>
      <c r="D13" s="18" t="str">
        <v>备注</v>
      </c>
      <c r="E13" s="16" t="str">
        <v>TEXT</v>
      </c>
      <c r="F13" s="18"/>
      <c r="G13" s="17"/>
      <c r="H13" s="17"/>
      <c r="I13" s="14"/>
      <c r="J13" s="14"/>
      <c r="K13" s="14"/>
      <c r="L13" s="14"/>
      <c r="M13" s="14"/>
      <c r="N13" s="14"/>
    </row>
  </sheetData>
  <mergeCells>
    <mergeCell ref="A1:H1"/>
    <mergeCell ref="I1:N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5"/>
    <col collapsed="false" customWidth="true" hidden="false" max="3" min="3" style="0" width="22"/>
    <col collapsed="false" customWidth="true" hidden="false" max="4" min="4" style="0" width="11"/>
    <col collapsed="false" customWidth="true" hidden="false" max="5" min="5" style="0" width="14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2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2"/>
    <col collapsed="false" customWidth="true" hidden="false" max="14" min="14" style="0" width="5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7" t="str">
        <v>数据模型属性定义</v>
      </c>
      <c r="B1" s="7"/>
      <c r="C1" s="7"/>
      <c r="D1" s="7"/>
      <c r="E1" s="7"/>
      <c r="F1" s="7"/>
      <c r="G1" s="7"/>
      <c r="H1" s="7"/>
      <c r="I1" s="8" t="str">
        <v>系统溯源分析</v>
      </c>
      <c r="J1" s="8"/>
      <c r="K1" s="8"/>
      <c r="L1" s="8"/>
      <c r="M1" s="8"/>
      <c r="N1" s="8"/>
    </row>
    <row r="2">
      <c r="A2" s="19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15">
        <v>1</v>
      </c>
      <c r="B3" s="18" t="str">
        <v>营销费用源表-天猫-热浪引擎</v>
      </c>
      <c r="C3" s="16" t="str">
        <v>tb_order_id</v>
      </c>
      <c r="D3" s="18" t="str">
        <v>淘宝主订单号</v>
      </c>
      <c r="E3" s="16" t="str">
        <v>VARCHAR(50)</v>
      </c>
      <c r="F3" s="18"/>
      <c r="G3" s="18"/>
      <c r="H3" s="18"/>
      <c r="I3" s="14"/>
      <c r="J3" s="14"/>
      <c r="K3" s="14"/>
      <c r="L3" s="14"/>
      <c r="M3" s="14"/>
      <c r="N3" s="14"/>
    </row>
    <row r="4">
      <c r="A4" s="15">
        <v>2</v>
      </c>
      <c r="B4" s="18" t="str">
        <v>营销费用源表-天猫-热浪引擎</v>
      </c>
      <c r="C4" s="16" t="str">
        <v>tb_child_order_id</v>
      </c>
      <c r="D4" s="18" t="str">
        <v>淘宝子订单号</v>
      </c>
      <c r="E4" s="16" t="str">
        <v>VARCHAR(50)</v>
      </c>
      <c r="F4" s="18"/>
      <c r="G4" s="17"/>
      <c r="H4" s="17"/>
      <c r="I4" s="14"/>
      <c r="J4" s="14"/>
      <c r="K4" s="14"/>
      <c r="L4" s="14"/>
      <c r="M4" s="14"/>
      <c r="N4" s="14"/>
    </row>
    <row r="5">
      <c r="A5" s="15">
        <v>3</v>
      </c>
      <c r="B5" s="18" t="str">
        <v>营销费用源表-天猫-热浪引擎</v>
      </c>
      <c r="C5" s="16" t="str">
        <v>product_name</v>
      </c>
      <c r="D5" s="18" t="str">
        <v>商品名称</v>
      </c>
      <c r="E5" s="16" t="str">
        <v>VARCHAR(255)</v>
      </c>
      <c r="F5" s="18"/>
      <c r="G5" s="17"/>
      <c r="H5" s="17"/>
      <c r="I5" s="14"/>
      <c r="J5" s="14"/>
      <c r="K5" s="14"/>
      <c r="L5" s="14"/>
      <c r="M5" s="14"/>
      <c r="N5" s="14"/>
    </row>
    <row r="6">
      <c r="A6" s="15">
        <v>4</v>
      </c>
      <c r="B6" s="18" t="str">
        <v>营销费用源表-天猫-热浪引擎</v>
      </c>
      <c r="C6" s="16" t="str">
        <v>product_id</v>
      </c>
      <c r="D6" s="18" t="str">
        <v>商品ID</v>
      </c>
      <c r="E6" s="16" t="str">
        <v>INT</v>
      </c>
      <c r="F6" s="18"/>
      <c r="G6" s="17"/>
      <c r="H6" s="17"/>
      <c r="I6" s="14"/>
      <c r="J6" s="14"/>
      <c r="K6" s="14"/>
      <c r="L6" s="14"/>
      <c r="M6" s="14"/>
      <c r="N6" s="14"/>
    </row>
    <row r="7">
      <c r="A7" s="15">
        <v>5</v>
      </c>
      <c r="B7" s="18" t="str">
        <v>营销费用源表-天猫-热浪引擎</v>
      </c>
      <c r="C7" s="16" t="str">
        <v>talent_nickname</v>
      </c>
      <c r="D7" s="18" t="str">
        <v>达人昵称</v>
      </c>
      <c r="E7" s="16" t="str">
        <v>VARCHAR(50)</v>
      </c>
      <c r="F7" s="18"/>
      <c r="G7" s="17"/>
      <c r="H7" s="17"/>
      <c r="I7" s="14"/>
      <c r="J7" s="14"/>
      <c r="K7" s="14"/>
      <c r="L7" s="14"/>
      <c r="M7" s="14"/>
      <c r="N7" s="14"/>
    </row>
    <row r="8">
      <c r="A8" s="15">
        <v>6</v>
      </c>
      <c r="B8" s="18" t="str">
        <v>营销费用源表-天猫-热浪引擎</v>
      </c>
      <c r="C8" s="16" t="str">
        <v>service_provider_name</v>
      </c>
      <c r="D8" s="18" t="str">
        <v>服务商名称</v>
      </c>
      <c r="E8" s="16" t="str">
        <v>VARCHAR(50)</v>
      </c>
      <c r="F8" s="18"/>
      <c r="G8" s="17"/>
      <c r="H8" s="17"/>
      <c r="I8" s="14"/>
      <c r="J8" s="14"/>
      <c r="K8" s="14"/>
      <c r="L8" s="14"/>
      <c r="M8" s="14"/>
      <c r="N8" s="14"/>
    </row>
    <row r="9">
      <c r="A9" s="15">
        <v>7</v>
      </c>
      <c r="B9" s="18" t="str">
        <v>营销费用源表-天猫-热浪引擎</v>
      </c>
      <c r="C9" s="16" t="str">
        <v>order_create_time</v>
      </c>
      <c r="D9" s="18" t="str">
        <v>订单创建时间</v>
      </c>
      <c r="E9" s="16" t="str">
        <v>DATETIME</v>
      </c>
      <c r="F9" s="18"/>
      <c r="G9" s="17"/>
      <c r="H9" s="17"/>
      <c r="I9" s="14"/>
      <c r="J9" s="14"/>
      <c r="K9" s="14"/>
      <c r="L9" s="14"/>
      <c r="M9" s="14"/>
      <c r="N9" s="14"/>
    </row>
    <row r="10">
      <c r="A10" s="15">
        <v>8</v>
      </c>
      <c r="B10" s="18" t="str">
        <v>营销费用源表-天猫-热浪引擎</v>
      </c>
      <c r="C10" s="16" t="str">
        <v>order_pay_time</v>
      </c>
      <c r="D10" s="18" t="str">
        <v>订单支付时间</v>
      </c>
      <c r="E10" s="16" t="str">
        <v>DATETIME</v>
      </c>
      <c r="F10" s="18"/>
      <c r="G10" s="17"/>
      <c r="H10" s="17"/>
      <c r="I10" s="14"/>
      <c r="J10" s="14"/>
      <c r="K10" s="14"/>
      <c r="L10" s="14"/>
      <c r="M10" s="14"/>
      <c r="N10" s="14"/>
    </row>
    <row r="11">
      <c r="A11" s="15">
        <v>9</v>
      </c>
      <c r="B11" s="18" t="str">
        <v>营销费用源表-天猫-热浪引擎</v>
      </c>
      <c r="C11" s="16" t="str">
        <v>order_complete_time</v>
      </c>
      <c r="D11" s="18" t="str">
        <v>订单完结时间</v>
      </c>
      <c r="E11" s="16" t="str">
        <v>DATETIME</v>
      </c>
      <c r="F11" s="18"/>
      <c r="G11" s="17"/>
      <c r="H11" s="17"/>
      <c r="I11" s="14"/>
      <c r="J11" s="14"/>
      <c r="K11" s="14"/>
      <c r="L11" s="14"/>
      <c r="M11" s="14"/>
      <c r="N11" s="14"/>
    </row>
    <row r="12">
      <c r="A12" s="15">
        <v>10</v>
      </c>
      <c r="B12" s="18" t="str">
        <v>营销费用源表-天猫-热浪引擎</v>
      </c>
      <c r="C12" s="16" t="str">
        <v>order_status</v>
      </c>
      <c r="D12" s="18" t="str">
        <v>订单状态</v>
      </c>
      <c r="E12" s="16" t="str">
        <v>VARCHAR(50)</v>
      </c>
      <c r="F12" s="18"/>
      <c r="G12" s="17"/>
      <c r="H12" s="17"/>
      <c r="I12" s="14"/>
      <c r="J12" s="14"/>
      <c r="K12" s="14"/>
      <c r="L12" s="14"/>
      <c r="M12" s="14"/>
      <c r="N12" s="14"/>
    </row>
    <row r="13">
      <c r="A13" s="15">
        <v>11</v>
      </c>
      <c r="B13" s="18" t="str">
        <v>营销费用源表-天猫-热浪引擎</v>
      </c>
      <c r="C13" s="16" t="str">
        <v>order_actual_payment</v>
      </c>
      <c r="D13" s="18" t="str">
        <v>订单实付金额</v>
      </c>
      <c r="E13" s="16" t="str">
        <v>DECIMAL(30, 8)</v>
      </c>
      <c r="F13" s="18"/>
      <c r="G13" s="17"/>
      <c r="H13" s="17"/>
      <c r="I13" s="14"/>
      <c r="J13" s="14"/>
      <c r="K13" s="14"/>
      <c r="L13" s="14"/>
      <c r="M13" s="14"/>
      <c r="N13" s="14"/>
    </row>
    <row r="14">
      <c r="A14" s="15">
        <v>12</v>
      </c>
      <c r="B14" s="18" t="str">
        <v>营销费用源表-天猫-热浪引擎</v>
      </c>
      <c r="C14" s="16" t="str">
        <v>order_refund_amount</v>
      </c>
      <c r="D14" s="18" t="str">
        <v>订单退款金额</v>
      </c>
      <c r="E14" s="16" t="str">
        <v>VARCHAR(50)</v>
      </c>
      <c r="F14" s="18"/>
      <c r="G14" s="17"/>
      <c r="H14" s="17"/>
      <c r="I14" s="14"/>
      <c r="J14" s="14"/>
      <c r="K14" s="14"/>
      <c r="L14" s="14"/>
      <c r="M14" s="14"/>
      <c r="N14" s="14"/>
    </row>
    <row r="15">
      <c r="A15" s="15">
        <v>13</v>
      </c>
      <c r="B15" s="18" t="str">
        <v>营销费用源表-天猫-热浪引擎</v>
      </c>
      <c r="C15" s="16" t="str">
        <v>order_commission_amount</v>
      </c>
      <c r="D15" s="18" t="str">
        <v>订单计佣金额</v>
      </c>
      <c r="E15" s="16" t="str">
        <v>DECIMAL(30, 8)</v>
      </c>
      <c r="F15" s="18"/>
      <c r="G15" s="17"/>
      <c r="H15" s="17"/>
      <c r="I15" s="14"/>
      <c r="J15" s="14"/>
      <c r="K15" s="14"/>
      <c r="L15" s="14"/>
      <c r="M15" s="14"/>
      <c r="N15" s="14"/>
    </row>
    <row r="16">
      <c r="A16" s="15">
        <v>14</v>
      </c>
      <c r="B16" s="18" t="str">
        <v>营销费用源表-天猫-热浪引擎</v>
      </c>
      <c r="C16" s="16" t="str">
        <v>estimated_commission</v>
      </c>
      <c r="D16" s="18" t="str">
        <v>预估佣金</v>
      </c>
      <c r="E16" s="16" t="str">
        <v>DECIMAL(30, 8)</v>
      </c>
      <c r="F16" s="18"/>
      <c r="G16" s="17"/>
      <c r="H16" s="17"/>
      <c r="I16" s="14"/>
      <c r="J16" s="14"/>
      <c r="K16" s="14"/>
      <c r="L16" s="14"/>
      <c r="M16" s="14"/>
      <c r="N16" s="14"/>
    </row>
    <row r="17">
      <c r="A17" s="15">
        <v>15</v>
      </c>
      <c r="B17" s="18" t="str">
        <v>营销费用源表-天猫-热浪引擎</v>
      </c>
      <c r="C17" s="16" t="str">
        <v>remarks</v>
      </c>
      <c r="D17" s="18" t="str">
        <v>备注</v>
      </c>
      <c r="E17" s="16" t="str">
        <v>TEXT</v>
      </c>
      <c r="F17" s="18"/>
      <c r="G17" s="17"/>
      <c r="H17" s="17"/>
      <c r="I17" s="14"/>
      <c r="J17" s="14"/>
      <c r="K17" s="14"/>
      <c r="L17" s="14"/>
      <c r="M17" s="14"/>
      <c r="N17" s="14"/>
    </row>
  </sheetData>
  <mergeCells>
    <mergeCell ref="I1:N1"/>
    <mergeCell ref="A1:H1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7" t="str">
        <v>数据模型属性定义</v>
      </c>
      <c r="B1" s="7"/>
      <c r="C1" s="7"/>
      <c r="D1" s="7"/>
      <c r="E1" s="7"/>
      <c r="F1" s="7"/>
      <c r="G1" s="7"/>
      <c r="H1" s="7"/>
      <c r="I1" s="8" t="str">
        <v>系统溯源分析</v>
      </c>
      <c r="J1" s="8"/>
      <c r="K1" s="8"/>
      <c r="L1" s="8"/>
      <c r="M1" s="8"/>
      <c r="N1" s="8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15">
        <v>1</v>
      </c>
      <c r="B3" s="23" t="str">
        <v>营销费用源表-天猫-UD信息流</v>
      </c>
      <c r="C3" s="25" t="str">
        <v>account</v>
      </c>
      <c r="D3" s="26" t="str">
        <v>账户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15">
        <v>2</v>
      </c>
      <c r="B4" s="23" t="str">
        <v>营销费用源表-天猫-UD信息流</v>
      </c>
      <c r="C4" s="25" t="str">
        <v>cost_date</v>
      </c>
      <c r="D4" s="26" t="str">
        <v>日期</v>
      </c>
      <c r="E4" s="23" t="str">
        <v>STRING</v>
      </c>
      <c r="F4" s="23">
        <f>CONCAT(",",C4,"   ",E4,"   COMMENT'", D4,"'" )</f>
      </c>
      <c r="G4" s="17"/>
      <c r="H4" s="17"/>
      <c r="I4" s="24"/>
      <c r="J4" s="24"/>
      <c r="K4" s="24"/>
      <c r="L4" s="24"/>
      <c r="M4" s="24"/>
      <c r="N4" s="24"/>
    </row>
    <row r="5">
      <c r="A5" s="15">
        <v>3</v>
      </c>
      <c r="B5" s="23" t="str">
        <v>营销费用源表-天猫-UD信息流</v>
      </c>
      <c r="C5" s="25" t="str">
        <v>cost_amount</v>
      </c>
      <c r="D5" s="26" t="str">
        <v>消耗</v>
      </c>
      <c r="E5" s="16" t="str">
        <v>DECIMAL(30, 8)</v>
      </c>
      <c r="F5" s="23">
        <f>CONCAT(",",C5,"   ",E5,"   COMMENT'", D5,"'" )</f>
      </c>
      <c r="G5" s="17"/>
      <c r="H5" s="17"/>
      <c r="I5" s="24"/>
      <c r="J5" s="24"/>
      <c r="K5" s="24"/>
      <c r="L5" s="24"/>
      <c r="M5" s="24"/>
      <c r="N5" s="24"/>
    </row>
    <row r="6">
      <c r="A6" s="15">
        <v>4</v>
      </c>
      <c r="B6" s="23" t="str">
        <v>营销费用源表-天猫-UD信息流</v>
      </c>
      <c r="C6" s="25" t="str">
        <v>impressions</v>
      </c>
      <c r="D6" s="26" t="str">
        <v>展现量</v>
      </c>
      <c r="E6" s="23" t="str">
        <v>STRING</v>
      </c>
      <c r="F6" s="23">
        <f>CONCAT(",",C6,"   ",E6,"   COMMENT'", D6,"'" )</f>
      </c>
      <c r="G6" s="17"/>
      <c r="H6" s="17"/>
      <c r="I6" s="24"/>
      <c r="J6" s="24"/>
      <c r="K6" s="24"/>
      <c r="L6" s="24"/>
      <c r="M6" s="24"/>
      <c r="N6" s="24"/>
    </row>
    <row r="7">
      <c r="A7" s="15">
        <v>5</v>
      </c>
      <c r="B7" s="23" t="str">
        <v>营销费用源表-天猫-UD信息流</v>
      </c>
      <c r="C7" s="25" t="str">
        <v>cpm</v>
      </c>
      <c r="D7" s="26" t="str">
        <v>千次展现成本</v>
      </c>
      <c r="E7" s="23" t="str">
        <v>STRING</v>
      </c>
      <c r="F7" s="23">
        <f>CONCAT(",",C7,"   ",E7,"   COMMENT'", D7,"'" )</f>
      </c>
      <c r="G7" s="17"/>
      <c r="H7" s="17"/>
      <c r="I7" s="24"/>
      <c r="J7" s="24"/>
      <c r="K7" s="24"/>
      <c r="L7" s="24"/>
      <c r="M7" s="24"/>
      <c r="N7" s="24"/>
    </row>
    <row r="8">
      <c r="A8" s="15">
        <v>6</v>
      </c>
      <c r="B8" s="23" t="str">
        <v>营销费用源表-天猫-UD信息流</v>
      </c>
      <c r="C8" s="25" t="str">
        <v>clicks</v>
      </c>
      <c r="D8" s="26" t="str">
        <v>点击量</v>
      </c>
      <c r="E8" s="23" t="str">
        <v>STRING</v>
      </c>
      <c r="F8" s="23">
        <f>CONCAT(",",C8,"   ",E8,"   COMMENT'", D8,"'" )</f>
      </c>
      <c r="G8" s="17"/>
      <c r="H8" s="17"/>
      <c r="I8" s="24"/>
      <c r="J8" s="24"/>
      <c r="K8" s="24"/>
      <c r="L8" s="24"/>
      <c r="M8" s="24"/>
      <c r="N8" s="24"/>
    </row>
    <row r="9">
      <c r="A9" s="15">
        <v>7</v>
      </c>
      <c r="B9" s="23" t="str">
        <v>营销费用源表-天猫-UD信息流</v>
      </c>
      <c r="C9" s="25" t="str">
        <v>ctr</v>
      </c>
      <c r="D9" s="26" t="str">
        <v>点击率</v>
      </c>
      <c r="E9" s="23" t="str">
        <v>STRING</v>
      </c>
      <c r="F9" s="23">
        <f>CONCAT(",",C9,"   ",E9,"   COMMENT'", D9,"'" )</f>
      </c>
      <c r="G9" s="17"/>
      <c r="H9" s="17"/>
      <c r="I9" s="24"/>
      <c r="J9" s="24"/>
      <c r="K9" s="24"/>
      <c r="L9" s="24"/>
      <c r="M9" s="24"/>
      <c r="N9" s="24"/>
    </row>
    <row r="10">
      <c r="A10" s="15">
        <v>8</v>
      </c>
      <c r="B10" s="23" t="str">
        <v>营销费用源表-天猫-UD信息流</v>
      </c>
      <c r="C10" s="25" t="str">
        <v>cpc</v>
      </c>
      <c r="D10" s="26" t="str">
        <v>点击单价</v>
      </c>
      <c r="E10" s="16" t="str">
        <v>DECIMAL(30, 8)</v>
      </c>
      <c r="F10" s="23">
        <f>CONCAT(",",C10,"   ",E10,"   COMMENT'", D10,"'" )</f>
      </c>
      <c r="G10" s="17"/>
      <c r="H10" s="17"/>
      <c r="I10" s="24"/>
      <c r="J10" s="24"/>
      <c r="K10" s="24"/>
      <c r="L10" s="24"/>
      <c r="M10" s="24"/>
      <c r="N10" s="24"/>
    </row>
    <row r="11">
      <c r="A11" s="15">
        <v>9</v>
      </c>
      <c r="B11" s="23" t="str">
        <v>营销费用源表-天猫-UD信息流</v>
      </c>
      <c r="C11" s="25" t="str">
        <v>likes</v>
      </c>
      <c r="D11" s="26" t="str">
        <v>点赞数</v>
      </c>
      <c r="E11" s="23" t="str">
        <v>STRING</v>
      </c>
      <c r="F11" s="23">
        <f>CONCAT(",",C11,"   ",E11,"   COMMENT'", D11,"'" )</f>
      </c>
      <c r="G11" s="17"/>
      <c r="H11" s="17"/>
      <c r="I11" s="24"/>
      <c r="J11" s="24"/>
      <c r="K11" s="24"/>
      <c r="L11" s="24"/>
      <c r="M11" s="24"/>
      <c r="N11" s="24"/>
    </row>
    <row r="12">
      <c r="A12" s="15">
        <v>10</v>
      </c>
      <c r="B12" s="23" t="str">
        <v>营销费用源表-天猫-UD信息流</v>
      </c>
      <c r="C12" s="25" t="str">
        <v>shares</v>
      </c>
      <c r="D12" s="26" t="str">
        <v>分享数</v>
      </c>
      <c r="E12" s="23" t="str">
        <v>STRING</v>
      </c>
      <c r="F12" s="23">
        <f>CONCAT(",",C12,"   ",E12,"   COMMENT'", D12,"'" )</f>
      </c>
      <c r="G12" s="17"/>
      <c r="H12" s="17"/>
      <c r="I12" s="24"/>
      <c r="J12" s="24"/>
      <c r="K12" s="24"/>
      <c r="L12" s="24"/>
      <c r="M12" s="24"/>
      <c r="N12" s="24"/>
    </row>
    <row r="13">
      <c r="A13" s="15">
        <v>11</v>
      </c>
      <c r="B13" s="23" t="str">
        <v>营销费用源表-天猫-UD信息流</v>
      </c>
      <c r="C13" s="25" t="str">
        <v>views</v>
      </c>
      <c r="D13" s="26" t="str">
        <v>播放数</v>
      </c>
      <c r="E13" s="23" t="str">
        <v>STRING</v>
      </c>
      <c r="F13" s="23">
        <f>CONCAT(",",C13,"   ",E13,"   COMMENT'", D13,"'" )</f>
      </c>
      <c r="G13" s="17"/>
      <c r="H13" s="17"/>
      <c r="I13" s="24"/>
      <c r="J13" s="24"/>
      <c r="K13" s="24"/>
      <c r="L13" s="24"/>
      <c r="M13" s="24"/>
      <c r="N13" s="24"/>
    </row>
    <row r="14">
      <c r="A14" s="15">
        <v>12</v>
      </c>
      <c r="B14" s="23" t="str">
        <v>营销费用源表-天猫-UD信息流</v>
      </c>
      <c r="C14" s="25" t="str">
        <v>valid_views</v>
      </c>
      <c r="D14" s="26" t="str">
        <v>有效播放数</v>
      </c>
      <c r="E14" s="23" t="str">
        <v>STRING</v>
      </c>
      <c r="F14" s="23">
        <f>CONCAT(",",C14,"   ",E14,"   COMMENT'", D14,"'" )</f>
      </c>
      <c r="G14" s="17"/>
      <c r="H14" s="17"/>
      <c r="I14" s="24"/>
      <c r="J14" s="24"/>
      <c r="K14" s="24"/>
      <c r="L14" s="24"/>
      <c r="M14" s="24"/>
      <c r="N14" s="24"/>
    </row>
    <row r="15">
      <c r="A15" s="15">
        <v>13</v>
      </c>
      <c r="B15" s="23" t="str">
        <v>营销费用源表-天猫-UD信息流</v>
      </c>
      <c r="C15" s="25" t="str">
        <v>valid_view_rate</v>
      </c>
      <c r="D15" s="26" t="str">
        <v>有效播放率</v>
      </c>
      <c r="E15" s="23" t="str">
        <v>STRING</v>
      </c>
      <c r="F15" s="23">
        <f>CONCAT(",",C15,"   ",E15,"   COMMENT'", D15,"'" )</f>
      </c>
      <c r="G15" s="17"/>
      <c r="H15" s="17"/>
      <c r="I15" s="24"/>
      <c r="J15" s="24"/>
      <c r="K15" s="24"/>
      <c r="L15" s="24"/>
      <c r="M15" s="24"/>
      <c r="N15" s="24"/>
    </row>
    <row r="16">
      <c r="A16" s="15">
        <v>14</v>
      </c>
      <c r="B16" s="23" t="str">
        <v>营销费用源表-天猫-UD信息流</v>
      </c>
      <c r="C16" s="25" t="str">
        <v>valid_view_cost</v>
      </c>
      <c r="D16" s="26" t="str">
        <v>有效播放成本</v>
      </c>
      <c r="E16" s="16" t="str">
        <v>DECIMAL(30, 8)</v>
      </c>
      <c r="F16" s="23">
        <f>CONCAT(",",C16,"   ",E16,"   COMMENT'", D16,"'" )</f>
      </c>
      <c r="G16" s="17"/>
      <c r="H16" s="17"/>
      <c r="I16" s="24"/>
      <c r="J16" s="24"/>
      <c r="K16" s="24"/>
      <c r="L16" s="24"/>
      <c r="M16" s="24"/>
      <c r="N16" s="24"/>
    </row>
    <row r="17">
      <c r="A17" s="15">
        <v>15</v>
      </c>
      <c r="B17" s="23" t="str">
        <v>营销费用源表-天猫-UD信息流</v>
      </c>
      <c r="C17" s="25" t="str">
        <v>view_25</v>
      </c>
      <c r="D17" s="26" t="str">
        <v>25%进度播放数</v>
      </c>
      <c r="E17" s="16" t="str">
        <v>DECIMAL(30, 8)</v>
      </c>
      <c r="F17" s="23">
        <f>CONCAT(",",C17,"   ",E17,"   COMMENT'", D17,"'" )</f>
      </c>
      <c r="G17" s="17"/>
      <c r="H17" s="17"/>
      <c r="I17" s="24"/>
      <c r="J17" s="24"/>
      <c r="K17" s="24"/>
      <c r="L17" s="24"/>
      <c r="M17" s="24"/>
      <c r="N17" s="24"/>
    </row>
    <row r="18">
      <c r="A18" s="15">
        <v>16</v>
      </c>
      <c r="B18" s="23" t="str">
        <v>营销费用源表-天猫-UD信息流</v>
      </c>
      <c r="C18" s="25" t="str">
        <v>view_50</v>
      </c>
      <c r="D18" s="26" t="str">
        <v>50%进度播放数</v>
      </c>
      <c r="E18" s="16" t="str">
        <v>DECIMAL(30, 8)</v>
      </c>
      <c r="F18" s="23">
        <f>CONCAT(",",C18,"   ",E18,"   COMMENT'", D18,"'" )</f>
      </c>
      <c r="G18" s="17"/>
      <c r="H18" s="17"/>
      <c r="I18" s="24"/>
      <c r="J18" s="24"/>
      <c r="K18" s="24"/>
      <c r="L18" s="24"/>
      <c r="M18" s="24"/>
      <c r="N18" s="24"/>
    </row>
    <row r="19">
      <c r="A19" s="15">
        <v>17</v>
      </c>
      <c r="B19" s="23" t="str">
        <v>营销费用源表-天猫-UD信息流</v>
      </c>
      <c r="C19" s="25" t="str">
        <v>view_75</v>
      </c>
      <c r="D19" s="26" t="str">
        <v>75%进度播放数</v>
      </c>
      <c r="E19" s="16" t="str">
        <v>DECIMAL(30, 8)</v>
      </c>
      <c r="F19" s="23">
        <f>CONCAT(",",C19,"   ",E19,"   COMMENT'", D19,"'" )</f>
      </c>
      <c r="G19" s="17"/>
      <c r="H19" s="17"/>
      <c r="I19" s="24"/>
      <c r="J19" s="24"/>
      <c r="K19" s="24"/>
      <c r="L19" s="24"/>
      <c r="M19" s="24"/>
      <c r="N19" s="24"/>
    </row>
    <row r="20">
      <c r="A20" s="15">
        <v>18</v>
      </c>
      <c r="B20" s="23" t="str">
        <v>营销费用源表-天猫-UD信息流</v>
      </c>
      <c r="C20" s="25" t="str">
        <v>view_99</v>
      </c>
      <c r="D20" s="26" t="str">
        <v>99%进度播放数</v>
      </c>
      <c r="E20" s="16" t="str">
        <v>DECIMAL(30, 8)</v>
      </c>
      <c r="F20" s="23">
        <f>CONCAT(",",C20,"   ",E20,"   COMMENT'", D20,"'" )</f>
      </c>
      <c r="G20" s="17"/>
      <c r="H20" s="17"/>
      <c r="I20" s="24"/>
      <c r="J20" s="24"/>
      <c r="K20" s="24"/>
      <c r="L20" s="24"/>
      <c r="M20" s="24"/>
      <c r="N20" s="24"/>
    </row>
    <row r="21">
      <c r="A21" s="15">
        <v>19</v>
      </c>
      <c r="B21" s="23" t="str">
        <v>营销费用源表-天猫-UD信息流</v>
      </c>
      <c r="C21" s="25" t="str">
        <v>complete_views</v>
      </c>
      <c r="D21" s="26" t="str">
        <v>播完数</v>
      </c>
      <c r="E21" s="16" t="str">
        <v>DECIMAL(30, 8)</v>
      </c>
      <c r="F21" s="23">
        <f>CONCAT(",",C21,"   ",E21,"   COMMENT'", D21,"'" )</f>
      </c>
      <c r="G21" s="17"/>
      <c r="H21" s="17"/>
      <c r="I21" s="24"/>
      <c r="J21" s="24"/>
      <c r="K21" s="24"/>
      <c r="L21" s="24"/>
      <c r="M21" s="24"/>
      <c r="N21" s="24"/>
    </row>
    <row r="22">
      <c r="A22" s="15">
        <v>20</v>
      </c>
      <c r="B22" s="23" t="str">
        <v>营销费用源表-天猫-UD信息流</v>
      </c>
      <c r="C22" s="25" t="str">
        <v>complete_view_rate</v>
      </c>
      <c r="D22" s="26" t="str">
        <v>播完率</v>
      </c>
      <c r="E22" s="23" t="str">
        <v>STRING</v>
      </c>
      <c r="F22" s="23">
        <f>CONCAT(",",C22,"   ",E22,"   COMMENT'", D22,"'" )</f>
      </c>
      <c r="G22" s="17"/>
      <c r="H22" s="17"/>
      <c r="I22" s="24"/>
      <c r="J22" s="24"/>
      <c r="K22" s="24"/>
      <c r="L22" s="24"/>
      <c r="M22" s="24"/>
      <c r="N22" s="24"/>
    </row>
    <row r="23">
      <c r="A23" s="15">
        <v>21</v>
      </c>
      <c r="B23" s="23" t="str">
        <v>营销费用源表-天猫-UD信息流</v>
      </c>
      <c r="C23" s="25" t="str">
        <v>avg_view_time</v>
      </c>
      <c r="D23" s="26" t="str">
        <v>平均单次播放时长</v>
      </c>
      <c r="E23" s="23" t="str">
        <v>STRING</v>
      </c>
      <c r="F23" s="23">
        <f>CONCAT(",",C23,"   ",E23,"   COMMENT'", D23,"'" )</f>
      </c>
      <c r="G23" s="17"/>
      <c r="H23" s="17"/>
      <c r="I23" s="24"/>
      <c r="J23" s="24"/>
      <c r="K23" s="24"/>
      <c r="L23" s="24"/>
      <c r="M23" s="24"/>
      <c r="N23" s="24"/>
    </row>
    <row r="24">
      <c r="A24" s="15">
        <v>22</v>
      </c>
      <c r="B24" s="23" t="str">
        <v>营销费用源表-天猫-UD信息流</v>
      </c>
      <c r="C24" s="25" t="str">
        <v>wifi_ratio</v>
      </c>
      <c r="D24" s="26" t="str">
        <v>WiFi播放占比</v>
      </c>
      <c r="E24" s="23" t="str">
        <v>STRING</v>
      </c>
      <c r="F24" s="23">
        <f>CONCAT(",",C24,"   ",E24,"   COMMENT'", D24,"'" )</f>
      </c>
      <c r="G24" s="17"/>
      <c r="H24" s="17"/>
      <c r="I24" s="24"/>
      <c r="J24" s="24"/>
      <c r="K24" s="24"/>
      <c r="L24" s="24"/>
      <c r="M24" s="24"/>
      <c r="N24" s="24"/>
    </row>
    <row r="25">
      <c r="A25" s="15">
        <v>23</v>
      </c>
      <c r="B25" s="23" t="str">
        <v>营销费用源表-天猫-UD信息流</v>
      </c>
      <c r="C25" s="25" t="str">
        <v>conversions</v>
      </c>
      <c r="D25" s="26" t="str">
        <v>转化数</v>
      </c>
      <c r="E25" s="23" t="str">
        <v>STRING</v>
      </c>
      <c r="F25" s="23">
        <f>CONCAT(",",C25,"   ",E25,"   COMMENT'", D25,"'" )</f>
      </c>
      <c r="G25" s="17"/>
      <c r="H25" s="17"/>
      <c r="I25" s="24"/>
      <c r="J25" s="24"/>
      <c r="K25" s="24"/>
      <c r="L25" s="24"/>
      <c r="M25" s="24"/>
      <c r="N25" s="24"/>
    </row>
    <row r="26">
      <c r="A26" s="15">
        <v>24</v>
      </c>
      <c r="B26" s="23" t="str">
        <v>营销费用源表-天猫-UD信息流</v>
      </c>
      <c r="C26" s="25" t="str">
        <v>conversion_rate</v>
      </c>
      <c r="D26" s="26" t="str">
        <v>转化率</v>
      </c>
      <c r="E26" s="23" t="str">
        <v>STRING</v>
      </c>
      <c r="F26" s="23">
        <f>CONCAT(",",C26,"   ",E26,"   COMMENT'", D26,"'" )</f>
      </c>
      <c r="G26" s="17"/>
      <c r="H26" s="17"/>
      <c r="I26" s="24"/>
      <c r="J26" s="24"/>
      <c r="K26" s="24"/>
      <c r="L26" s="24"/>
      <c r="M26" s="24"/>
      <c r="N26" s="24"/>
    </row>
    <row r="27">
      <c r="A27" s="15">
        <v>25</v>
      </c>
      <c r="B27" s="23" t="str">
        <v>营销费用源表-天猫-UD信息流</v>
      </c>
      <c r="C27" s="25" t="str">
        <v>conversion_cost</v>
      </c>
      <c r="D27" s="26" t="str">
        <v>转化成本</v>
      </c>
      <c r="E27" s="23" t="str">
        <v>STRING</v>
      </c>
      <c r="F27" s="23">
        <f>CONCAT(",",C27,"   ",E27,"   COMMENT'", D27,"'" )</f>
      </c>
      <c r="G27" s="17"/>
      <c r="H27" s="17"/>
      <c r="I27" s="24"/>
      <c r="J27" s="24"/>
      <c r="K27" s="24"/>
      <c r="L27" s="24"/>
      <c r="M27" s="24"/>
      <c r="N27" s="24"/>
    </row>
    <row r="28">
      <c r="A28" s="15">
        <v>26</v>
      </c>
      <c r="B28" s="23" t="str">
        <v>营销费用源表-天猫-UD信息流</v>
      </c>
      <c r="C28" s="25" t="str">
        <v>orders_submit</v>
      </c>
      <c r="D28" s="26" t="str">
        <v>拍下订单量</v>
      </c>
      <c r="E28" s="23" t="str">
        <v>STRING</v>
      </c>
      <c r="F28" s="23">
        <f>CONCAT(",",C28,"   ",E28,"   COMMENT'", D28,"'" )</f>
      </c>
      <c r="G28" s="17"/>
      <c r="H28" s="17"/>
      <c r="I28" s="24"/>
      <c r="J28" s="24"/>
      <c r="K28" s="24"/>
      <c r="L28" s="24"/>
      <c r="M28" s="24"/>
      <c r="N28" s="24"/>
    </row>
    <row r="29">
      <c r="A29" s="15">
        <v>27</v>
      </c>
      <c r="B29" s="23" t="str">
        <v>营销费用源表-天猫-UD信息流</v>
      </c>
      <c r="C29" s="25" t="str">
        <v>orders_submit_amount</v>
      </c>
      <c r="D29" s="26" t="str">
        <v>拍下订单金额</v>
      </c>
      <c r="E29" s="16" t="str">
        <v>DECIMAL(30, 8)</v>
      </c>
      <c r="F29" s="23">
        <f>CONCAT(",",C29,"   ",E29,"   COMMENT'", D29,"'" )</f>
      </c>
      <c r="G29" s="17"/>
      <c r="H29" s="17"/>
      <c r="I29" s="24"/>
      <c r="J29" s="24"/>
      <c r="K29" s="24"/>
      <c r="L29" s="24"/>
      <c r="M29" s="24"/>
      <c r="N29" s="24"/>
    </row>
    <row r="30">
      <c r="A30" s="15">
        <v>28</v>
      </c>
      <c r="B30" s="23" t="str">
        <v>营销费用源表-天猫-UD信息流</v>
      </c>
      <c r="C30" s="25" t="str">
        <v>orders_pay</v>
      </c>
      <c r="D30" s="26" t="str">
        <v>成交订单量</v>
      </c>
      <c r="E30" s="16" t="str">
        <v>DECIMAL(30, 8)</v>
      </c>
      <c r="F30" s="23">
        <f>CONCAT(",",C30,"   ",E30,"   COMMENT'", D30,"'" )</f>
      </c>
      <c r="G30" s="17"/>
      <c r="H30" s="17"/>
      <c r="I30" s="24"/>
      <c r="J30" s="24"/>
      <c r="K30" s="24"/>
      <c r="L30" s="24"/>
      <c r="M30" s="24"/>
      <c r="N30" s="24"/>
    </row>
    <row r="31">
      <c r="A31" s="15">
        <v>29</v>
      </c>
      <c r="B31" s="23" t="str">
        <v>营销费用源表-天猫-UD信息流</v>
      </c>
      <c r="C31" s="25" t="str">
        <v>orders_pay_amount</v>
      </c>
      <c r="D31" s="26" t="str">
        <v>成交订单金额</v>
      </c>
      <c r="E31" s="16" t="str">
        <v>DECIMAL(30, 8)</v>
      </c>
      <c r="F31" s="23">
        <f>CONCAT(",",C31,"   ",E31,"   COMMENT'", D31,"'" )</f>
      </c>
      <c r="G31" s="17"/>
      <c r="H31" s="17"/>
      <c r="I31" s="24"/>
      <c r="J31" s="24"/>
      <c r="K31" s="24"/>
      <c r="L31" s="24"/>
      <c r="M31" s="24"/>
      <c r="N31" s="24"/>
    </row>
    <row r="32">
      <c r="A32" s="15">
        <v>30</v>
      </c>
      <c r="B32" s="23" t="str">
        <v>营销费用源表-天猫-UD信息流</v>
      </c>
      <c r="C32" s="25" t="str">
        <v>collect_shop</v>
      </c>
      <c r="D32" s="26" t="str">
        <v>收藏店铺量</v>
      </c>
      <c r="E32" s="23" t="str">
        <v>STRING</v>
      </c>
      <c r="F32" s="23">
        <f>CONCAT(",",C32,"   ",E32,"   COMMENT'", D32,"'" )</f>
      </c>
      <c r="G32" s="17"/>
      <c r="H32" s="17"/>
      <c r="I32" s="24"/>
      <c r="J32" s="24"/>
      <c r="K32" s="24"/>
      <c r="L32" s="24"/>
      <c r="M32" s="24"/>
      <c r="N32" s="24"/>
    </row>
    <row r="33">
      <c r="A33" s="15">
        <v>31</v>
      </c>
      <c r="B33" s="23" t="str">
        <v>营销费用源表-天猫-UD信息流</v>
      </c>
      <c r="C33" s="25" t="str">
        <v>collect_goods</v>
      </c>
      <c r="D33" s="26" t="str">
        <v>收藏宝贝量</v>
      </c>
      <c r="E33" s="23" t="str">
        <v>STRING</v>
      </c>
      <c r="F33" s="23">
        <f>CONCAT(",",C33,"   ",E33,"   COMMENT'", D33,"'" )</f>
      </c>
      <c r="G33" s="17"/>
      <c r="H33" s="17"/>
      <c r="I33" s="24"/>
      <c r="J33" s="24"/>
      <c r="K33" s="24"/>
      <c r="L33" s="24"/>
      <c r="M33" s="24"/>
      <c r="N33" s="24"/>
    </row>
    <row r="34">
      <c r="A34" s="15">
        <v>32</v>
      </c>
      <c r="B34" s="23" t="str">
        <v>营销费用源表-天猫-UD信息流</v>
      </c>
      <c r="C34" s="25" t="str">
        <v>add_cart</v>
      </c>
      <c r="D34" s="26" t="str">
        <v>添加购物车量</v>
      </c>
      <c r="E34" s="23" t="str">
        <v>STRING</v>
      </c>
      <c r="F34" s="23">
        <f>CONCAT(",",C34,"   ",E34,"   COMMENT'", D34,"'" )</f>
      </c>
      <c r="G34" s="17"/>
      <c r="H34" s="17"/>
      <c r="I34" s="24"/>
      <c r="J34" s="24"/>
      <c r="K34" s="24"/>
      <c r="L34" s="24"/>
      <c r="M34" s="24"/>
      <c r="N34" s="24"/>
    </row>
    <row r="35">
      <c r="A35" s="15">
        <v>33</v>
      </c>
      <c r="B35" s="23" t="str">
        <v>营销费用源表-天猫-UD信息流</v>
      </c>
      <c r="C35" s="25" t="str">
        <v>search_back</v>
      </c>
      <c r="D35" s="26" t="str">
        <v>回搜量</v>
      </c>
      <c r="E35" s="23" t="str">
        <v>STRING</v>
      </c>
      <c r="F35" s="23">
        <f>CONCAT(",",C35,"   ",E35,"   COMMENT'", D35,"'" )</f>
      </c>
      <c r="G35" s="17"/>
      <c r="H35" s="17"/>
      <c r="I35" s="24"/>
      <c r="J35" s="24"/>
      <c r="K35" s="24"/>
      <c r="L35" s="24"/>
      <c r="M35" s="24"/>
      <c r="N35" s="24"/>
    </row>
    <row r="36">
      <c r="A36" s="15">
        <v>34</v>
      </c>
      <c r="B36" s="23" t="str">
        <v>营销费用源表-天猫-UD信息流</v>
      </c>
      <c r="C36" s="25" t="str">
        <v>visit_back</v>
      </c>
      <c r="D36" s="26" t="str">
        <v>回访量</v>
      </c>
      <c r="E36" s="23" t="str">
        <v>STRING</v>
      </c>
      <c r="F36" s="23">
        <f>CONCAT(",",C36,"   ",E36,"   COMMENT'", D36,"'" )</f>
      </c>
      <c r="G36" s="17"/>
      <c r="H36" s="17"/>
      <c r="I36" s="24"/>
      <c r="J36" s="24"/>
      <c r="K36" s="24"/>
      <c r="L36" s="24"/>
      <c r="M36" s="24"/>
      <c r="N36" s="24"/>
    </row>
    <row r="37">
      <c r="A37" s="15">
        <v>35</v>
      </c>
      <c r="B37" s="23" t="str">
        <v>营销费用源表-天猫-UD信息流</v>
      </c>
      <c r="C37" s="25" t="str">
        <v>collect_cost</v>
      </c>
      <c r="D37" s="26" t="str">
        <v>收藏成本</v>
      </c>
      <c r="E37" s="23" t="str">
        <v>STRING</v>
      </c>
      <c r="F37" s="23">
        <f>CONCAT(",",C37,"   ",E37,"   COMMENT'", D37,"'" )</f>
      </c>
      <c r="G37" s="17"/>
      <c r="H37" s="17"/>
      <c r="I37" s="24"/>
      <c r="J37" s="24"/>
      <c r="K37" s="24"/>
      <c r="L37" s="24"/>
      <c r="M37" s="24"/>
      <c r="N37" s="24"/>
    </row>
    <row r="38">
      <c r="A38" s="15">
        <v>36</v>
      </c>
      <c r="B38" s="23" t="str">
        <v>营销费用源表-天猫-UD信息流</v>
      </c>
      <c r="C38" s="25" t="str">
        <v>add_cart_cost</v>
      </c>
      <c r="D38" s="26" t="str">
        <v>加购成本</v>
      </c>
      <c r="E38" s="23" t="str">
        <v>STRING</v>
      </c>
      <c r="F38" s="23">
        <f>CONCAT(",",C38,"   ",E38,"   COMMENT'", D38,"'" )</f>
      </c>
      <c r="G38" s="17"/>
      <c r="H38" s="17"/>
      <c r="I38" s="24"/>
      <c r="J38" s="24"/>
      <c r="K38" s="24"/>
      <c r="L38" s="24"/>
      <c r="M38" s="24"/>
      <c r="N38" s="24"/>
    </row>
    <row r="39">
      <c r="A39" s="15">
        <v>37</v>
      </c>
      <c r="B39" s="23" t="str">
        <v>营销费用源表-天猫-UD信息流</v>
      </c>
      <c r="C39" s="25" t="str">
        <v>search_back_cost</v>
      </c>
      <c r="D39" s="26" t="str">
        <v>回搜成本</v>
      </c>
      <c r="E39" s="23" t="str">
        <v>STRING</v>
      </c>
      <c r="F39" s="23">
        <f>CONCAT(",",C39,"   ",E39,"   COMMENT'", D39,"'" )</f>
      </c>
      <c r="G39" s="17"/>
      <c r="H39" s="17"/>
      <c r="I39" s="24"/>
      <c r="J39" s="24"/>
      <c r="K39" s="24"/>
      <c r="L39" s="24"/>
      <c r="M39" s="24"/>
      <c r="N39" s="24"/>
    </row>
    <row r="40">
      <c r="A40" s="15">
        <v>38</v>
      </c>
      <c r="B40" s="23" t="str">
        <v>营销费用源表-天猫-UD信息流</v>
      </c>
      <c r="C40" s="25" t="str">
        <v>visit_back_cost</v>
      </c>
      <c r="D40" s="26" t="str">
        <v>回访成本</v>
      </c>
      <c r="E40" s="23" t="str">
        <v>STRING</v>
      </c>
      <c r="F40" s="23">
        <f>CONCAT(",",C40,"   ",E40,"   COMMENT'", D40,"'" )</f>
      </c>
      <c r="G40" s="17"/>
      <c r="H40" s="17"/>
      <c r="I40" s="24"/>
      <c r="J40" s="24"/>
      <c r="K40" s="24"/>
      <c r="L40" s="24"/>
      <c r="M40" s="24"/>
      <c r="N40" s="24"/>
    </row>
    <row r="41">
      <c r="A41" s="15">
        <v>39</v>
      </c>
      <c r="B41" s="23" t="str">
        <v>营销费用源表-天猫-UD信息流</v>
      </c>
      <c r="C41" s="25" t="str">
        <v>roi</v>
      </c>
      <c r="D41" s="26" t="str">
        <v>投资回报率</v>
      </c>
      <c r="E41" s="23" t="str">
        <v>STRING</v>
      </c>
      <c r="F41" s="23">
        <f>CONCAT(",",C41,"   ",E41,"   COMMENT'", D41,"'" )</f>
      </c>
      <c r="G41" s="17"/>
      <c r="H41" s="17"/>
      <c r="I41" s="24"/>
      <c r="J41" s="24"/>
      <c r="K41" s="24"/>
      <c r="L41" s="24"/>
      <c r="M41" s="24"/>
      <c r="N41" s="24"/>
    </row>
    <row r="42">
      <c r="A42" s="15">
        <v>40</v>
      </c>
      <c r="B42" s="23" t="str">
        <v>营销费用源表-天猫-UD信息流</v>
      </c>
      <c r="C42" s="25" t="str">
        <v>deep_store_visits</v>
      </c>
      <c r="D42" s="26" t="str">
        <v>深度进店量</v>
      </c>
      <c r="E42" s="23" t="str">
        <v>STRING</v>
      </c>
      <c r="F42" s="23">
        <f>CONCAT(",",C42,"   ",E42,"   COMMENT'", D42,"'" )</f>
      </c>
      <c r="G42" s="17"/>
      <c r="H42" s="17"/>
      <c r="I42" s="24"/>
      <c r="J42" s="24"/>
      <c r="K42" s="24"/>
      <c r="L42" s="24"/>
      <c r="M42" s="24"/>
      <c r="N42" s="24"/>
    </row>
    <row r="43">
      <c r="A43" s="15">
        <v>41</v>
      </c>
      <c r="B43" s="23" t="str">
        <v>营销费用源表-天猫-UD信息流</v>
      </c>
      <c r="C43" s="25" t="str">
        <v>deep_visit_duration</v>
      </c>
      <c r="D43" s="26" t="str">
        <v>深度访问时长</v>
      </c>
      <c r="E43" s="23" t="str">
        <v>STRING</v>
      </c>
      <c r="F43" s="23">
        <f>CONCAT(",",C43,"   ",E43,"   COMMENT'", D43,"'" )</f>
      </c>
      <c r="G43" s="17"/>
      <c r="H43" s="17"/>
      <c r="I43" s="24"/>
      <c r="J43" s="24"/>
      <c r="K43" s="24"/>
      <c r="L43" s="24"/>
      <c r="M43" s="24"/>
      <c r="N43" s="24"/>
    </row>
    <row r="44">
      <c r="A44" s="15">
        <v>42</v>
      </c>
      <c r="B44" s="23" t="str">
        <v>营销费用源表-天猫-UD信息流</v>
      </c>
      <c r="C44" s="25" t="str">
        <v>deep_visit_pages</v>
      </c>
      <c r="D44" s="26" t="str">
        <v>深度访问页面数</v>
      </c>
      <c r="E44" s="23" t="str">
        <v>STRING</v>
      </c>
      <c r="F44" s="23">
        <f>CONCAT(",",C44,"   ",E44,"   COMMENT'", D44,"'" )</f>
      </c>
      <c r="G44" s="17"/>
      <c r="H44" s="17"/>
      <c r="I44" s="24"/>
      <c r="J44" s="24"/>
      <c r="K44" s="24"/>
      <c r="L44" s="24"/>
      <c r="M44" s="24"/>
      <c r="N44" s="24"/>
    </row>
    <row r="45">
      <c r="A45" s="15">
        <v>43</v>
      </c>
      <c r="B45" s="23" t="str">
        <v>营销费用源表-天猫-UD信息流</v>
      </c>
      <c r="C45" s="25" t="str">
        <v>presale_orders_submit</v>
      </c>
      <c r="D45" s="26" t="str">
        <v>预售订单量</v>
      </c>
      <c r="E45" s="23" t="str">
        <v>STRING</v>
      </c>
      <c r="F45" s="23">
        <f>CONCAT(",",C45,"   ",E45,"   COMMENT'", D45,"'" )</f>
      </c>
      <c r="G45" s="17"/>
      <c r="H45" s="17"/>
      <c r="I45" s="24"/>
      <c r="J45" s="24"/>
      <c r="K45" s="24"/>
      <c r="L45" s="24"/>
      <c r="M45" s="24"/>
      <c r="N45" s="24"/>
    </row>
    <row r="46">
      <c r="A46" s="15">
        <v>44</v>
      </c>
      <c r="B46" s="29" t="str">
        <v>营销费用源表-天猫-UD信息流</v>
      </c>
      <c r="C46" s="30" t="str">
        <v>presale_orders_submit_amount</v>
      </c>
      <c r="D46" s="26" t="str">
        <v>预售订单金额</v>
      </c>
      <c r="E46" s="16" t="str">
        <v>DECIMAL(30, 8)</v>
      </c>
      <c r="F46" s="23">
        <f>CONCAT(",",C46,"   ",E46,"   COMMENT'", D46,"'" )</f>
      </c>
      <c r="G46" s="17"/>
      <c r="H46" s="17"/>
      <c r="I46" s="24"/>
      <c r="J46" s="24"/>
      <c r="K46" s="24"/>
      <c r="L46" s="24"/>
      <c r="M46" s="24"/>
      <c r="N46" s="24"/>
    </row>
    <row r="47">
      <c r="A47" s="15">
        <v>45</v>
      </c>
      <c r="B47" s="23" t="str">
        <v>营销费用源表-天猫-UD信息流</v>
      </c>
      <c r="C47" s="25" t="str">
        <v>order_cost</v>
      </c>
      <c r="D47" s="26" t="str">
        <v>订单成本</v>
      </c>
      <c r="E47" s="16" t="str">
        <v>DECIMAL(30, 8)</v>
      </c>
      <c r="F47" s="23">
        <f>CONCAT(",",C47,"   ",E47,"   COMMENT'", D47,"'" )</f>
      </c>
      <c r="G47" s="17"/>
      <c r="H47" s="17"/>
      <c r="I47" s="24"/>
      <c r="J47" s="24"/>
      <c r="K47" s="24"/>
      <c r="L47" s="24"/>
      <c r="M47" s="24"/>
      <c r="N47" s="24"/>
    </row>
    <row r="48">
      <c r="A48" s="15">
        <v>46</v>
      </c>
      <c r="B48" s="23" t="str">
        <v>营销费用源表-天猫-UD信息流</v>
      </c>
      <c r="C48" s="25" t="str">
        <v>item_orders_pay</v>
      </c>
      <c r="D48" s="26" t="str">
        <v>单品成交订单量</v>
      </c>
      <c r="E48" s="16" t="str">
        <v>DECIMAL(30, 8)</v>
      </c>
      <c r="F48" s="23">
        <f>CONCAT(",",C48,"   ",E48,"   COMMENT'", D48,"'" )</f>
      </c>
      <c r="G48" s="17"/>
      <c r="H48" s="17"/>
      <c r="I48" s="24"/>
      <c r="J48" s="24"/>
      <c r="K48" s="24"/>
      <c r="L48" s="24"/>
      <c r="M48" s="24"/>
      <c r="N48" s="24"/>
    </row>
    <row r="49">
      <c r="A49" s="15">
        <v>47</v>
      </c>
      <c r="B49" s="23" t="str">
        <v>营销费用源表-天猫-UD信息流</v>
      </c>
      <c r="C49" s="25" t="str">
        <v>single_item_transaction_amount</v>
      </c>
      <c r="D49" s="26" t="str">
        <v>单品成交订单金额</v>
      </c>
      <c r="E49" s="16" t="str">
        <v>DECIMAL(30, 8)</v>
      </c>
      <c r="F49" s="23">
        <f>CONCAT(",",C49,"   ",E49,"   COMMENT'", D49,"'" )</f>
      </c>
      <c r="G49" s="17"/>
      <c r="H49" s="17"/>
      <c r="I49" s="24"/>
      <c r="J49" s="24"/>
      <c r="K49" s="24"/>
      <c r="L49" s="24"/>
      <c r="M49" s="24"/>
      <c r="N49" s="24"/>
    </row>
    <row r="50">
      <c r="A50" s="15">
        <v>48</v>
      </c>
      <c r="B50" s="23" t="str">
        <v>营销费用源表-天猫-UD信息流</v>
      </c>
      <c r="C50" s="25" t="str">
        <v>single_item_pre_order_quantity</v>
      </c>
      <c r="D50" s="26" t="str">
        <v>单品预售订单量</v>
      </c>
      <c r="E50" s="16" t="str">
        <v>DECIMAL(30, 8)</v>
      </c>
      <c r="F50" s="23">
        <f>CONCAT(",",C50,"   ",E50,"   COMMENT'", D50,"'" )</f>
      </c>
      <c r="G50" s="17"/>
      <c r="H50" s="17"/>
      <c r="I50" s="24"/>
      <c r="J50" s="24"/>
      <c r="K50" s="24"/>
      <c r="L50" s="24"/>
      <c r="M50" s="24"/>
      <c r="N50" s="24"/>
    </row>
    <row r="51">
      <c r="A51" s="15">
        <v>49</v>
      </c>
      <c r="B51" s="23" t="str">
        <v>营销费用源表-天猫-UD信息流</v>
      </c>
      <c r="C51" s="25" t="str">
        <v>single_item_pre_order_amount</v>
      </c>
      <c r="D51" s="26" t="str">
        <v>单品预售订单金额</v>
      </c>
      <c r="E51" s="16" t="str">
        <v>DECIMAL(30, 8)</v>
      </c>
      <c r="F51" s="23">
        <f>CONCAT(",",C51,"   ",E51,"   COMMENT'", D51,"'" )</f>
      </c>
      <c r="G51" s="17"/>
      <c r="H51" s="17"/>
      <c r="I51" s="24"/>
      <c r="J51" s="24"/>
      <c r="K51" s="24"/>
      <c r="L51" s="24"/>
      <c r="M51" s="24"/>
      <c r="N51" s="24"/>
    </row>
    <row r="52"/>
    <row r="53">
      <c r="A53" s="27"/>
      <c r="B53" s="27"/>
      <c r="C53" s="28"/>
    </row>
    <row r="54">
      <c r="A54" s="27"/>
      <c r="B54" s="27"/>
      <c r="C54" s="27"/>
      <c r="D54" s="28"/>
    </row>
    <row r="55">
      <c r="A55" s="27"/>
      <c r="B55" s="27"/>
      <c r="C55" s="27"/>
      <c r="D55" s="28"/>
    </row>
    <row r="56">
      <c r="A56" s="27"/>
      <c r="B56" s="27"/>
      <c r="C56" s="27"/>
      <c r="D56" s="28"/>
    </row>
    <row r="57">
      <c r="A57" s="27"/>
      <c r="B57" s="27"/>
      <c r="C57" s="27"/>
      <c r="D57" s="28"/>
    </row>
    <row r="58">
      <c r="A58" s="27"/>
      <c r="B58" s="27"/>
      <c r="C58" s="27"/>
      <c r="D58" s="28"/>
    </row>
    <row r="59">
      <c r="A59" s="27"/>
      <c r="B59" s="27"/>
      <c r="C59" s="27"/>
      <c r="D59" s="28"/>
    </row>
    <row r="60">
      <c r="A60" s="27"/>
      <c r="B60" s="27"/>
      <c r="C60" s="27"/>
      <c r="D60" s="28"/>
    </row>
    <row r="61">
      <c r="A61" s="27"/>
      <c r="B61" s="27"/>
      <c r="C61" s="27"/>
      <c r="D61" s="28"/>
    </row>
    <row r="62">
      <c r="A62" s="27"/>
      <c r="B62" s="27"/>
      <c r="C62" s="27"/>
      <c r="D62" s="28"/>
    </row>
    <row r="63">
      <c r="A63" s="27"/>
      <c r="B63" s="27"/>
      <c r="C63" s="27"/>
      <c r="D63" s="28"/>
    </row>
    <row r="64">
      <c r="A64" s="27"/>
      <c r="B64" s="27"/>
      <c r="C64" s="27"/>
      <c r="D64" s="28"/>
    </row>
    <row r="65">
      <c r="A65" s="27"/>
      <c r="B65" s="27"/>
      <c r="C65" s="27"/>
      <c r="D65" s="28"/>
    </row>
    <row r="66">
      <c r="A66" s="27"/>
      <c r="B66" s="27"/>
      <c r="C66" s="27"/>
      <c r="D66" s="28"/>
    </row>
    <row r="67">
      <c r="A67" s="27"/>
      <c r="B67" s="27"/>
      <c r="C67" s="27"/>
      <c r="D67" s="28"/>
    </row>
    <row r="68">
      <c r="A68" s="27"/>
      <c r="B68" s="27"/>
      <c r="C68" s="27"/>
      <c r="D68" s="28"/>
    </row>
    <row r="69">
      <c r="A69" s="27"/>
      <c r="B69" s="27"/>
      <c r="C69" s="27"/>
      <c r="D69" s="28"/>
    </row>
    <row r="70">
      <c r="A70" s="27"/>
      <c r="B70" s="27"/>
      <c r="C70" s="27"/>
      <c r="D70" s="28"/>
    </row>
    <row r="71">
      <c r="A71" s="27"/>
      <c r="B71" s="27"/>
      <c r="C71" s="27"/>
      <c r="D71" s="28"/>
    </row>
    <row r="72">
      <c r="A72" s="27"/>
      <c r="B72" s="27"/>
      <c r="C72" s="27"/>
      <c r="D72" s="28"/>
    </row>
    <row r="73">
      <c r="A73" s="27"/>
      <c r="B73" s="27"/>
      <c r="C73" s="27"/>
      <c r="D73" s="28"/>
    </row>
    <row r="74">
      <c r="A74" s="27"/>
      <c r="B74" s="27"/>
      <c r="C74" s="27"/>
      <c r="D74" s="28"/>
    </row>
    <row r="75">
      <c r="A75" s="27"/>
      <c r="B75" s="27"/>
      <c r="C75" s="27"/>
      <c r="D75" s="28"/>
    </row>
    <row r="76">
      <c r="A76" s="27"/>
      <c r="B76" s="27"/>
      <c r="C76" s="27"/>
      <c r="D76" s="28"/>
    </row>
    <row r="77">
      <c r="A77" s="27"/>
      <c r="B77" s="27"/>
      <c r="C77" s="27"/>
      <c r="D77" s="28"/>
    </row>
    <row r="78">
      <c r="A78" s="27"/>
      <c r="B78" s="27"/>
      <c r="C78" s="27"/>
      <c r="D78" s="28"/>
    </row>
    <row r="79">
      <c r="A79" s="27"/>
      <c r="B79" s="27"/>
      <c r="C79" s="27"/>
      <c r="D79" s="28"/>
    </row>
    <row r="80">
      <c r="A80" s="27"/>
      <c r="B80" s="27"/>
      <c r="C80" s="27"/>
      <c r="D80" s="28"/>
    </row>
    <row r="81">
      <c r="A81" s="27"/>
      <c r="B81" s="27"/>
      <c r="C81" s="27"/>
      <c r="D81" s="28"/>
    </row>
    <row r="82">
      <c r="A82" s="27"/>
      <c r="B82" s="27"/>
      <c r="C82" s="27"/>
      <c r="D82" s="28"/>
    </row>
    <row r="83">
      <c r="A83" s="27"/>
      <c r="B83" s="27"/>
      <c r="C83" s="27"/>
      <c r="D83" s="28"/>
    </row>
    <row r="84">
      <c r="A84" s="27"/>
      <c r="B84" s="27"/>
      <c r="C84" s="27"/>
      <c r="D84" s="28"/>
    </row>
    <row r="85">
      <c r="A85" s="27"/>
      <c r="B85" s="27"/>
      <c r="C85" s="27"/>
      <c r="D85" s="28"/>
    </row>
    <row r="86">
      <c r="A86" s="27"/>
      <c r="B86" s="27"/>
      <c r="C86" s="27"/>
      <c r="D86" s="28"/>
    </row>
    <row r="87">
      <c r="A87" s="27"/>
      <c r="B87" s="27"/>
      <c r="C87" s="27"/>
      <c r="D87" s="28"/>
    </row>
    <row r="88">
      <c r="A88" s="27"/>
      <c r="B88" s="27"/>
      <c r="C88" s="27"/>
      <c r="D88" s="28"/>
    </row>
    <row r="89">
      <c r="A89" s="27"/>
      <c r="B89" s="27"/>
      <c r="C89" s="27"/>
      <c r="D89" s="28"/>
    </row>
    <row r="90">
      <c r="A90" s="27"/>
      <c r="B90" s="27"/>
      <c r="C90" s="27"/>
      <c r="D90" s="28"/>
    </row>
    <row r="91">
      <c r="A91" s="27"/>
      <c r="B91" s="27"/>
      <c r="C91" s="27"/>
      <c r="D91" s="28"/>
    </row>
    <row r="92">
      <c r="A92" s="27"/>
      <c r="B92" s="27"/>
      <c r="C92" s="27"/>
      <c r="D92" s="28"/>
    </row>
    <row r="93">
      <c r="A93" s="27"/>
      <c r="B93" s="27"/>
      <c r="C93" s="27"/>
      <c r="D93" s="28"/>
    </row>
    <row r="94">
      <c r="A94" s="27"/>
      <c r="B94" s="27"/>
      <c r="C94" s="27"/>
      <c r="D94" s="28"/>
    </row>
    <row r="95">
      <c r="A95" s="27"/>
      <c r="B95" s="27"/>
      <c r="C95" s="27"/>
      <c r="D95" s="28"/>
    </row>
    <row r="96">
      <c r="A96" s="27"/>
      <c r="B96" s="27"/>
      <c r="C96" s="27"/>
      <c r="D96" s="28"/>
    </row>
    <row r="97">
      <c r="A97" s="27"/>
      <c r="B97" s="27"/>
      <c r="C97" s="27"/>
      <c r="D97" s="28"/>
    </row>
    <row r="98">
      <c r="A98" s="27"/>
      <c r="B98" s="27"/>
      <c r="C98" s="27"/>
    </row>
    <row r="99">
      <c r="B99" s="27"/>
      <c r="C99" s="27"/>
      <c r="D99" s="27"/>
      <c r="E99" s="28" t="str">
        <v>-</v>
      </c>
    </row>
    <row r="100">
      <c r="B100" s="27"/>
      <c r="C100" s="27"/>
      <c r="D100" s="27"/>
      <c r="E100" s="28" t="str">
        <v>-</v>
      </c>
    </row>
    <row r="101">
      <c r="B101" s="27"/>
      <c r="C101" s="27"/>
      <c r="D101" s="27"/>
      <c r="E101" s="28" t="str">
        <v>-</v>
      </c>
    </row>
  </sheetData>
  <mergeCells>
    <mergeCell ref="A1:H1"/>
    <mergeCell ref="I1:N1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6"/>
    <col collapsed="false" customWidth="true" hidden="false" max="3" min="3" style="0" width="36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7" t="str">
        <v>数据模型属性定义</v>
      </c>
      <c r="B1" s="7"/>
      <c r="C1" s="7"/>
      <c r="D1" s="7"/>
      <c r="E1" s="7"/>
      <c r="F1" s="7"/>
      <c r="G1" s="7"/>
      <c r="H1" s="7"/>
      <c r="I1" s="8" t="str">
        <v>系统溯源分析</v>
      </c>
      <c r="J1" s="8"/>
      <c r="K1" s="8"/>
      <c r="L1" s="8"/>
      <c r="M1" s="8"/>
      <c r="N1" s="8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32">
        <v>1</v>
      </c>
      <c r="B3" s="17" t="str">
        <v>营销费用源表-天猫-UD信息流-资金流水</v>
      </c>
      <c r="C3" s="25" t="str">
        <v>cost_date</v>
      </c>
      <c r="D3" s="31" t="str">
        <v>日期</v>
      </c>
      <c r="E3" s="17" t="str">
        <v>STRING</v>
      </c>
      <c r="F3" s="23">
        <f>CONCAT(",",C3,"   ",E3,"   COMMENT'", D3,"'" )</f>
      </c>
      <c r="G3" s="17"/>
      <c r="H3" s="17"/>
      <c r="I3" s="17"/>
      <c r="J3" s="17"/>
      <c r="K3" s="17"/>
      <c r="L3" s="17"/>
      <c r="M3" s="17"/>
      <c r="N3" s="17"/>
    </row>
    <row r="4">
      <c r="A4" s="32">
        <v>2</v>
      </c>
      <c r="B4" s="17" t="str">
        <v>营销费用源表-天猫-UD信息流-资金流水</v>
      </c>
      <c r="C4" s="25" t="str">
        <v>brand</v>
      </c>
      <c r="D4" s="31" t="str">
        <v>品牌</v>
      </c>
      <c r="E4" s="17" t="str">
        <v>STRING</v>
      </c>
      <c r="F4" s="23">
        <f>CONCAT(",",C4,"   ",E4,"   COMMENT'", D4,"'" )</f>
      </c>
      <c r="G4" s="17"/>
      <c r="H4" s="17"/>
      <c r="I4" s="17"/>
      <c r="J4" s="17"/>
      <c r="K4" s="17"/>
      <c r="L4" s="17"/>
      <c r="M4" s="17"/>
      <c r="N4" s="17"/>
    </row>
    <row r="5">
      <c r="A5" s="32">
        <v>3</v>
      </c>
      <c r="B5" s="17" t="str">
        <v>营销费用源表-天猫-UD信息流-资金流水</v>
      </c>
      <c r="C5" s="25" t="str">
        <v>ad_account_id</v>
      </c>
      <c r="D5" s="31" t="str">
        <v>投放账户ID</v>
      </c>
      <c r="E5" s="17" t="str">
        <v>STRING</v>
      </c>
      <c r="F5" s="23">
        <f>CONCAT(",",C5,"   ",E5,"   COMMENT'", D5,"'" )</f>
      </c>
      <c r="G5" s="17"/>
      <c r="H5" s="17"/>
      <c r="I5" s="17"/>
      <c r="J5" s="17"/>
      <c r="K5" s="17"/>
      <c r="L5" s="17"/>
      <c r="M5" s="17"/>
      <c r="N5" s="17"/>
    </row>
    <row r="6">
      <c r="A6" s="32">
        <v>4</v>
      </c>
      <c r="B6" s="17" t="str">
        <v>营销费用源表-天猫-UD信息流-资金流水</v>
      </c>
      <c r="C6" s="25" t="str">
        <v>ad_account_name</v>
      </c>
      <c r="D6" s="31" t="str">
        <v>投放账户名称</v>
      </c>
      <c r="E6" s="17" t="str">
        <v>STRING</v>
      </c>
      <c r="F6" s="23">
        <f>CONCAT(",",C6,"   ",E6,"   COMMENT'", D6,"'" )</f>
      </c>
      <c r="G6" s="17"/>
      <c r="H6" s="17"/>
      <c r="I6" s="17"/>
      <c r="J6" s="17"/>
      <c r="K6" s="17"/>
      <c r="L6" s="17"/>
      <c r="M6" s="17"/>
      <c r="N6" s="17"/>
    </row>
    <row r="7">
      <c r="A7" s="32">
        <v>5</v>
      </c>
      <c r="B7" s="17" t="str">
        <v>营销费用源表-天猫-UD信息流-资金流水</v>
      </c>
      <c r="C7" s="25" t="str">
        <v>total_spending</v>
      </c>
      <c r="D7" s="31" t="str">
        <v>总消耗</v>
      </c>
      <c r="E7" s="16" t="str">
        <v>DECIMAL(30, 8)</v>
      </c>
      <c r="F7" s="23">
        <f>CONCAT(",",C7,"   ",E7,"   COMMENT'", D7,"'" )</f>
      </c>
      <c r="G7" s="17"/>
      <c r="H7" s="17"/>
      <c r="I7" s="17"/>
      <c r="J7" s="17"/>
      <c r="K7" s="17"/>
      <c r="L7" s="17"/>
      <c r="M7" s="17"/>
      <c r="N7" s="17"/>
    </row>
    <row r="8">
      <c r="A8" s="32">
        <v>6</v>
      </c>
      <c r="B8" s="17" t="str">
        <v>营销费用源表-天猫-UD信息流-资金流水</v>
      </c>
      <c r="C8" s="25" t="str">
        <v>cash_spending</v>
      </c>
      <c r="D8" s="31" t="str">
        <v>现金消耗</v>
      </c>
      <c r="E8" s="16" t="str">
        <v>DECIMAL(30, 8)</v>
      </c>
      <c r="F8" s="23">
        <f>CONCAT(",",C8,"   ",E8,"   COMMENT'", D8,"'" )</f>
      </c>
      <c r="G8" s="17"/>
      <c r="H8" s="17"/>
      <c r="I8" s="17"/>
      <c r="J8" s="17"/>
      <c r="K8" s="17"/>
      <c r="L8" s="17"/>
      <c r="M8" s="17"/>
      <c r="N8" s="17"/>
    </row>
    <row r="9">
      <c r="A9" s="32">
        <v>7</v>
      </c>
      <c r="B9" s="17" t="str">
        <v>营销费用源表-天猫-UD信息流-资金流水</v>
      </c>
      <c r="C9" s="25" t="str">
        <v>voucher_spending</v>
      </c>
      <c r="D9" s="31" t="str">
        <v>代金券消耗</v>
      </c>
      <c r="E9" s="16" t="str">
        <v>DECIMAL(30, 8)</v>
      </c>
      <c r="F9" s="23">
        <f>CONCAT(",",C9,"   ",E9,"   COMMENT'", D9,"'" )</f>
      </c>
      <c r="G9" s="17"/>
      <c r="H9" s="17"/>
      <c r="I9" s="17"/>
      <c r="J9" s="17"/>
      <c r="K9" s="17"/>
      <c r="L9" s="17"/>
      <c r="M9" s="17"/>
      <c r="N9" s="17"/>
    </row>
    <row r="10">
      <c r="A10" s="32">
        <v>8</v>
      </c>
      <c r="B10" s="17" t="str">
        <v>营销费用源表-天猫-UD信息流-资金流水</v>
      </c>
      <c r="C10" s="25" t="str">
        <v>compensation_spending</v>
      </c>
      <c r="D10" s="31" t="str">
        <v>赔付赠款消耗</v>
      </c>
      <c r="E10" s="16" t="str">
        <v>DECIMAL(30, 8)</v>
      </c>
      <c r="F10" s="23">
        <f>CONCAT(",",C10,"   ",E10,"   COMMENT'", D10,"'" )</f>
      </c>
      <c r="G10" s="17"/>
      <c r="H10" s="17"/>
      <c r="I10" s="17"/>
      <c r="J10" s="17"/>
      <c r="K10" s="17"/>
      <c r="L10" s="17"/>
      <c r="M10" s="17"/>
      <c r="N10" s="17"/>
    </row>
    <row r="11">
      <c r="A11" s="32">
        <v>9</v>
      </c>
      <c r="B11" s="17" t="str">
        <v>营销费用源表-天猫-UD信息流-资金流水</v>
      </c>
      <c r="C11" s="25" t="str">
        <v>total_income</v>
      </c>
      <c r="D11" s="31" t="str">
        <v>总转入</v>
      </c>
      <c r="E11" s="16" t="str">
        <v>DECIMAL(30, 8)</v>
      </c>
      <c r="F11" s="23">
        <f>CONCAT(",",C11,"   ",E11,"   COMMENT'", D11,"'" )</f>
      </c>
      <c r="G11" s="17"/>
      <c r="H11" s="17"/>
      <c r="I11" s="17"/>
      <c r="J11" s="17"/>
      <c r="K11" s="17"/>
      <c r="L11" s="17"/>
      <c r="M11" s="17"/>
      <c r="N11" s="17"/>
    </row>
    <row r="12">
      <c r="A12" s="32">
        <v>10</v>
      </c>
      <c r="B12" s="17" t="str">
        <v>营销费用源表-天猫-UD信息流-资金流水</v>
      </c>
      <c r="C12" s="25" t="str">
        <v>total_outgoing</v>
      </c>
      <c r="D12" s="31" t="str">
        <v>总转出</v>
      </c>
      <c r="E12" s="16" t="str">
        <v>DECIMAL(30, 8)</v>
      </c>
      <c r="F12" s="23">
        <f>CONCAT(",",C12,"   ",E12,"   COMMENT'", D12,"'" )</f>
      </c>
      <c r="G12" s="17"/>
      <c r="H12" s="17"/>
      <c r="I12" s="17"/>
      <c r="J12" s="17"/>
      <c r="K12" s="17"/>
      <c r="L12" s="17"/>
      <c r="M12" s="17"/>
      <c r="N12" s="17"/>
    </row>
    <row r="13">
      <c r="A13" s="32">
        <v>11</v>
      </c>
      <c r="B13" s="17" t="str">
        <v>营销费用源表-天猫-UD信息流-资金流水</v>
      </c>
      <c r="C13" s="25" t="str">
        <v>compensation_income</v>
      </c>
      <c r="D13" s="31" t="str">
        <v>赔付赠款总入账</v>
      </c>
      <c r="E13" s="16" t="str">
        <v>DECIMAL(30, 8)</v>
      </c>
      <c r="F13" s="23">
        <f>CONCAT(",",C13,"   ",E13,"   COMMENT'", D13,"'" )</f>
      </c>
      <c r="G13" s="17"/>
      <c r="H13" s="17"/>
      <c r="I13" s="17"/>
      <c r="J13" s="17"/>
      <c r="K13" s="17"/>
      <c r="L13" s="17"/>
      <c r="M13" s="17"/>
      <c r="N13" s="17"/>
    </row>
    <row r="14">
      <c r="A14" s="32">
        <v>12</v>
      </c>
      <c r="B14" s="17" t="str">
        <v>营销费用源表-天猫-UD信息流-资金流水</v>
      </c>
      <c r="C14" s="25" t="str">
        <v>voucher_income</v>
      </c>
      <c r="D14" s="31" t="str">
        <v>代金券总入账</v>
      </c>
      <c r="E14" s="16" t="str">
        <v>DECIMAL(30, 8)</v>
      </c>
      <c r="F14" s="23">
        <f>CONCAT(",",C14,"   ",E14,"   COMMENT'", D14,"'" )</f>
      </c>
      <c r="G14" s="17"/>
      <c r="H14" s="17"/>
      <c r="I14" s="17"/>
      <c r="J14" s="17"/>
      <c r="K14" s="17"/>
      <c r="L14" s="17"/>
      <c r="M14" s="17"/>
      <c r="N14" s="17"/>
    </row>
    <row r="15">
      <c r="A15" s="32">
        <v>13</v>
      </c>
      <c r="B15" s="17" t="str">
        <v>营销费用源表-天猫-UD信息流-资金流水</v>
      </c>
      <c r="C15" s="25" t="str">
        <v>voucher_expired</v>
      </c>
      <c r="D15" s="31" t="str">
        <v>代金券过期</v>
      </c>
      <c r="E15" s="17" t="str">
        <v>STRING</v>
      </c>
      <c r="F15" s="23">
        <f>CONCAT(",",C15,"   ",E15,"   COMMENT'", D15,"'" )</f>
      </c>
      <c r="G15" s="17"/>
      <c r="H15" s="17"/>
      <c r="I15" s="17"/>
      <c r="J15" s="17"/>
      <c r="K15" s="17"/>
      <c r="L15" s="17"/>
      <c r="M15" s="17"/>
      <c r="N15" s="17"/>
    </row>
    <row r="16">
      <c r="A16" s="32">
        <v>14</v>
      </c>
      <c r="B16" s="17" t="str">
        <v>营销费用源表-天猫-UD信息流-资金流水</v>
      </c>
      <c r="C16" s="25" t="str">
        <v>daily_balance</v>
      </c>
      <c r="D16" s="31" t="str">
        <v>日终结余总额</v>
      </c>
      <c r="E16" s="16" t="str">
        <v>DECIMAL(30, 8)</v>
      </c>
      <c r="F16" s="23">
        <f>CONCAT(",",C16,"   ",E16,"   COMMENT'", D16,"'" )</f>
      </c>
      <c r="G16" s="17"/>
      <c r="H16" s="17"/>
      <c r="I16" s="17"/>
      <c r="J16" s="17"/>
      <c r="K16" s="17"/>
      <c r="L16" s="17"/>
      <c r="M16" s="17"/>
      <c r="N16" s="17"/>
    </row>
    <row r="17">
      <c r="A17" s="1"/>
    </row>
    <row r="18">
      <c r="A18" s="27"/>
      <c r="B18" s="27"/>
      <c r="C18" s="27"/>
      <c r="D18" s="28"/>
    </row>
    <row r="19">
      <c r="A19" s="27"/>
      <c r="B19" s="27"/>
      <c r="C19" s="27"/>
      <c r="D19" s="28"/>
    </row>
    <row r="20">
      <c r="A20" s="27"/>
      <c r="B20" s="27"/>
      <c r="C20" s="27"/>
      <c r="D20" s="28"/>
    </row>
    <row r="21">
      <c r="A21" s="27"/>
      <c r="B21" s="27"/>
      <c r="C21" s="27"/>
      <c r="D21" s="28"/>
    </row>
    <row r="22">
      <c r="A22" s="27"/>
      <c r="B22" s="27"/>
      <c r="C22" s="27"/>
      <c r="D22" s="28"/>
    </row>
    <row r="23">
      <c r="A23" s="27"/>
      <c r="B23" s="27"/>
      <c r="C23" s="27"/>
      <c r="D23" s="28"/>
    </row>
    <row r="24">
      <c r="A24" s="27"/>
      <c r="B24" s="27"/>
      <c r="C24" s="27"/>
      <c r="D24" s="28"/>
    </row>
    <row r="25">
      <c r="A25" s="27"/>
      <c r="B25" s="27"/>
      <c r="C25" s="27"/>
      <c r="D25" s="28"/>
    </row>
    <row r="26">
      <c r="A26" s="27"/>
      <c r="B26" s="27"/>
      <c r="C26" s="27"/>
      <c r="D26" s="28"/>
    </row>
    <row r="27">
      <c r="A27" s="27"/>
      <c r="B27" s="27"/>
      <c r="C27" s="27"/>
      <c r="D27" s="28"/>
    </row>
    <row r="28">
      <c r="A28" s="27"/>
      <c r="B28" s="27"/>
      <c r="C28" s="27"/>
      <c r="D28" s="28"/>
    </row>
    <row r="29">
      <c r="A29" s="27"/>
      <c r="B29" s="27"/>
      <c r="C29" s="27"/>
      <c r="D29" s="28"/>
    </row>
    <row r="30">
      <c r="A30" s="27"/>
      <c r="B30" s="27"/>
      <c r="C30" s="27"/>
      <c r="D30" s="28"/>
    </row>
    <row r="31">
      <c r="A31" s="27"/>
      <c r="B31" s="27"/>
      <c r="C31" s="27"/>
      <c r="D31" s="28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  <mergeCells>
    <mergeCell ref="A1:H1"/>
    <mergeCell ref="I1:N1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6"/>
    <col collapsed="false" customWidth="true" hidden="false" max="3" min="3" style="0" width="36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customHeight="true" ht="19" r="1">
      <c r="A1" s="7" t="str">
        <v>数据模型属性定义</v>
      </c>
      <c r="B1" s="7"/>
      <c r="C1" s="7"/>
      <c r="D1" s="7"/>
      <c r="E1" s="7"/>
      <c r="F1" s="7"/>
      <c r="G1" s="7"/>
      <c r="H1" s="7"/>
      <c r="I1" s="8" t="str">
        <v>系统溯源分析</v>
      </c>
      <c r="J1" s="8"/>
      <c r="K1" s="8"/>
      <c r="L1" s="8"/>
      <c r="M1" s="8"/>
      <c r="N1" s="8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33">
        <v>1</v>
      </c>
      <c r="B3" s="17" t="str">
        <v>营销费用源表-天猫-AD信息流-广告计划</v>
      </c>
      <c r="C3" s="25" t="str">
        <v>cost_date</v>
      </c>
      <c r="D3" s="34" t="str">
        <v>时间</v>
      </c>
      <c r="E3" s="17" t="str">
        <v>STRING</v>
      </c>
      <c r="F3" s="17">
        <f>CONCAT(",",C3,"   ",E3,"   COMMENT'", D3,"'" )</f>
      </c>
      <c r="G3" s="17"/>
      <c r="H3" s="17"/>
      <c r="I3" s="17"/>
      <c r="J3" s="17"/>
      <c r="K3" s="17"/>
      <c r="L3" s="17"/>
      <c r="M3" s="17"/>
      <c r="N3" s="17"/>
    </row>
    <row r="4">
      <c r="A4" s="33">
        <v>2</v>
      </c>
      <c r="B4" s="17" t="str">
        <v>营销费用源表-天猫-AD信息流-广告计划</v>
      </c>
      <c r="C4" s="25" t="str">
        <v>ad_campaign_id</v>
      </c>
      <c r="D4" s="34" t="str">
        <v>广告计划id</v>
      </c>
      <c r="E4" s="17" t="str">
        <v>STRING</v>
      </c>
      <c r="F4" s="17">
        <f>CONCAT(",",C4,"   ",E4,"   COMMENT'", D4,"'" )</f>
      </c>
      <c r="G4" s="17"/>
      <c r="H4" s="17"/>
      <c r="I4" s="17"/>
      <c r="J4" s="17"/>
      <c r="K4" s="17"/>
      <c r="L4" s="17"/>
      <c r="M4" s="17"/>
      <c r="N4" s="17"/>
    </row>
    <row r="5">
      <c r="A5" s="33">
        <v>3</v>
      </c>
      <c r="B5" s="17" t="str">
        <v>营销费用源表-天猫-AD信息流-广告计划</v>
      </c>
      <c r="C5" s="25" t="str">
        <v>ad_campaign_name</v>
      </c>
      <c r="D5" s="34" t="str">
        <v>广告计划</v>
      </c>
      <c r="E5" s="17" t="str">
        <v>STRING</v>
      </c>
      <c r="F5" s="17">
        <f>CONCAT(",",C5,"   ",E5,"   COMMENT'", D5,"'" )</f>
      </c>
      <c r="G5" s="17"/>
      <c r="H5" s="17"/>
      <c r="I5" s="17"/>
      <c r="J5" s="17"/>
      <c r="K5" s="17"/>
      <c r="L5" s="17"/>
      <c r="M5" s="17"/>
      <c r="N5" s="17"/>
    </row>
    <row r="6">
      <c r="A6" s="33">
        <v>4</v>
      </c>
      <c r="B6" s="17" t="str">
        <v>营销费用源表-天猫-AD信息流-广告计划</v>
      </c>
      <c r="C6" s="25" t="str">
        <v>impression</v>
      </c>
      <c r="D6" s="34" t="str">
        <v>展示数</v>
      </c>
      <c r="E6" s="17" t="str">
        <v>DECIMAL(30, 8)</v>
      </c>
      <c r="F6" s="17">
        <f>CONCAT(",",C6,"   ",E6,"   COMMENT'", D6,"'" )</f>
      </c>
      <c r="G6" s="17"/>
      <c r="H6" s="17"/>
      <c r="I6" s="17"/>
      <c r="J6" s="17"/>
      <c r="K6" s="17"/>
      <c r="L6" s="17"/>
      <c r="M6" s="17"/>
      <c r="N6" s="17"/>
    </row>
    <row r="7">
      <c r="A7" s="33">
        <v>5</v>
      </c>
      <c r="B7" s="17" t="str">
        <v>营销费用源表-天猫-AD信息流-广告计划</v>
      </c>
      <c r="C7" s="25" t="str">
        <v>click</v>
      </c>
      <c r="D7" s="34" t="str">
        <v>点击数</v>
      </c>
      <c r="E7" s="17" t="str">
        <v>DECIMAL(30, 8)</v>
      </c>
      <c r="F7" s="17">
        <f>CONCAT(",",C7,"   ",E7,"   COMMENT'", D7,"'" )</f>
      </c>
      <c r="G7" s="17"/>
      <c r="H7" s="17"/>
      <c r="I7" s="17"/>
      <c r="J7" s="17"/>
      <c r="K7" s="17"/>
      <c r="L7" s="17"/>
      <c r="M7" s="17"/>
      <c r="N7" s="17"/>
    </row>
    <row r="8">
      <c r="A8" s="33">
        <v>6</v>
      </c>
      <c r="B8" s="17" t="str">
        <v>营销费用源表-天猫-AD信息流-广告计划</v>
      </c>
      <c r="C8" s="25" t="str">
        <v>click_through_rate</v>
      </c>
      <c r="D8" s="34" t="str">
        <v>点击率(%)</v>
      </c>
      <c r="E8" s="17" t="str">
        <v>DECIMAL(30, 8)</v>
      </c>
      <c r="F8" s="17">
        <f>CONCAT(",",C8,"   ",E8,"   COMMENT'", D8,"'" )</f>
      </c>
      <c r="G8" s="17"/>
      <c r="H8" s="17"/>
      <c r="I8" s="17"/>
      <c r="J8" s="17"/>
      <c r="K8" s="17"/>
      <c r="L8" s="17"/>
      <c r="M8" s="17"/>
      <c r="N8" s="17"/>
    </row>
    <row r="9">
      <c r="A9" s="33">
        <v>7</v>
      </c>
      <c r="B9" s="17" t="str">
        <v>营销费用源表-天猫-AD信息流-广告计划</v>
      </c>
      <c r="C9" s="25" t="str">
        <v>average_click_price</v>
      </c>
      <c r="D9" s="34" t="str">
        <v>平均点击单价(元)</v>
      </c>
      <c r="E9" s="17" t="str">
        <v>DECIMAL(30, 8)</v>
      </c>
      <c r="F9" s="17">
        <f>CONCAT(",",C9,"   ",E9,"   COMMENT'", D9,"'" )</f>
      </c>
      <c r="G9" s="17"/>
      <c r="H9" s="17"/>
      <c r="I9" s="17"/>
      <c r="J9" s="17"/>
      <c r="K9" s="17"/>
      <c r="L9" s="17"/>
      <c r="M9" s="17"/>
      <c r="N9" s="17"/>
    </row>
    <row r="10">
      <c r="A10" s="33">
        <v>8</v>
      </c>
      <c r="B10" s="17" t="str">
        <v>营销费用源表-天猫-AD信息流-广告计划</v>
      </c>
      <c r="C10" s="25" t="str">
        <v>cost_per_thousand_impressions</v>
      </c>
      <c r="D10" s="34" t="str">
        <v>平均千次展现费用(元)</v>
      </c>
      <c r="E10" s="17" t="str">
        <v>DECIMAL(30, 8)</v>
      </c>
      <c r="F10" s="17">
        <f>CONCAT(",",C10,"   ",E10,"   COMMENT'", D10,"'" )</f>
      </c>
      <c r="G10" s="17"/>
      <c r="H10" s="17"/>
      <c r="I10" s="17"/>
      <c r="J10" s="17"/>
      <c r="K10" s="17"/>
      <c r="L10" s="17"/>
      <c r="M10" s="17"/>
      <c r="N10" s="17"/>
    </row>
    <row r="11">
      <c r="A11" s="33">
        <v>9</v>
      </c>
      <c r="B11" s="17" t="str">
        <v>营销费用源表-天猫-AD信息流-广告计划</v>
      </c>
      <c r="C11" s="25" t="str">
        <v>spending</v>
      </c>
      <c r="D11" s="34" t="str">
        <v>消耗</v>
      </c>
      <c r="E11" s="17" t="str">
        <v>DECIMAL(30, 8)</v>
      </c>
      <c r="F11" s="17">
        <f>CONCAT(",",C11,"   ",E11,"   COMMENT'", D11,"'" )</f>
      </c>
      <c r="G11" s="17"/>
      <c r="H11" s="17"/>
      <c r="I11" s="17"/>
      <c r="J11" s="17"/>
      <c r="K11" s="17"/>
      <c r="L11" s="17"/>
      <c r="M11" s="17"/>
      <c r="N11" s="17"/>
    </row>
    <row r="12">
      <c r="A12" s="33">
        <v>10</v>
      </c>
      <c r="B12" s="17" t="str">
        <v>营销费用源表-天猫-AD信息流-广告计划</v>
      </c>
      <c r="C12" s="25" t="str">
        <v>conversion</v>
      </c>
      <c r="D12" s="34" t="str">
        <v>转化数</v>
      </c>
      <c r="E12" s="17" t="str">
        <v>DECIMAL(30, 8)</v>
      </c>
      <c r="F12" s="17">
        <f>CONCAT(",",C12,"   ",E12,"   COMMENT'", D12,"'" )</f>
      </c>
      <c r="G12" s="17"/>
      <c r="H12" s="17"/>
      <c r="I12" s="17"/>
      <c r="J12" s="17"/>
      <c r="K12" s="17"/>
      <c r="L12" s="17"/>
      <c r="M12" s="17"/>
      <c r="N12" s="17"/>
    </row>
    <row r="13">
      <c r="A13" s="33">
        <v>11</v>
      </c>
      <c r="B13" s="17" t="str">
        <v>营销费用源表-天猫-AD信息流-广告计划</v>
      </c>
      <c r="C13" s="25" t="str">
        <v>conversion_cost</v>
      </c>
      <c r="D13" s="34" t="str">
        <v>转化成本</v>
      </c>
      <c r="E13" s="17" t="str">
        <v>DECIMAL(30, 8)</v>
      </c>
      <c r="F13" s="17">
        <f>CONCAT(",",C13,"   ",E13,"   COMMENT'", D13,"'" )</f>
      </c>
      <c r="G13" s="17"/>
      <c r="H13" s="17"/>
      <c r="I13" s="17"/>
      <c r="J13" s="17"/>
      <c r="K13" s="17"/>
      <c r="L13" s="17"/>
      <c r="M13" s="17"/>
      <c r="N13" s="17"/>
    </row>
    <row r="14">
      <c r="A14" s="33">
        <v>12</v>
      </c>
      <c r="B14" s="17" t="str">
        <v>营销费用源表-天猫-AD信息流-广告计划</v>
      </c>
      <c r="C14" s="25" t="str">
        <v>conversion_rate</v>
      </c>
      <c r="D14" s="34" t="str">
        <v>转化率(%)</v>
      </c>
      <c r="E14" s="17" t="str">
        <v>DECIMAL(30, 8)</v>
      </c>
      <c r="F14" s="17">
        <f>CONCAT(",",C14,"   ",E14,"   COMMENT'", D14,"'" )</f>
      </c>
      <c r="G14" s="17"/>
      <c r="H14" s="17"/>
      <c r="I14" s="17"/>
      <c r="J14" s="17"/>
      <c r="K14" s="17"/>
      <c r="L14" s="17"/>
      <c r="M14" s="17"/>
      <c r="N14" s="17"/>
    </row>
    <row r="15">
      <c r="A15" s="33">
        <v>13</v>
      </c>
      <c r="B15" s="17" t="str">
        <v>营销费用源表-天猫-AD信息流-广告计划</v>
      </c>
      <c r="C15" s="25" t="str">
        <v>deep_conversion</v>
      </c>
      <c r="D15" s="34" t="str">
        <v>深度转化次数</v>
      </c>
      <c r="E15" s="17" t="str">
        <v>DECIMAL(30, 8)</v>
      </c>
      <c r="F15" s="17">
        <f>CONCAT(",",C15,"   ",E15,"   COMMENT'", D15,"'" )</f>
      </c>
      <c r="G15" s="17"/>
      <c r="H15" s="17"/>
      <c r="I15" s="17"/>
      <c r="J15" s="17"/>
      <c r="K15" s="17"/>
      <c r="L15" s="17"/>
      <c r="M15" s="17"/>
      <c r="N15" s="17"/>
    </row>
    <row r="16">
      <c r="A16" s="33">
        <v>14</v>
      </c>
      <c r="B16" s="17" t="str">
        <v>营销费用源表-天猫-AD信息流-广告计划</v>
      </c>
      <c r="C16" s="25" t="str">
        <v>deep_conversion_cost</v>
      </c>
      <c r="D16" s="34" t="str">
        <v>深度转化成本</v>
      </c>
      <c r="E16" s="17" t="str">
        <v>DECIMAL(30, 8)</v>
      </c>
      <c r="F16" s="17">
        <f>CONCAT(",",C16,"   ",E16,"   COMMENT'", D16,"'" )</f>
      </c>
      <c r="G16" s="17"/>
      <c r="H16" s="17"/>
      <c r="I16" s="17"/>
      <c r="J16" s="17"/>
      <c r="K16" s="17"/>
      <c r="L16" s="17"/>
      <c r="M16" s="17"/>
      <c r="N16" s="17"/>
    </row>
    <row r="17">
      <c r="A17" s="33">
        <v>15</v>
      </c>
      <c r="B17" s="17" t="str">
        <v>营销费用源表-天猫-AD信息流-广告计划</v>
      </c>
      <c r="C17" s="25" t="str">
        <v>deep_conversion_rate</v>
      </c>
      <c r="D17" s="34" t="str">
        <v>深度转化率(%)</v>
      </c>
      <c r="E17" s="17" t="str">
        <v>DECIMAL(30, 8)</v>
      </c>
      <c r="F17" s="17">
        <f>CONCAT(",",C17,"   ",E17,"   COMMENT'", D17,"'" )</f>
      </c>
      <c r="G17" s="17"/>
      <c r="H17" s="17"/>
      <c r="I17" s="17"/>
      <c r="J17" s="17"/>
      <c r="K17" s="17"/>
      <c r="L17" s="17"/>
      <c r="M17" s="17"/>
      <c r="N17" s="17"/>
    </row>
    <row r="18"/>
    <row r="19"/>
    <row r="20">
      <c r="A20" s="27"/>
      <c r="B20" s="27"/>
      <c r="C20" s="27"/>
      <c r="D20" s="28"/>
    </row>
    <row r="21">
      <c r="A21" s="27"/>
      <c r="B21" s="27"/>
      <c r="C21" s="27"/>
      <c r="D21" s="28"/>
    </row>
    <row r="22">
      <c r="A22" s="27"/>
      <c r="B22" s="27"/>
      <c r="C22" s="27"/>
      <c r="D22" s="28"/>
    </row>
    <row r="23">
      <c r="A23" s="27"/>
      <c r="B23" s="27"/>
      <c r="C23" s="27"/>
      <c r="D23" s="28"/>
    </row>
    <row r="24">
      <c r="A24" s="27"/>
      <c r="B24" s="27"/>
      <c r="C24" s="27"/>
      <c r="D24" s="28"/>
    </row>
    <row r="25">
      <c r="A25" s="27"/>
      <c r="B25" s="27"/>
      <c r="C25" s="27"/>
      <c r="D25" s="28"/>
    </row>
    <row r="26">
      <c r="A26" s="27"/>
      <c r="B26" s="27"/>
      <c r="C26" s="27"/>
      <c r="D26" s="28"/>
    </row>
    <row r="27">
      <c r="A27" s="27"/>
      <c r="B27" s="27"/>
      <c r="C27" s="27"/>
      <c r="D27" s="28"/>
    </row>
    <row r="28">
      <c r="A28" s="27"/>
      <c r="B28" s="27"/>
      <c r="C28" s="27"/>
      <c r="D28" s="28"/>
    </row>
    <row r="29">
      <c r="A29" s="27"/>
      <c r="B29" s="27"/>
      <c r="C29" s="27"/>
      <c r="D29" s="28"/>
    </row>
    <row r="30">
      <c r="A30" s="27"/>
      <c r="B30" s="27"/>
      <c r="C30" s="27"/>
      <c r="D30" s="28"/>
    </row>
    <row r="31">
      <c r="A31" s="27"/>
      <c r="B31" s="27"/>
      <c r="C31" s="27"/>
      <c r="D31" s="28"/>
    </row>
    <row r="32">
      <c r="A32" s="27"/>
      <c r="B32" s="27"/>
      <c r="C32" s="27"/>
      <c r="D32" s="28"/>
    </row>
    <row r="33">
      <c r="A33" s="27"/>
      <c r="B33" s="27"/>
      <c r="C33" s="27"/>
      <c r="D33" s="28"/>
    </row>
    <row r="34">
      <c r="A34" s="27"/>
      <c r="B34" s="27"/>
      <c r="C34" s="27"/>
    </row>
  </sheetData>
  <mergeCells>
    <mergeCell ref="A1:H1"/>
    <mergeCell ref="I1:N1"/>
  </mergeCell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6"/>
    <col collapsed="false" customWidth="true" hidden="false" max="3" min="3" style="0" width="16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7" t="str">
        <v>数据模型属性定义</v>
      </c>
      <c r="B1" s="7"/>
      <c r="C1" s="7"/>
      <c r="D1" s="7"/>
      <c r="E1" s="7"/>
      <c r="F1" s="7"/>
      <c r="G1" s="7"/>
      <c r="H1" s="7"/>
      <c r="I1" s="8" t="str">
        <v>系统溯源分析</v>
      </c>
      <c r="J1" s="8"/>
      <c r="K1" s="8"/>
      <c r="L1" s="8"/>
      <c r="M1" s="8"/>
      <c r="N1" s="8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15">
        <v>1</v>
      </c>
      <c r="B3" s="23" t="str">
        <v>营销费用源表-天猫-AD信息流-交易流水</v>
      </c>
      <c r="C3" s="25" t="str">
        <v>cost_date</v>
      </c>
      <c r="D3" s="26" t="str">
        <v>日期</v>
      </c>
      <c r="E3" s="23" t="str">
        <v>STRING</v>
      </c>
      <c r="F3" s="17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15">
        <v>2</v>
      </c>
      <c r="B4" s="23" t="str">
        <v>营销费用源表-天猫-AD信息流-交易流水</v>
      </c>
      <c r="C4" s="25" t="str">
        <v>account_name</v>
      </c>
      <c r="D4" s="26" t="str">
        <v>账户名称</v>
      </c>
      <c r="E4" s="23" t="str">
        <v>STRING</v>
      </c>
      <c r="F4" s="17">
        <f>CONCAT(",",C4,"   ",E4,"   COMMENT'", D4,"'" )</f>
      </c>
      <c r="G4" s="17"/>
      <c r="H4" s="17"/>
      <c r="I4" s="24"/>
      <c r="J4" s="24"/>
      <c r="K4" s="24"/>
      <c r="L4" s="24"/>
      <c r="M4" s="24"/>
      <c r="N4" s="24"/>
    </row>
    <row r="5">
      <c r="A5" s="15">
        <v>3</v>
      </c>
      <c r="B5" s="23" t="str">
        <v>营销费用源表-天猫-AD信息流-交易流水</v>
      </c>
      <c r="C5" s="25" t="str">
        <v>account_id</v>
      </c>
      <c r="D5" s="26" t="str">
        <v>账户ID</v>
      </c>
      <c r="E5" s="23" t="str">
        <v>STRING</v>
      </c>
      <c r="F5" s="17">
        <f>CONCAT(",",C5,"   ",E5,"   COMMENT'", D5,"'" )</f>
      </c>
      <c r="G5" s="17"/>
      <c r="H5" s="17"/>
      <c r="I5" s="24"/>
      <c r="J5" s="24"/>
      <c r="K5" s="24"/>
      <c r="L5" s="24"/>
      <c r="M5" s="24"/>
      <c r="N5" s="24"/>
    </row>
    <row r="6">
      <c r="A6" s="15">
        <v>4</v>
      </c>
      <c r="B6" s="23" t="str">
        <v>营销费用源表-天猫-AD信息流-交易流水</v>
      </c>
      <c r="C6" s="25" t="str">
        <v>business_platform</v>
      </c>
      <c r="D6" s="26" t="str">
        <v>业务平台</v>
      </c>
      <c r="E6" s="23" t="str">
        <v>STRING</v>
      </c>
      <c r="F6" s="17">
        <f>CONCAT(",",C6,"   ",E6,"   COMMENT'", D6,"'" )</f>
      </c>
      <c r="G6" s="17"/>
      <c r="H6" s="17"/>
      <c r="I6" s="24"/>
      <c r="J6" s="24"/>
      <c r="K6" s="24"/>
      <c r="L6" s="24"/>
      <c r="M6" s="24"/>
      <c r="N6" s="24"/>
    </row>
    <row r="7">
      <c r="A7" s="15">
        <v>5</v>
      </c>
      <c r="B7" s="23" t="str">
        <v>营销费用源表-天猫-AD信息流-交易流水</v>
      </c>
      <c r="C7" s="25" t="str">
        <v>agent_name</v>
      </c>
      <c r="D7" s="26" t="str">
        <v>所属代理商名称</v>
      </c>
      <c r="E7" s="23" t="str">
        <v>STRING</v>
      </c>
      <c r="F7" s="17">
        <f>CONCAT(",",C7,"   ",E7,"   COMMENT'", D7,"'" )</f>
      </c>
      <c r="G7" s="17"/>
      <c r="H7" s="17"/>
      <c r="I7" s="24"/>
      <c r="J7" s="24"/>
      <c r="K7" s="24"/>
      <c r="L7" s="24"/>
      <c r="M7" s="24"/>
      <c r="N7" s="24"/>
    </row>
    <row r="8">
      <c r="A8" s="15">
        <v>6</v>
      </c>
      <c r="B8" s="23" t="str">
        <v>营销费用源表-天猫-AD信息流-交易流水</v>
      </c>
      <c r="C8" s="25" t="str">
        <v>agent_id</v>
      </c>
      <c r="D8" s="26" t="str">
        <v>所属代理商ID</v>
      </c>
      <c r="E8" s="23" t="str">
        <v>STRING</v>
      </c>
      <c r="F8" s="17">
        <f>CONCAT(",",C8,"   ",E8,"   COMMENT'", D8,"'" )</f>
      </c>
      <c r="G8" s="17"/>
      <c r="H8" s="17"/>
      <c r="I8" s="24"/>
      <c r="J8" s="24"/>
      <c r="K8" s="24"/>
      <c r="L8" s="24"/>
      <c r="M8" s="24"/>
      <c r="N8" s="24"/>
    </row>
    <row r="9">
      <c r="A9" s="15">
        <v>7</v>
      </c>
      <c r="B9" s="23" t="str">
        <v>营销费用源表-天猫-AD信息流-交易流水</v>
      </c>
      <c r="C9" s="25" t="str">
        <v>shared_gift_spend</v>
      </c>
      <c r="D9" s="26" t="str">
        <v>共享赠款支出</v>
      </c>
      <c r="E9" s="17" t="str">
        <v>DECIMAL(30, 8)</v>
      </c>
      <c r="F9" s="17">
        <f>CONCAT(",",C9,"   ",E9,"   COMMENT'", D9,"'" )</f>
      </c>
      <c r="G9" s="17"/>
      <c r="H9" s="17"/>
      <c r="I9" s="24"/>
      <c r="J9" s="24"/>
      <c r="K9" s="24"/>
      <c r="L9" s="24"/>
      <c r="M9" s="24"/>
      <c r="N9" s="24"/>
    </row>
    <row r="10">
      <c r="A10" s="15">
        <v>8</v>
      </c>
      <c r="B10" s="23" t="str">
        <v>营销费用源表-天猫-AD信息流-交易流水</v>
      </c>
      <c r="C10" s="25" t="str">
        <v>total_spending</v>
      </c>
      <c r="D10" s="26" t="str">
        <v>账户总支出</v>
      </c>
      <c r="E10" s="17" t="str">
        <v>DECIMAL(30, 8)</v>
      </c>
      <c r="F10" s="17">
        <f>CONCAT(",",C10,"   ",E10,"   COMMENT'", D10,"'" )</f>
      </c>
      <c r="G10" s="17"/>
      <c r="H10" s="17"/>
      <c r="I10" s="24"/>
      <c r="J10" s="24"/>
      <c r="K10" s="24"/>
      <c r="L10" s="24"/>
      <c r="M10" s="24"/>
      <c r="N10" s="24"/>
    </row>
    <row r="11">
      <c r="A11" s="15">
        <v>9</v>
      </c>
      <c r="B11" s="23" t="str">
        <v>营销费用源表-天猫-AD信息流-交易流水</v>
      </c>
      <c r="C11" s="25" t="str">
        <v>cash_spend</v>
      </c>
      <c r="D11" s="26" t="str">
        <v>账户现金支出</v>
      </c>
      <c r="E11" s="17" t="str">
        <v>DECIMAL(30, 8)</v>
      </c>
      <c r="F11" s="17">
        <f>CONCAT(",",C11,"   ",E11,"   COMMENT'", D11,"'" )</f>
      </c>
      <c r="G11" s="17"/>
      <c r="H11" s="17"/>
      <c r="I11" s="24"/>
      <c r="J11" s="24"/>
      <c r="K11" s="24"/>
      <c r="L11" s="24"/>
      <c r="M11" s="24"/>
      <c r="N11" s="24"/>
    </row>
    <row r="12">
      <c r="A12" s="15">
        <v>10</v>
      </c>
      <c r="B12" s="23" t="str">
        <v>营销费用源表-天猫-AD信息流-交易流水</v>
      </c>
      <c r="C12" s="25" t="str">
        <v>gift_spend</v>
      </c>
      <c r="D12" s="26" t="str">
        <v>账户赠款支出</v>
      </c>
      <c r="E12" s="17" t="str">
        <v>DECIMAL(30, 8)</v>
      </c>
      <c r="F12" s="17">
        <f>CONCAT(",",C12,"   ",E12,"   COMMENT'", D12,"'" )</f>
      </c>
      <c r="G12" s="17"/>
      <c r="H12" s="17"/>
      <c r="I12" s="24"/>
      <c r="J12" s="24"/>
      <c r="K12" s="24"/>
      <c r="L12" s="24"/>
      <c r="M12" s="24"/>
      <c r="N12" s="24"/>
    </row>
    <row r="13">
      <c r="A13" s="15">
        <v>11</v>
      </c>
      <c r="B13" s="23" t="str">
        <v>营销费用源表-天猫-AD信息流-交易流水</v>
      </c>
      <c r="C13" s="25" t="str">
        <v>total_income</v>
      </c>
      <c r="D13" s="26" t="str">
        <v>账户总存入</v>
      </c>
      <c r="E13" s="17" t="str">
        <v>DECIMAL(30, 8)</v>
      </c>
      <c r="F13" s="17">
        <f>CONCAT(",",C13,"   ",E13,"   COMMENT'", D13,"'" )</f>
      </c>
      <c r="G13" s="17"/>
      <c r="H13" s="17"/>
      <c r="I13" s="24"/>
      <c r="J13" s="24"/>
      <c r="K13" s="24"/>
      <c r="L13" s="24"/>
      <c r="M13" s="24"/>
      <c r="N13" s="24"/>
    </row>
    <row r="14">
      <c r="A14" s="15">
        <v>12</v>
      </c>
      <c r="B14" s="23" t="str">
        <v>营销费用源表-天猫-AD信息流-交易流水</v>
      </c>
      <c r="C14" s="25" t="str">
        <v>total_input</v>
      </c>
      <c r="D14" s="26" t="str">
        <v>账户总转入</v>
      </c>
      <c r="E14" s="17" t="str">
        <v>DECIMAL(30, 8)</v>
      </c>
      <c r="F14" s="17">
        <f>CONCAT(",",C14,"   ",E14,"   COMMENT'", D14,"'" )</f>
      </c>
      <c r="G14" s="17"/>
      <c r="H14" s="17"/>
      <c r="I14" s="24"/>
      <c r="J14" s="24"/>
      <c r="K14" s="24"/>
      <c r="L14" s="24"/>
      <c r="M14" s="24"/>
      <c r="N14" s="24"/>
    </row>
    <row r="15">
      <c r="A15" s="15">
        <v>13</v>
      </c>
      <c r="B15" s="23" t="str">
        <v>营销费用源表-天猫-AD信息流-交易流水</v>
      </c>
      <c r="C15" s="25" t="str">
        <v>total_output</v>
      </c>
      <c r="D15" s="26" t="str">
        <v>账户总转出</v>
      </c>
      <c r="E15" s="17" t="str">
        <v>DECIMAL(30, 8)</v>
      </c>
      <c r="F15" s="17">
        <f>CONCAT(",",C15,"   ",E15,"   COMMENT'", D15,"'" )</f>
      </c>
      <c r="G15" s="17"/>
      <c r="H15" s="17"/>
      <c r="I15" s="24"/>
      <c r="J15" s="24"/>
      <c r="K15" s="24"/>
      <c r="L15" s="24"/>
      <c r="M15" s="24"/>
      <c r="N15" s="24"/>
    </row>
    <row r="16">
      <c r="A16" s="15">
        <v>14</v>
      </c>
      <c r="B16" s="23" t="str">
        <v>营销费用源表-天猫-AD信息流-交易流水</v>
      </c>
      <c r="C16" s="25" t="str">
        <v>non_gift_balance</v>
      </c>
      <c r="D16" s="26" t="str">
        <v>非赠款余额</v>
      </c>
      <c r="E16" s="17" t="str">
        <v>DECIMAL(30, 8)</v>
      </c>
      <c r="F16" s="17">
        <f>CONCAT(",",C16,"   ",E16,"   COMMENT'", D16,"'" )</f>
      </c>
      <c r="G16" s="17"/>
      <c r="H16" s="17"/>
      <c r="I16" s="24"/>
      <c r="J16" s="24"/>
      <c r="K16" s="24"/>
      <c r="L16" s="24"/>
      <c r="M16" s="24"/>
      <c r="N16" s="24"/>
    </row>
    <row r="17">
      <c r="A17" s="15">
        <v>15</v>
      </c>
      <c r="B17" s="23" t="str">
        <v>营销费用源表-天猫-AD信息流-交易流水</v>
      </c>
      <c r="C17" s="25" t="str">
        <v>gift_balance</v>
      </c>
      <c r="D17" s="26" t="str">
        <v>赠款余额</v>
      </c>
      <c r="E17" s="17" t="str">
        <v>DECIMAL(30, 8)</v>
      </c>
      <c r="F17" s="17">
        <f>CONCAT(",",C17,"   ",E17,"   COMMENT'", D17,"'" )</f>
      </c>
      <c r="G17" s="17"/>
      <c r="H17" s="17"/>
      <c r="I17" s="24"/>
      <c r="J17" s="24"/>
      <c r="K17" s="24"/>
      <c r="L17" s="24"/>
      <c r="M17" s="24"/>
      <c r="N17" s="24"/>
    </row>
    <row r="18">
      <c r="A18" s="15">
        <v>16</v>
      </c>
      <c r="B18" s="23" t="str">
        <v>营销费用源表-天猫-AD信息流-交易流水</v>
      </c>
      <c r="C18" s="25" t="str">
        <v>total_balance</v>
      </c>
      <c r="D18" s="26" t="str">
        <v>总余额</v>
      </c>
      <c r="E18" s="17" t="str">
        <v>DECIMAL(30, 8)</v>
      </c>
      <c r="F18" s="17">
        <f>CONCAT(",",C18,"   ",E18,"   COMMENT'", D18,"'" )</f>
      </c>
      <c r="G18" s="17"/>
      <c r="H18" s="17"/>
      <c r="I18" s="24"/>
      <c r="J18" s="24"/>
      <c r="K18" s="24"/>
      <c r="L18" s="24"/>
      <c r="M18" s="24"/>
      <c r="N18" s="24"/>
    </row>
    <row r="19">
      <c r="A19" s="15">
        <v>17</v>
      </c>
      <c r="B19" s="23" t="str">
        <v>营销费用源表-天猫-AD信息流-交易流水</v>
      </c>
      <c r="C19" s="25" t="str">
        <v>freeze</v>
      </c>
      <c r="D19" s="26" t="str">
        <v>冻结</v>
      </c>
      <c r="E19" s="17" t="str">
        <v>DECIMAL(30, 8)</v>
      </c>
      <c r="F19" s="17">
        <f>CONCAT(",",C19,"   ",E19,"   COMMENT'", D19,"'" )</f>
      </c>
      <c r="G19" s="17"/>
      <c r="H19" s="17"/>
      <c r="I19" s="24"/>
      <c r="J19" s="24"/>
      <c r="K19" s="24"/>
      <c r="L19" s="24"/>
      <c r="M19" s="24"/>
      <c r="N19" s="24"/>
    </row>
    <row r="20"/>
    <row r="21">
      <c r="A21" s="27"/>
      <c r="B21" s="27"/>
      <c r="C21" s="27"/>
      <c r="D21" s="28"/>
    </row>
    <row r="22">
      <c r="A22" s="27"/>
      <c r="B22" s="27"/>
      <c r="C22" s="27"/>
      <c r="D22" s="28"/>
    </row>
    <row r="23">
      <c r="A23" s="27"/>
      <c r="B23" s="27"/>
      <c r="C23" s="27"/>
      <c r="D23" s="28"/>
    </row>
    <row r="24">
      <c r="A24" s="27"/>
      <c r="B24" s="27"/>
      <c r="C24" s="27"/>
      <c r="D24" s="28"/>
    </row>
    <row r="25">
      <c r="A25" s="27"/>
      <c r="B25" s="27"/>
      <c r="C25" s="27"/>
      <c r="D25" s="28"/>
    </row>
    <row r="26">
      <c r="A26" s="27"/>
      <c r="B26" s="27"/>
      <c r="C26" s="27"/>
      <c r="D26" s="28"/>
    </row>
    <row r="27">
      <c r="A27" s="27"/>
      <c r="B27" s="27"/>
      <c r="C27" s="27"/>
      <c r="D27" s="28"/>
    </row>
    <row r="28">
      <c r="A28" s="27"/>
      <c r="B28" s="27"/>
      <c r="C28" s="27"/>
      <c r="D28" s="28"/>
    </row>
    <row r="29">
      <c r="A29" s="27"/>
      <c r="B29" s="27"/>
      <c r="C29" s="27"/>
      <c r="D29" s="28"/>
    </row>
    <row r="30">
      <c r="A30" s="27"/>
      <c r="B30" s="27"/>
      <c r="C30" s="27"/>
      <c r="D30" s="28"/>
    </row>
    <row r="31">
      <c r="A31" s="27"/>
      <c r="B31" s="27"/>
      <c r="C31" s="27"/>
      <c r="D31" s="28"/>
    </row>
    <row r="32">
      <c r="A32" s="27"/>
      <c r="B32" s="27"/>
      <c r="C32" s="27"/>
      <c r="D32" s="28"/>
    </row>
    <row r="33">
      <c r="A33" s="27"/>
      <c r="B33" s="27"/>
      <c r="C33" s="27"/>
      <c r="D33" s="28"/>
    </row>
    <row r="34">
      <c r="A34" s="27"/>
      <c r="B34" s="27"/>
      <c r="C34" s="27"/>
      <c r="D34" s="28"/>
    </row>
    <row r="35">
      <c r="A35" s="27"/>
      <c r="B35" s="27"/>
      <c r="C35" s="27"/>
      <c r="D35" s="28"/>
    </row>
    <row r="36">
      <c r="A36" s="27"/>
      <c r="B36" s="27"/>
      <c r="C36" s="27"/>
      <c r="D36" s="28"/>
    </row>
    <row r="37">
      <c r="A37" s="27"/>
      <c r="B37" s="27"/>
      <c r="C37" s="27"/>
      <c r="D37" s="28"/>
    </row>
  </sheetData>
  <mergeCells>
    <mergeCell ref="A1:H1"/>
    <mergeCell ref="I1:N1"/>
  </mergeCells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19" t="str">
        <v>序号</v>
      </c>
      <c r="B2" s="20" t="str">
        <v>模型名称</v>
      </c>
      <c r="C2" s="20" t="str">
        <v>字段</v>
      </c>
      <c r="D2" s="20" t="str">
        <v>字段描述</v>
      </c>
      <c r="E2" s="19" t="str">
        <v>字段类型</v>
      </c>
      <c r="F2" s="19" t="str">
        <v>字段长度</v>
      </c>
      <c r="G2" s="19" t="str">
        <v>是否主键</v>
      </c>
      <c r="H2" s="19" t="str">
        <v>字段备注</v>
      </c>
      <c r="I2" s="35" t="str">
        <v>数据来源系统</v>
      </c>
      <c r="J2" s="35" t="str">
        <v>数据来源表</v>
      </c>
      <c r="K2" s="35" t="str">
        <v>来源表描述</v>
      </c>
      <c r="L2" s="36" t="str">
        <v>来源字段</v>
      </c>
      <c r="M2" s="36" t="str">
        <v>来源字段描述</v>
      </c>
      <c r="N2" s="36" t="str">
        <v>备注</v>
      </c>
    </row>
    <row r="3">
      <c r="A3" s="15">
        <v>1</v>
      </c>
      <c r="B3" s="23" t="str">
        <v>营销费用源表-天猫-磁力引擎-广告计划</v>
      </c>
      <c r="C3" s="25" t="str">
        <v>cost_date</v>
      </c>
      <c r="D3" s="23" t="str">
        <v>日期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15">
        <v>2</v>
      </c>
      <c r="B4" s="23" t="str">
        <v>营销费用源表-天猫-磁力引擎-广告计划</v>
      </c>
      <c r="C4" s="25" t="str">
        <v>campaign_name</v>
      </c>
      <c r="D4" s="23" t="str">
        <v>计划名称</v>
      </c>
      <c r="E4" s="23" t="str">
        <v>STRING</v>
      </c>
      <c r="F4" s="23">
        <f>CONCAT(",",C4,"   ",E4,"   COMMENT'", D4,"'" )</f>
      </c>
      <c r="G4" s="17"/>
      <c r="H4" s="17"/>
      <c r="I4" s="24"/>
      <c r="J4" s="24"/>
      <c r="K4" s="24"/>
      <c r="L4" s="24"/>
      <c r="M4" s="24"/>
      <c r="N4" s="24"/>
    </row>
    <row r="5">
      <c r="A5" s="15">
        <v>3</v>
      </c>
      <c r="B5" s="23" t="str">
        <v>营销费用源表-天猫-磁力引擎-广告计划</v>
      </c>
      <c r="C5" s="25" t="str">
        <v>cost_amount</v>
      </c>
      <c r="D5" s="23" t="str">
        <v>花费</v>
      </c>
      <c r="E5" s="17" t="str">
        <v>DECIMAL(30, 8)</v>
      </c>
      <c r="F5" s="23">
        <f>CONCAT(",",C5,"   ",E5,"   COMMENT'", D5,"'" )</f>
      </c>
      <c r="G5" s="17"/>
      <c r="H5" s="17"/>
      <c r="I5" s="24"/>
      <c r="J5" s="24"/>
      <c r="K5" s="24"/>
      <c r="L5" s="24"/>
      <c r="M5" s="24"/>
      <c r="N5" s="24"/>
    </row>
    <row r="6">
      <c r="A6" s="15">
        <v>4</v>
      </c>
      <c r="B6" s="23" t="str">
        <v>营销费用源表-天猫-磁力引擎-广告计划</v>
      </c>
      <c r="C6" s="25" t="str">
        <v>cover_impression</v>
      </c>
      <c r="D6" s="23" t="str">
        <v>封面曝光数</v>
      </c>
      <c r="E6" s="17" t="str">
        <v>DECIMAL(30, 8)</v>
      </c>
      <c r="F6" s="23">
        <f>CONCAT(",",C6,"   ",E6,"   COMMENT'", D6,"'" )</f>
      </c>
      <c r="G6" s="17"/>
      <c r="H6" s="17"/>
      <c r="I6" s="24"/>
      <c r="J6" s="24"/>
      <c r="K6" s="24"/>
      <c r="L6" s="24"/>
      <c r="M6" s="24"/>
      <c r="N6" s="24"/>
    </row>
    <row r="7">
      <c r="A7" s="15">
        <v>5</v>
      </c>
      <c r="B7" s="23" t="str">
        <v>营销费用源表-天猫-磁力引擎-广告计划</v>
      </c>
      <c r="C7" s="25" t="str">
        <v>cover_click</v>
      </c>
      <c r="D7" s="23" t="str">
        <v>封面点击数</v>
      </c>
      <c r="E7" s="17" t="str">
        <v>DECIMAL(30, 8)</v>
      </c>
      <c r="F7" s="23">
        <f>CONCAT(",",C7,"   ",E7,"   COMMENT'", D7,"'" )</f>
      </c>
      <c r="G7" s="17"/>
      <c r="H7" s="17"/>
      <c r="I7" s="24"/>
      <c r="J7" s="24"/>
      <c r="K7" s="24"/>
      <c r="L7" s="24"/>
      <c r="M7" s="24"/>
      <c r="N7" s="24"/>
    </row>
    <row r="8">
      <c r="A8" s="15">
        <v>6</v>
      </c>
      <c r="B8" s="23" t="str">
        <v>营销费用源表-天猫-磁力引擎-广告计划</v>
      </c>
      <c r="C8" s="25" t="str">
        <v>material_impression</v>
      </c>
      <c r="D8" s="23" t="str">
        <v>素材曝光数</v>
      </c>
      <c r="E8" s="17" t="str">
        <v>DECIMAL(30, 8)</v>
      </c>
      <c r="F8" s="23">
        <f>CONCAT(",",C8,"   ",E8,"   COMMENT'", D8,"'" )</f>
      </c>
      <c r="G8" s="17"/>
      <c r="H8" s="17"/>
      <c r="I8" s="24"/>
      <c r="J8" s="24"/>
      <c r="K8" s="24"/>
      <c r="L8" s="24"/>
      <c r="M8" s="24"/>
      <c r="N8" s="24"/>
    </row>
    <row r="9">
      <c r="A9" s="15">
        <v>7</v>
      </c>
      <c r="B9" s="23" t="str">
        <v>营销费用源表-天猫-磁力引擎-广告计划</v>
      </c>
      <c r="C9" s="25" t="str">
        <v>action</v>
      </c>
      <c r="D9" s="23" t="str">
        <v>行为数</v>
      </c>
      <c r="E9" s="17" t="str">
        <v>DECIMAL(30, 8)</v>
      </c>
      <c r="F9" s="23">
        <f>CONCAT(",",C9,"   ",E9,"   COMMENT'", D9,"'" )</f>
      </c>
      <c r="G9" s="17"/>
      <c r="H9" s="17"/>
      <c r="I9" s="24"/>
      <c r="J9" s="24"/>
      <c r="K9" s="24"/>
      <c r="L9" s="24"/>
      <c r="M9" s="24"/>
      <c r="N9" s="24"/>
    </row>
    <row r="10">
      <c r="A10" s="15">
        <v>8</v>
      </c>
      <c r="B10" s="23" t="str">
        <v>营销费用源表-天猫-磁力引擎-广告计划</v>
      </c>
      <c r="C10" s="25" t="str">
        <v>cover_click_rate</v>
      </c>
      <c r="D10" s="23" t="str">
        <v>封面点击率</v>
      </c>
      <c r="E10" s="17" t="str">
        <v>DECIMAL(30, 8)</v>
      </c>
      <c r="F10" s="23">
        <f>CONCAT(",",C10,"   ",E10,"   COMMENT'", D10,"'" )</f>
      </c>
      <c r="G10" s="17"/>
      <c r="H10" s="17"/>
      <c r="I10" s="24"/>
      <c r="J10" s="24"/>
      <c r="K10" s="24"/>
      <c r="L10" s="24"/>
      <c r="M10" s="24"/>
      <c r="N10" s="24"/>
    </row>
    <row r="11">
      <c r="A11" s="15">
        <v>9</v>
      </c>
      <c r="B11" s="23" t="str">
        <v>营销费用源表-天猫-磁力引擎-广告计划</v>
      </c>
      <c r="C11" s="25" t="str">
        <v>material_click_rate</v>
      </c>
      <c r="D11" s="23" t="str">
        <v>素材点击率</v>
      </c>
      <c r="E11" s="17" t="str">
        <v>DECIMAL(30, 8)</v>
      </c>
      <c r="F11" s="23">
        <f>CONCAT(",",C11,"   ",E11,"   COMMENT'", D11,"'" )</f>
      </c>
      <c r="G11" s="17"/>
      <c r="H11" s="17"/>
      <c r="I11" s="24"/>
      <c r="J11" s="24"/>
      <c r="K11" s="24"/>
      <c r="L11" s="24"/>
      <c r="M11" s="24"/>
      <c r="N11" s="24"/>
    </row>
    <row r="12">
      <c r="A12" s="15">
        <v>10</v>
      </c>
      <c r="B12" s="23" t="str">
        <v>营销费用源表-天猫-磁力引擎-广告计划</v>
      </c>
      <c r="C12" s="25" t="str">
        <v>average_cost_cover_impressions</v>
      </c>
      <c r="D12" s="23" t="str">
        <v>平均千次封面曝光花费</v>
      </c>
      <c r="E12" s="17" t="str">
        <v>DECIMAL(30, 8)</v>
      </c>
      <c r="F12" s="23">
        <f>CONCAT(",",C12,"   ",E12,"   COMMENT'", D12,"'" )</f>
      </c>
      <c r="G12" s="17"/>
      <c r="H12" s="17"/>
      <c r="I12" s="24"/>
      <c r="J12" s="24"/>
      <c r="K12" s="24"/>
      <c r="L12" s="24"/>
      <c r="M12" s="24"/>
      <c r="N12" s="24"/>
    </row>
    <row r="13">
      <c r="A13" s="15">
        <v>11</v>
      </c>
      <c r="B13" s="23" t="str">
        <v>营销费用源表-天猫-磁力引擎-广告计划</v>
      </c>
      <c r="C13" s="25" t="str">
        <v>average_cost_material_impressions</v>
      </c>
      <c r="D13" s="23" t="str">
        <v>平均千次素材曝光花费</v>
      </c>
      <c r="E13" s="17" t="str">
        <v>DECIMAL(30, 8)</v>
      </c>
      <c r="F13" s="23">
        <f>CONCAT(",",C13,"   ",E13,"   COMMENT'", D13,"'" )</f>
      </c>
      <c r="G13" s="17"/>
      <c r="H13" s="17"/>
      <c r="I13" s="24"/>
      <c r="J13" s="24"/>
      <c r="K13" s="24"/>
      <c r="L13" s="24"/>
      <c r="M13" s="24"/>
      <c r="N13" s="24"/>
    </row>
    <row r="14">
      <c r="A14" s="15">
        <v>12</v>
      </c>
      <c r="B14" s="23" t="str">
        <v>营销费用源表-天猫-磁力引擎-广告计划</v>
      </c>
      <c r="C14" s="25" t="str">
        <v>average_cover_click_price</v>
      </c>
      <c r="D14" s="23" t="str">
        <v>平均封面点击单价</v>
      </c>
      <c r="E14" s="17" t="str">
        <v>DECIMAL(30, 8)</v>
      </c>
      <c r="F14" s="23">
        <f>CONCAT(",",C14,"   ",E14,"   COMMENT'", D14,"'" )</f>
      </c>
      <c r="G14" s="17"/>
      <c r="H14" s="17"/>
      <c r="I14" s="24"/>
      <c r="J14" s="24"/>
      <c r="K14" s="24"/>
      <c r="L14" s="24"/>
      <c r="M14" s="24"/>
      <c r="N14" s="24"/>
    </row>
    <row r="15">
      <c r="A15" s="15">
        <v>13</v>
      </c>
      <c r="B15" s="23" t="str">
        <v>营销费用源表-天猫-磁力引擎-广告计划</v>
      </c>
      <c r="C15" s="25" t="str">
        <v>average_action_price</v>
      </c>
      <c r="D15" s="23" t="str">
        <v>平均行为单价</v>
      </c>
      <c r="E15" s="17" t="str">
        <v>DECIMAL(30, 8)</v>
      </c>
      <c r="F15" s="23">
        <f>CONCAT(",",C15,"   ",E15,"   COMMENT'", D15,"'" )</f>
      </c>
      <c r="G15" s="17"/>
      <c r="H15" s="17"/>
      <c r="I15" s="24"/>
      <c r="J15" s="24"/>
      <c r="K15" s="24"/>
      <c r="L15" s="24"/>
      <c r="M15" s="24"/>
      <c r="N15" s="24"/>
    </row>
    <row r="16">
      <c r="A16" s="15">
        <v>14</v>
      </c>
      <c r="B16" s="23" t="str">
        <v>营销费用源表-天猫-磁力引擎-广告计划</v>
      </c>
      <c r="C16" s="25" t="str">
        <v>impression</v>
      </c>
      <c r="D16" s="23" t="str">
        <v>曝光数</v>
      </c>
      <c r="E16" s="17" t="str">
        <v>DECIMAL(30, 8)</v>
      </c>
      <c r="F16" s="23">
        <f>CONCAT(",",C16,"   ",E16,"   COMMENT'", D16,"'" )</f>
      </c>
      <c r="G16" s="17"/>
      <c r="H16" s="17"/>
      <c r="I16" s="24"/>
      <c r="J16" s="24"/>
      <c r="K16" s="24"/>
      <c r="L16" s="24"/>
      <c r="M16" s="24"/>
      <c r="N16" s="24"/>
    </row>
    <row r="17">
      <c r="A17" s="15">
        <v>15</v>
      </c>
      <c r="B17" s="23" t="str">
        <v>营销费用源表-天猫-磁力引擎-广告计划</v>
      </c>
      <c r="C17" s="25" t="str">
        <v>action_rate</v>
      </c>
      <c r="D17" s="23" t="str">
        <v>行为率(新)</v>
      </c>
      <c r="E17" s="23" t="str">
        <v>STRING</v>
      </c>
      <c r="F17" s="23">
        <f>CONCAT(",",C17,"   ",E17,"   COMMENT'", D17,"'" )</f>
      </c>
      <c r="G17" s="17"/>
      <c r="H17" s="17"/>
      <c r="I17" s="24"/>
      <c r="J17" s="24"/>
      <c r="K17" s="24"/>
      <c r="L17" s="24"/>
      <c r="M17" s="24"/>
      <c r="N17" s="24"/>
    </row>
    <row r="18">
      <c r="A18" s="15">
        <v>16</v>
      </c>
      <c r="B18" s="23" t="str">
        <v>营销费用源表-天猫-磁力引擎-广告计划</v>
      </c>
      <c r="C18" s="25" t="str">
        <v>live_view_3s</v>
      </c>
      <c r="D18" s="23" t="str">
        <v>直播观看3秒数</v>
      </c>
      <c r="E18" s="23" t="str">
        <v>STRING</v>
      </c>
      <c r="F18" s="23">
        <f>CONCAT(",",C18,"   ",E18,"   COMMENT'", D18,"'" )</f>
      </c>
      <c r="G18" s="17"/>
      <c r="H18" s="17"/>
      <c r="I18" s="24"/>
      <c r="J18" s="24"/>
      <c r="K18" s="24"/>
      <c r="L18" s="24"/>
      <c r="M18" s="24"/>
      <c r="N18" s="24"/>
    </row>
    <row r="19">
      <c r="A19" s="15">
        <v>17</v>
      </c>
      <c r="B19" s="23" t="str">
        <v>营销费用源表-天猫-磁力引擎-广告计划</v>
      </c>
      <c r="C19" s="25" t="str">
        <v>cost_per_live_view_3s</v>
      </c>
      <c r="D19" s="23" t="str">
        <v>直播观看3秒成本</v>
      </c>
      <c r="E19" s="17" t="str">
        <v>DECIMAL(30, 8)</v>
      </c>
      <c r="F19" s="23">
        <f>CONCAT(",",C19,"   ",E19,"   COMMENT'", D19,"'" )</f>
      </c>
      <c r="G19" s="17"/>
      <c r="H19" s="17"/>
      <c r="I19" s="24"/>
      <c r="J19" s="24"/>
      <c r="K19" s="24"/>
      <c r="L19" s="24"/>
      <c r="M19" s="24"/>
      <c r="N19" s="24"/>
    </row>
    <row r="20">
      <c r="A20" s="15">
        <v>18</v>
      </c>
      <c r="B20" s="23" t="str">
        <v>营销费用源表-天猫-磁力引擎-广告计划</v>
      </c>
      <c r="C20" s="25" t="str">
        <v>live_goods_click</v>
      </c>
      <c r="D20" s="23" t="str">
        <v>直播间商品点击数</v>
      </c>
      <c r="E20" s="23" t="str">
        <v>STRING</v>
      </c>
      <c r="F20" s="23">
        <f>CONCAT(",",C20,"   ",E20,"   COMMENT'", D20,"'" )</f>
      </c>
      <c r="G20" s="17"/>
      <c r="H20" s="17"/>
      <c r="I20" s="24"/>
      <c r="J20" s="24"/>
      <c r="K20" s="24"/>
      <c r="L20" s="24"/>
      <c r="M20" s="24"/>
      <c r="N20" s="24"/>
    </row>
    <row r="21">
      <c r="A21" s="15">
        <v>19</v>
      </c>
      <c r="B21" s="23" t="str">
        <v>营销费用源表-天猫-磁力引擎-广告计划</v>
      </c>
      <c r="C21" s="25" t="str">
        <v>cost_per_live_goods_click</v>
      </c>
      <c r="D21" s="23" t="str">
        <v>直播间商品点击成本</v>
      </c>
      <c r="E21" s="17" t="str">
        <v>DECIMAL(30, 8)</v>
      </c>
      <c r="F21" s="23">
        <f>CONCAT(",",C21,"   ",E21,"   COMMENT'", D21,"'" )</f>
      </c>
      <c r="G21" s="17"/>
      <c r="H21" s="17"/>
      <c r="I21" s="24"/>
      <c r="J21" s="24"/>
      <c r="K21" s="24"/>
      <c r="L21" s="24"/>
      <c r="M21" s="24"/>
      <c r="N21" s="24"/>
    </row>
    <row r="22"/>
    <row r="23"/>
    <row r="24">
      <c r="A24" s="27"/>
      <c r="B24" s="27"/>
      <c r="C24" s="27"/>
      <c r="D24" s="28"/>
    </row>
    <row r="25">
      <c r="A25" s="27"/>
      <c r="B25" s="27"/>
      <c r="C25" s="27"/>
      <c r="D25" s="28"/>
    </row>
    <row r="26">
      <c r="A26" s="27"/>
      <c r="B26" s="27"/>
      <c r="C26" s="27"/>
      <c r="D26" s="28"/>
    </row>
    <row r="27">
      <c r="A27" s="27"/>
      <c r="B27" s="27"/>
      <c r="C27" s="27"/>
      <c r="D27" s="28"/>
    </row>
    <row r="28">
      <c r="A28" s="27"/>
      <c r="B28" s="27"/>
      <c r="C28" s="27"/>
      <c r="D28" s="28"/>
    </row>
    <row r="29">
      <c r="A29" s="27"/>
      <c r="B29" s="27"/>
      <c r="C29" s="27"/>
      <c r="D29" s="28"/>
    </row>
    <row r="30">
      <c r="A30" s="27"/>
      <c r="B30" s="27"/>
      <c r="C30" s="27"/>
      <c r="D30" s="28"/>
    </row>
    <row r="31">
      <c r="A31" s="27"/>
      <c r="B31" s="27"/>
      <c r="C31" s="27"/>
      <c r="D31" s="28"/>
    </row>
    <row r="32">
      <c r="A32" s="27"/>
      <c r="B32" s="27"/>
      <c r="C32" s="27"/>
      <c r="D32" s="28"/>
    </row>
    <row r="33">
      <c r="A33" s="27"/>
      <c r="B33" s="27"/>
      <c r="C33" s="27"/>
      <c r="D33" s="28"/>
    </row>
    <row r="34">
      <c r="A34" s="27"/>
      <c r="B34" s="27"/>
      <c r="C34" s="27"/>
      <c r="D34" s="28"/>
    </row>
    <row r="35">
      <c r="A35" s="27"/>
      <c r="B35" s="27"/>
      <c r="C35" s="27"/>
      <c r="D35" s="28"/>
    </row>
    <row r="36">
      <c r="A36" s="27"/>
      <c r="B36" s="27"/>
      <c r="C36" s="27"/>
      <c r="D36" s="28"/>
    </row>
    <row r="37">
      <c r="A37" s="27"/>
      <c r="B37" s="27"/>
      <c r="C37" s="27"/>
      <c r="D37" s="28"/>
    </row>
    <row r="38">
      <c r="A38" s="27"/>
      <c r="B38" s="27"/>
      <c r="C38" s="27"/>
      <c r="D38" s="28"/>
    </row>
    <row r="39">
      <c r="A39" s="27"/>
      <c r="B39" s="27"/>
      <c r="C39" s="27"/>
      <c r="D39" s="28"/>
    </row>
    <row r="40">
      <c r="A40" s="27"/>
      <c r="B40" s="27"/>
      <c r="C40" s="27"/>
      <c r="D40" s="28"/>
    </row>
    <row r="41">
      <c r="A41" s="27"/>
      <c r="B41" s="27"/>
      <c r="C41" s="27"/>
      <c r="D41" s="28"/>
    </row>
    <row r="42">
      <c r="A42" s="27"/>
      <c r="B42" s="27"/>
      <c r="C42" s="27"/>
    </row>
  </sheetData>
  <mergeCells>
    <mergeCell ref="A1:H1"/>
    <mergeCell ref="I1:N1"/>
  </mergeCells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2"/>
    <col collapsed="false" customWidth="true" hidden="false" max="3" min="3" style="0" width="32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7" t="str">
        <v>数据模型属性定义</v>
      </c>
      <c r="B1" s="7"/>
      <c r="C1" s="7"/>
      <c r="D1" s="7"/>
      <c r="E1" s="7"/>
      <c r="F1" s="7"/>
      <c r="G1" s="7"/>
      <c r="H1" s="7"/>
      <c r="I1" s="8" t="str">
        <v>系统溯源分析</v>
      </c>
      <c r="J1" s="8"/>
      <c r="K1" s="8"/>
      <c r="L1" s="8"/>
      <c r="M1" s="8"/>
      <c r="N1" s="8"/>
    </row>
    <row r="2">
      <c r="A2" s="19" t="str">
        <v>序号</v>
      </c>
      <c r="B2" s="20" t="str">
        <v>模型名称</v>
      </c>
      <c r="C2" s="20" t="str">
        <v>字段</v>
      </c>
      <c r="D2" s="19" t="str">
        <v>字段描述</v>
      </c>
      <c r="E2" s="19" t="str">
        <v>字段类型</v>
      </c>
      <c r="F2" s="19" t="str">
        <v>字段长度</v>
      </c>
      <c r="G2" s="19" t="str">
        <v>是否主键</v>
      </c>
      <c r="H2" s="19" t="str">
        <v>字段备注</v>
      </c>
      <c r="I2" s="35" t="str">
        <v>数据来源系统</v>
      </c>
      <c r="J2" s="35" t="str">
        <v>数据来源表</v>
      </c>
      <c r="K2" s="35" t="str">
        <v>来源表描述</v>
      </c>
      <c r="L2" s="36" t="str">
        <v>来源字段</v>
      </c>
      <c r="M2" s="36" t="str">
        <v>来源字段描述</v>
      </c>
      <c r="N2" s="36" t="str">
        <v>备注</v>
      </c>
    </row>
    <row r="3">
      <c r="A3" s="32">
        <v>1</v>
      </c>
      <c r="B3" s="17" t="str">
        <v>营销费用源表-天猫-磁力引擎-资金流水</v>
      </c>
      <c r="C3" s="25" t="str">
        <v>cost_date</v>
      </c>
      <c r="D3" s="38" t="str">
        <v>时间</v>
      </c>
      <c r="E3" s="17" t="str">
        <v>STRING</v>
      </c>
      <c r="F3" s="23">
        <f>CONCAT(",",C3,"   ",E3,"   COMMENT'", D3,"'" )</f>
      </c>
      <c r="G3" s="17"/>
      <c r="H3" s="17"/>
      <c r="I3" s="17"/>
      <c r="J3" s="17"/>
      <c r="K3" s="17"/>
      <c r="L3" s="17"/>
      <c r="M3" s="17"/>
      <c r="N3" s="17"/>
    </row>
    <row r="4">
      <c r="A4" s="32">
        <v>2</v>
      </c>
      <c r="B4" s="17" t="str">
        <v>营销费用源表-天猫-磁力引擎-资金流水</v>
      </c>
      <c r="C4" s="25" t="str">
        <v>kuaishou_account_id</v>
      </c>
      <c r="D4" s="38" t="str">
        <v>账户快手ID</v>
      </c>
      <c r="E4" s="17" t="str">
        <v>STRING</v>
      </c>
      <c r="F4" s="23">
        <f>CONCAT(",",C4,"   ",E4,"   COMMENT'", D4,"'" )</f>
      </c>
      <c r="G4" s="17"/>
      <c r="H4" s="17"/>
      <c r="I4" s="17"/>
      <c r="J4" s="17"/>
      <c r="K4" s="17"/>
      <c r="L4" s="17"/>
      <c r="M4" s="17"/>
      <c r="N4" s="17"/>
    </row>
    <row r="5">
      <c r="A5" s="32">
        <v>3</v>
      </c>
      <c r="B5" s="17" t="str">
        <v>营销费用源表-天猫-磁力引擎-资金流水</v>
      </c>
      <c r="C5" s="25" t="str">
        <v>advertiser_account_id</v>
      </c>
      <c r="D5" s="38" t="str">
        <v>广告主账户ID</v>
      </c>
      <c r="E5" s="17" t="str">
        <v>STRING</v>
      </c>
      <c r="F5" s="23">
        <f>CONCAT(",",C5,"   ",E5,"   COMMENT'", D5,"'" )</f>
      </c>
      <c r="G5" s="17"/>
      <c r="H5" s="17"/>
      <c r="I5" s="17"/>
      <c r="J5" s="17"/>
      <c r="K5" s="17"/>
      <c r="L5" s="17"/>
      <c r="M5" s="17"/>
      <c r="N5" s="17"/>
    </row>
    <row r="6">
      <c r="A6" s="32">
        <v>4</v>
      </c>
      <c r="B6" s="17" t="str">
        <v>营销费用源表-天猫-磁力引擎-资金流水</v>
      </c>
      <c r="C6" s="25" t="str">
        <v>total_cost_actual</v>
      </c>
      <c r="D6" s="38" t="str">
        <v>总花费-实耗</v>
      </c>
      <c r="E6" s="17" t="str">
        <v>DECIMAL(30, 8)</v>
      </c>
      <c r="F6" s="23">
        <f>CONCAT(",",C6,"   ",E6,"   COMMENT'", D6,"'" )</f>
      </c>
      <c r="G6" s="17"/>
      <c r="H6" s="17"/>
      <c r="I6" s="17"/>
      <c r="J6" s="17"/>
      <c r="K6" s="17"/>
      <c r="L6" s="17"/>
      <c r="M6" s="17"/>
      <c r="N6" s="17"/>
    </row>
    <row r="7">
      <c r="A7" s="32">
        <v>5</v>
      </c>
      <c r="B7" s="17" t="str">
        <v>营销费用源表-天猫-磁力引擎-资金流水</v>
      </c>
      <c r="C7" s="25" t="str">
        <v>recharge_cost_actual</v>
      </c>
      <c r="D7" s="38" t="str">
        <v>充值花费-实耗</v>
      </c>
      <c r="E7" s="17" t="str">
        <v>DECIMAL(30, 8)</v>
      </c>
      <c r="F7" s="23">
        <f>CONCAT(",",C7,"   ",E7,"   COMMENT'", D7,"'" )</f>
      </c>
      <c r="G7" s="17"/>
      <c r="H7" s="17"/>
      <c r="I7" s="17"/>
      <c r="J7" s="17"/>
      <c r="K7" s="17"/>
      <c r="L7" s="17"/>
      <c r="M7" s="17"/>
      <c r="N7" s="17"/>
    </row>
    <row r="8">
      <c r="A8" s="32">
        <v>6</v>
      </c>
      <c r="B8" s="17" t="str">
        <v>营销费用源表-天猫-磁力引擎-资金流水</v>
      </c>
      <c r="C8" s="25" t="str">
        <v>frame_return_cost_actual</v>
      </c>
      <c r="D8" s="38" t="str">
        <v>框返花费-实耗</v>
      </c>
      <c r="E8" s="17" t="str">
        <v>DECIMAL(30, 8)</v>
      </c>
      <c r="F8" s="23">
        <f>CONCAT(",",C8,"   ",E8,"   COMMENT'", D8,"'" )</f>
      </c>
      <c r="G8" s="17"/>
      <c r="H8" s="17"/>
      <c r="I8" s="17"/>
      <c r="J8" s="17"/>
      <c r="K8" s="17"/>
      <c r="L8" s="17"/>
      <c r="M8" s="17"/>
      <c r="N8" s="17"/>
    </row>
    <row r="9">
      <c r="A9" s="32">
        <v>7</v>
      </c>
      <c r="B9" s="17" t="str">
        <v>营销费用源表-天猫-磁力引擎-资金流水</v>
      </c>
      <c r="C9" s="25" t="str">
        <v>incentive_cost_actual</v>
      </c>
      <c r="D9" s="38" t="str">
        <v>激励花费-实耗</v>
      </c>
      <c r="E9" s="17" t="str">
        <v>DECIMAL(30, 8)</v>
      </c>
      <c r="F9" s="23">
        <f>CONCAT(",",C9,"   ",E9,"   COMMENT'", D9,"'" )</f>
      </c>
      <c r="G9" s="17"/>
      <c r="H9" s="17"/>
      <c r="I9" s="17"/>
      <c r="J9" s="17"/>
      <c r="K9" s="17"/>
      <c r="L9" s="17"/>
      <c r="M9" s="17"/>
      <c r="N9" s="17"/>
    </row>
    <row r="10">
      <c r="A10" s="32">
        <v>8</v>
      </c>
      <c r="B10" s="17" t="str">
        <v>营销费用源表-天猫-磁力引擎-资金流水</v>
      </c>
      <c r="C10" s="25" t="str">
        <v>recharge_transfer_in</v>
      </c>
      <c r="D10" s="38" t="str">
        <v>充值转入</v>
      </c>
      <c r="E10" s="17" t="str">
        <v>DECIMAL(30, 8)</v>
      </c>
      <c r="F10" s="23">
        <f>CONCAT(",",C10,"   ",E10,"   COMMENT'", D10,"'" )</f>
      </c>
      <c r="G10" s="17"/>
      <c r="H10" s="17"/>
      <c r="I10" s="17"/>
      <c r="J10" s="17"/>
      <c r="K10" s="17"/>
      <c r="L10" s="17"/>
      <c r="M10" s="17"/>
      <c r="N10" s="17"/>
    </row>
    <row r="11">
      <c r="A11" s="32">
        <v>9</v>
      </c>
      <c r="B11" s="17" t="str">
        <v>营销费用源表-天猫-磁力引擎-资金流水</v>
      </c>
      <c r="C11" s="25" t="str">
        <v>frame_return_transfer_in</v>
      </c>
      <c r="D11" s="38" t="str">
        <v>框返转入</v>
      </c>
      <c r="E11" s="17" t="str">
        <v>DECIMAL(30, 8)</v>
      </c>
      <c r="F11" s="23">
        <f>CONCAT(",",C11,"   ",E11,"   COMMENT'", D11,"'" )</f>
      </c>
      <c r="G11" s="17"/>
      <c r="H11" s="17"/>
      <c r="I11" s="17"/>
      <c r="J11" s="17"/>
      <c r="K11" s="17"/>
      <c r="L11" s="17"/>
      <c r="M11" s="17"/>
      <c r="N11" s="17"/>
    </row>
    <row r="12">
      <c r="A12" s="32">
        <v>10</v>
      </c>
      <c r="B12" s="17" t="str">
        <v>营销费用源表-天猫-磁力引擎-资金流水</v>
      </c>
      <c r="C12" s="25" t="str">
        <v>incentive_transfer_in</v>
      </c>
      <c r="D12" s="38" t="str">
        <v>激励转入</v>
      </c>
      <c r="E12" s="17" t="str">
        <v>DECIMAL(30, 8)</v>
      </c>
      <c r="F12" s="23">
        <f>CONCAT(",",C12,"   ",E12,"   COMMENT'", D12,"'" )</f>
      </c>
      <c r="G12" s="17"/>
      <c r="H12" s="17"/>
      <c r="I12" s="17"/>
      <c r="J12" s="17"/>
      <c r="K12" s="17"/>
      <c r="L12" s="17"/>
      <c r="M12" s="17"/>
      <c r="N12" s="17"/>
    </row>
    <row r="13">
      <c r="A13" s="32">
        <v>11</v>
      </c>
      <c r="B13" s="17" t="str">
        <v>营销费用源表-天猫-磁力引擎-资金流水</v>
      </c>
      <c r="C13" s="25" t="str">
        <v>total_transfer_in</v>
      </c>
      <c r="D13" s="38" t="str">
        <v>总转入</v>
      </c>
      <c r="E13" s="17" t="str">
        <v>DECIMAL(30, 8)</v>
      </c>
      <c r="F13" s="23">
        <f>CONCAT(",",C13,"   ",E13,"   COMMENT'", D13,"'" )</f>
      </c>
      <c r="G13" s="17"/>
      <c r="H13" s="17"/>
      <c r="I13" s="17"/>
      <c r="J13" s="17"/>
      <c r="K13" s="17"/>
      <c r="L13" s="17"/>
      <c r="M13" s="17"/>
      <c r="N13" s="17"/>
    </row>
    <row r="14">
      <c r="A14" s="32">
        <v>12</v>
      </c>
      <c r="B14" s="17" t="str">
        <v>营销费用源表-天猫-磁力引擎-资金流水</v>
      </c>
      <c r="C14" s="25" t="str">
        <v>total_transfer_out</v>
      </c>
      <c r="D14" s="38" t="str">
        <v>总转出</v>
      </c>
      <c r="E14" s="17" t="str">
        <v>DECIMAL(30, 8)</v>
      </c>
      <c r="F14" s="23">
        <f>CONCAT(",",C14,"   ",E14,"   COMMENT'", D14,"'" )</f>
      </c>
      <c r="G14" s="17"/>
      <c r="H14" s="17"/>
      <c r="I14" s="17"/>
      <c r="J14" s="17"/>
      <c r="K14" s="17"/>
      <c r="L14" s="17"/>
      <c r="M14" s="17"/>
      <c r="N14" s="17"/>
    </row>
    <row r="15">
      <c r="A15" s="32">
        <v>13</v>
      </c>
      <c r="B15" s="17" t="str">
        <v>营销费用源表-天猫-磁力引擎-资金流水</v>
      </c>
      <c r="C15" s="25" t="str">
        <v>daily_ending_balance</v>
      </c>
      <c r="D15" s="38" t="str">
        <v>日终结余</v>
      </c>
      <c r="E15" s="17" t="str">
        <v>DECIMAL(30, 8)</v>
      </c>
      <c r="F15" s="23">
        <f>CONCAT(",",C15,"   ",E15,"   COMMENT'", D15,"'" )</f>
      </c>
      <c r="G15" s="17"/>
      <c r="H15" s="17"/>
      <c r="I15" s="17"/>
      <c r="J15" s="17"/>
      <c r="K15" s="17"/>
      <c r="L15" s="17"/>
      <c r="M15" s="17"/>
      <c r="N15" s="17"/>
    </row>
    <row r="16">
      <c r="A16" s="32">
        <v>14</v>
      </c>
      <c r="B16" s="17" t="str">
        <v>营销费用源表-天猫-磁力引擎-资金流水</v>
      </c>
      <c r="C16" s="25" t="str">
        <v>total_cost_order</v>
      </c>
      <c r="D16" s="38" t="str">
        <v>总花费-订单</v>
      </c>
      <c r="E16" s="17" t="str">
        <v>DECIMAL(30, 8)</v>
      </c>
      <c r="F16" s="23">
        <f>CONCAT(",",C16,"   ",E16,"   COMMENT'", D16,"'" )</f>
      </c>
      <c r="G16" s="17"/>
      <c r="H16" s="17"/>
      <c r="I16" s="17"/>
      <c r="J16" s="17"/>
      <c r="K16" s="17"/>
      <c r="L16" s="17"/>
      <c r="M16" s="17"/>
      <c r="N16" s="17"/>
    </row>
    <row r="17">
      <c r="A17" s="32">
        <v>15</v>
      </c>
      <c r="B17" s="17" t="str">
        <v>营销费用源表-天猫-磁力引擎-资金流水</v>
      </c>
      <c r="C17" s="25" t="str">
        <v>recharge_cost_order</v>
      </c>
      <c r="D17" s="38" t="str">
        <v>充值花费-订单</v>
      </c>
      <c r="E17" s="17" t="str">
        <v>DECIMAL(30, 8)</v>
      </c>
      <c r="F17" s="23">
        <f>CONCAT(",",C17,"   ",E17,"   COMMENT'", D17,"'" )</f>
      </c>
      <c r="G17" s="17"/>
      <c r="H17" s="17"/>
      <c r="I17" s="17"/>
      <c r="J17" s="17"/>
      <c r="K17" s="17"/>
      <c r="L17" s="17"/>
      <c r="M17" s="17"/>
      <c r="N17" s="17"/>
    </row>
    <row r="18">
      <c r="A18" s="32">
        <v>16</v>
      </c>
      <c r="B18" s="17" t="str">
        <v>营销费用源表-天猫-磁力引擎-资金流水</v>
      </c>
      <c r="C18" s="25" t="str">
        <v>frame_return_cost_order</v>
      </c>
      <c r="D18" s="38" t="str">
        <v>框返花费-订单</v>
      </c>
      <c r="E18" s="17" t="str">
        <v>DECIMAL(30, 8)</v>
      </c>
      <c r="F18" s="23">
        <f>CONCAT(",",C18,"   ",E18,"   COMMENT'", D18,"'" )</f>
      </c>
      <c r="G18" s="17"/>
      <c r="H18" s="17"/>
      <c r="I18" s="17"/>
      <c r="J18" s="17"/>
      <c r="K18" s="17"/>
      <c r="L18" s="17"/>
      <c r="M18" s="17"/>
      <c r="N18" s="17"/>
    </row>
    <row r="19">
      <c r="A19" s="32">
        <v>17</v>
      </c>
      <c r="B19" s="17" t="str">
        <v>营销费用源表-天猫-磁力引擎-资金流水</v>
      </c>
      <c r="C19" s="25" t="str">
        <v>incentive_cost_order</v>
      </c>
      <c r="D19" s="38" t="str">
        <v>激励花费-订单</v>
      </c>
      <c r="E19" s="17" t="str">
        <v>DECIMAL(30, 8)</v>
      </c>
      <c r="F19" s="23">
        <f>CONCAT(",",C19,"   ",E19,"   COMMENT'", D19,"'" )</f>
      </c>
      <c r="G19" s="17"/>
      <c r="H19" s="17"/>
      <c r="I19" s="17"/>
      <c r="J19" s="17"/>
      <c r="K19" s="17"/>
      <c r="L19" s="17"/>
      <c r="M19" s="17"/>
      <c r="N19" s="17"/>
    </row>
    <row r="20">
      <c r="A20" s="32">
        <v>18</v>
      </c>
      <c r="B20" s="17" t="str">
        <v>营销费用源表-天猫-磁力引擎-资金流水</v>
      </c>
      <c r="C20" s="25" t="str">
        <v>total_cost</v>
      </c>
      <c r="D20" s="38" t="str">
        <v>总花费</v>
      </c>
      <c r="E20" s="17" t="str">
        <v>DECIMAL(30, 8)</v>
      </c>
      <c r="F20" s="23">
        <f>CONCAT(",",C20,"   ",E20,"   COMMENT'", D20,"'" )</f>
      </c>
      <c r="G20" s="17"/>
      <c r="H20" s="17"/>
      <c r="I20" s="17"/>
      <c r="J20" s="17"/>
      <c r="K20" s="17"/>
      <c r="L20" s="17"/>
      <c r="M20" s="17"/>
      <c r="N20" s="17"/>
    </row>
    <row r="21">
      <c r="A21" s="1"/>
    </row>
    <row r="22">
      <c r="A22" s="27"/>
      <c r="B22" s="27"/>
      <c r="C22" s="27"/>
      <c r="D22" s="28"/>
    </row>
    <row r="23">
      <c r="A23" s="27"/>
      <c r="B23" s="27"/>
      <c r="C23" s="27"/>
      <c r="D23" s="28"/>
    </row>
    <row r="24">
      <c r="A24" s="27"/>
      <c r="B24" s="27"/>
      <c r="C24" s="27"/>
      <c r="D24" s="28"/>
    </row>
    <row r="25">
      <c r="A25" s="27"/>
      <c r="B25" s="27"/>
      <c r="C25" s="27"/>
      <c r="D25" s="28"/>
    </row>
    <row r="26">
      <c r="A26" s="27"/>
      <c r="B26" s="27"/>
      <c r="C26" s="27"/>
      <c r="D26" s="28"/>
    </row>
    <row r="27">
      <c r="A27" s="27"/>
      <c r="B27" s="27"/>
      <c r="C27" s="27"/>
      <c r="D27" s="28"/>
    </row>
    <row r="28">
      <c r="A28" s="27"/>
      <c r="B28" s="27"/>
      <c r="C28" s="27"/>
      <c r="D28" s="28"/>
    </row>
    <row r="29">
      <c r="A29" s="27"/>
      <c r="B29" s="27"/>
      <c r="C29" s="27"/>
      <c r="D29" s="28"/>
    </row>
    <row r="30">
      <c r="A30" s="27"/>
      <c r="B30" s="27"/>
      <c r="C30" s="27"/>
      <c r="D30" s="28"/>
    </row>
    <row r="31">
      <c r="A31" s="27"/>
      <c r="B31" s="27"/>
      <c r="C31" s="27"/>
      <c r="D31" s="28"/>
    </row>
    <row r="32">
      <c r="A32" s="27"/>
      <c r="B32" s="27"/>
      <c r="C32" s="27"/>
      <c r="D32" s="28"/>
    </row>
    <row r="33">
      <c r="A33" s="27"/>
      <c r="B33" s="27"/>
      <c r="C33" s="27"/>
      <c r="D33" s="28"/>
    </row>
    <row r="34">
      <c r="A34" s="27"/>
      <c r="B34" s="27"/>
      <c r="C34" s="27"/>
      <c r="D34" s="28"/>
    </row>
    <row r="35">
      <c r="A35" s="27"/>
      <c r="B35" s="27"/>
      <c r="C35" s="27"/>
      <c r="D35" s="28"/>
    </row>
    <row r="36">
      <c r="A36" s="27"/>
      <c r="B36" s="27"/>
      <c r="C36" s="27"/>
      <c r="D36" s="28"/>
    </row>
    <row r="37">
      <c r="A37" s="27"/>
      <c r="B37" s="27"/>
      <c r="C37" s="27"/>
      <c r="D37" s="28"/>
    </row>
    <row r="38">
      <c r="A38" s="27"/>
      <c r="B38" s="27"/>
      <c r="C38" s="27"/>
      <c r="D38" s="28"/>
    </row>
    <row r="39">
      <c r="A39" s="27"/>
      <c r="B39" s="27"/>
      <c r="C39" s="27"/>
      <c r="D39" s="28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  <mergeCells>
    <mergeCell ref="A1:H1"/>
    <mergeCell ref="I1:N1"/>
  </mergeCells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15">
        <v>1</v>
      </c>
      <c r="B3" s="15" t="str">
        <v>营销费用源表-天猫-直通车-业务计划</v>
      </c>
      <c r="C3" s="25" t="str">
        <v>cost_date</v>
      </c>
      <c r="D3" s="26" t="str">
        <v>日期</v>
      </c>
      <c r="E3" s="23" t="str">
        <v>STRING</v>
      </c>
      <c r="F3" s="23">
        <f>LEN(C3)</f>
      </c>
      <c r="G3" s="23"/>
      <c r="H3" s="15"/>
      <c r="I3" s="24"/>
      <c r="J3" s="24"/>
      <c r="K3" s="14"/>
      <c r="L3" s="14"/>
      <c r="M3" s="14"/>
      <c r="N3" s="14"/>
    </row>
    <row r="4">
      <c r="A4" s="15">
        <v>2</v>
      </c>
      <c r="B4" s="15" t="str">
        <v>营销费用源表-天猫-直通车-业务计划</v>
      </c>
      <c r="C4" s="25" t="str">
        <v>campaign_id</v>
      </c>
      <c r="D4" s="26" t="str">
        <v>计划id</v>
      </c>
      <c r="E4" s="23" t="str">
        <v>STRING</v>
      </c>
      <c r="F4" s="23">
        <f>LEN(C4)</f>
      </c>
      <c r="G4" s="17"/>
      <c r="H4" s="33"/>
      <c r="I4" s="24"/>
      <c r="J4" s="24"/>
      <c r="K4" s="24"/>
      <c r="L4" s="24"/>
      <c r="M4" s="24"/>
      <c r="N4" s="24"/>
    </row>
    <row r="5">
      <c r="A5" s="15">
        <v>3</v>
      </c>
      <c r="B5" s="15" t="str">
        <v>营销费用源表-天猫-直通车-业务计划</v>
      </c>
      <c r="C5" s="25" t="str">
        <v>campaign_name</v>
      </c>
      <c r="D5" s="26" t="str">
        <v>计划名称</v>
      </c>
      <c r="E5" s="23" t="str">
        <v>STRING</v>
      </c>
      <c r="F5" s="23">
        <f>LEN(C5)</f>
      </c>
      <c r="G5" s="17"/>
      <c r="H5" s="33"/>
      <c r="I5" s="24"/>
      <c r="J5" s="24"/>
      <c r="K5" s="24"/>
      <c r="L5" s="24"/>
      <c r="M5" s="24"/>
      <c r="N5" s="24"/>
    </row>
    <row r="6">
      <c r="A6" s="15">
        <v>4</v>
      </c>
      <c r="B6" s="15" t="str">
        <v>营销费用源表-天猫-直通车-业务计划</v>
      </c>
      <c r="C6" s="25" t="str">
        <v>promotion_type</v>
      </c>
      <c r="D6" s="26" t="str">
        <v>推广类型</v>
      </c>
      <c r="E6" s="23" t="str">
        <v>STRING</v>
      </c>
      <c r="F6" s="23">
        <f>LEN(C6)</f>
      </c>
      <c r="G6" s="17"/>
      <c r="H6" s="33"/>
      <c r="I6" s="24"/>
      <c r="J6" s="24"/>
      <c r="K6" s="24"/>
      <c r="L6" s="24"/>
      <c r="M6" s="24"/>
      <c r="N6" s="24"/>
    </row>
    <row r="7">
      <c r="A7" s="15">
        <v>5</v>
      </c>
      <c r="B7" s="15" t="str">
        <v>营销费用源表-天猫-直通车-业务计划</v>
      </c>
      <c r="C7" s="25" t="str">
        <v>adgroup_id</v>
      </c>
      <c r="D7" s="26" t="str">
        <v>单元id</v>
      </c>
      <c r="E7" s="23" t="str">
        <v>STRING</v>
      </c>
      <c r="F7" s="23">
        <f>LEN(C7)</f>
      </c>
      <c r="G7" s="17"/>
      <c r="H7" s="33"/>
      <c r="I7" s="24"/>
      <c r="J7" s="24"/>
      <c r="K7" s="24"/>
      <c r="L7" s="24"/>
      <c r="M7" s="24"/>
      <c r="N7" s="24"/>
    </row>
    <row r="8">
      <c r="A8" s="15">
        <v>6</v>
      </c>
      <c r="B8" s="15" t="str">
        <v>营销费用源表-天猫-直通车-业务计划</v>
      </c>
      <c r="C8" s="25" t="str">
        <v>adgroup_name</v>
      </c>
      <c r="D8" s="26" t="str">
        <v>单元名称</v>
      </c>
      <c r="E8" s="23" t="str">
        <v>STRING</v>
      </c>
      <c r="F8" s="23">
        <f>LEN(C8)</f>
      </c>
      <c r="G8" s="17"/>
      <c r="H8" s="33"/>
      <c r="I8" s="24"/>
      <c r="J8" s="24"/>
      <c r="K8" s="24"/>
      <c r="L8" s="24"/>
      <c r="M8" s="24"/>
      <c r="N8" s="24"/>
    </row>
    <row r="9">
      <c r="A9" s="15">
        <v>7</v>
      </c>
      <c r="B9" s="15" t="str">
        <v>营销费用源表-天猫-直通车-业务计划</v>
      </c>
      <c r="C9" s="25" t="str">
        <v>product_id</v>
      </c>
      <c r="D9" s="26" t="str">
        <v>商品id</v>
      </c>
      <c r="E9" s="23" t="str">
        <v>STRING</v>
      </c>
      <c r="F9" s="23">
        <f>LEN(C9)</f>
      </c>
      <c r="G9" s="17"/>
      <c r="H9" s="33"/>
      <c r="I9" s="24"/>
      <c r="J9" s="24"/>
      <c r="K9" s="24"/>
      <c r="L9" s="24"/>
      <c r="M9" s="24"/>
      <c r="N9" s="24"/>
    </row>
    <row r="10">
      <c r="A10" s="15">
        <v>8</v>
      </c>
      <c r="B10" s="15" t="str">
        <v>营销费用源表-天猫-直通车-业务计划</v>
      </c>
      <c r="C10" s="25" t="str">
        <v>impressions</v>
      </c>
      <c r="D10" s="26" t="str">
        <v>展现量</v>
      </c>
      <c r="E10" s="23" t="str">
        <v>STRING</v>
      </c>
      <c r="F10" s="23">
        <f>LEN(C10)</f>
      </c>
      <c r="G10" s="17"/>
      <c r="H10" s="33"/>
      <c r="I10" s="24"/>
      <c r="J10" s="24"/>
      <c r="K10" s="24"/>
      <c r="L10" s="24"/>
      <c r="M10" s="24"/>
      <c r="N10" s="24"/>
    </row>
    <row r="11">
      <c r="A11" s="15">
        <v>9</v>
      </c>
      <c r="B11" s="15" t="str">
        <v>营销费用源表-天猫-直通车-业务计划</v>
      </c>
      <c r="C11" s="25" t="str">
        <v>clicks</v>
      </c>
      <c r="D11" s="26" t="str">
        <v>点击量</v>
      </c>
      <c r="E11" s="23" t="str">
        <v>STRING</v>
      </c>
      <c r="F11" s="23">
        <f>LEN(C11)</f>
      </c>
      <c r="G11" s="17"/>
      <c r="H11" s="33"/>
      <c r="I11" s="24"/>
      <c r="J11" s="24"/>
      <c r="K11" s="24"/>
      <c r="L11" s="24"/>
      <c r="M11" s="24"/>
      <c r="N11" s="24"/>
    </row>
    <row r="12">
      <c r="A12" s="15">
        <v>10</v>
      </c>
      <c r="B12" s="15" t="str">
        <v>营销费用源表-天猫-直通车-业务计划</v>
      </c>
      <c r="C12" s="25" t="str">
        <v>cost</v>
      </c>
      <c r="D12" s="26" t="str">
        <v>花费</v>
      </c>
      <c r="E12" s="17" t="str">
        <v>DECIMAL(30, 8)</v>
      </c>
      <c r="F12" s="23">
        <f>LEN(C12)</f>
      </c>
      <c r="G12" s="17"/>
      <c r="H12" s="33"/>
      <c r="I12" s="24"/>
      <c r="J12" s="24"/>
      <c r="K12" s="24"/>
      <c r="L12" s="24"/>
      <c r="M12" s="24"/>
      <c r="N12" s="24"/>
    </row>
    <row r="13">
      <c r="A13" s="15">
        <v>11</v>
      </c>
      <c r="B13" s="15" t="str">
        <v>营销费用源表-天猫-直通车-业务计划</v>
      </c>
      <c r="C13" s="25" t="str">
        <v>ctr</v>
      </c>
      <c r="D13" s="26" t="str">
        <v>点击率</v>
      </c>
      <c r="E13" s="23" t="str">
        <v>STRING</v>
      </c>
      <c r="F13" s="23">
        <f>LEN(C13)</f>
      </c>
      <c r="G13" s="17"/>
      <c r="H13" s="33"/>
      <c r="I13" s="24"/>
      <c r="J13" s="24"/>
      <c r="K13" s="24"/>
      <c r="L13" s="24"/>
      <c r="M13" s="24"/>
      <c r="N13" s="24"/>
    </row>
    <row r="14">
      <c r="A14" s="15">
        <v>12</v>
      </c>
      <c r="B14" s="15" t="str">
        <v>营销费用源表-天猫-直通车-业务计划</v>
      </c>
      <c r="C14" s="25" t="str">
        <v>cpc</v>
      </c>
      <c r="D14" s="26" t="str">
        <v>平均点击花费</v>
      </c>
      <c r="E14" s="23" t="str">
        <v>STRING</v>
      </c>
      <c r="F14" s="23">
        <f>LEN(C14)</f>
      </c>
      <c r="G14" s="17"/>
      <c r="H14" s="33"/>
      <c r="I14" s="24"/>
      <c r="J14" s="24"/>
      <c r="K14" s="24"/>
      <c r="L14" s="24"/>
      <c r="M14" s="24"/>
      <c r="N14" s="24"/>
    </row>
    <row r="15">
      <c r="A15" s="15">
        <v>13</v>
      </c>
      <c r="B15" s="15" t="str">
        <v>营销费用源表-天猫-直通车-业务计划</v>
      </c>
      <c r="C15" s="25" t="str">
        <v>cpm</v>
      </c>
      <c r="D15" s="26" t="str">
        <v>千次展现花费</v>
      </c>
      <c r="E15" s="23" t="str">
        <v>STRING</v>
      </c>
      <c r="F15" s="23">
        <f>LEN(C15)</f>
      </c>
      <c r="G15" s="17"/>
      <c r="H15" s="33"/>
      <c r="I15" s="24"/>
      <c r="J15" s="24"/>
      <c r="K15" s="24"/>
      <c r="L15" s="24"/>
      <c r="M15" s="24"/>
      <c r="N15" s="24"/>
    </row>
    <row r="16">
      <c r="A16" s="15">
        <v>14</v>
      </c>
      <c r="B16" s="15" t="str">
        <v>营销费用源表-天猫-直通车-业务计划</v>
      </c>
      <c r="C16" s="25" t="str">
        <v>total_favorites</v>
      </c>
      <c r="D16" s="26" t="str">
        <v>总收藏数</v>
      </c>
      <c r="E16" s="23" t="str">
        <v>STRING</v>
      </c>
      <c r="F16" s="23">
        <f>LEN(C16)</f>
      </c>
      <c r="G16" s="17"/>
      <c r="H16" s="33"/>
      <c r="I16" s="24"/>
      <c r="J16" s="24"/>
      <c r="K16" s="24"/>
      <c r="L16" s="24"/>
      <c r="M16" s="24"/>
      <c r="N16" s="24"/>
    </row>
    <row r="17">
      <c r="A17" s="15">
        <v>15</v>
      </c>
      <c r="B17" s="15" t="str">
        <v>营销费用源表-天猫-直通车-业务计划</v>
      </c>
      <c r="C17" s="25" t="str">
        <v>product_favorites</v>
      </c>
      <c r="D17" s="26" t="str">
        <v>宝贝收藏数</v>
      </c>
      <c r="E17" s="23" t="str">
        <v>STRING</v>
      </c>
      <c r="F17" s="23">
        <f>LEN(C17)</f>
      </c>
      <c r="G17" s="17"/>
      <c r="H17" s="33"/>
      <c r="I17" s="24"/>
      <c r="J17" s="24"/>
      <c r="K17" s="24"/>
      <c r="L17" s="24"/>
      <c r="M17" s="24"/>
      <c r="N17" s="24"/>
    </row>
    <row r="18">
      <c r="A18" s="15">
        <v>16</v>
      </c>
      <c r="B18" s="15" t="str">
        <v>营销费用源表-天猫-直通车-业务计划</v>
      </c>
      <c r="C18" s="25" t="str">
        <v>shop_favorites</v>
      </c>
      <c r="D18" s="26" t="str">
        <v>店铺收藏数</v>
      </c>
      <c r="E18" s="23" t="str">
        <v>STRING</v>
      </c>
      <c r="F18" s="23">
        <f>LEN(C18)</f>
      </c>
      <c r="G18" s="17"/>
      <c r="H18" s="33"/>
      <c r="I18" s="24"/>
      <c r="J18" s="24"/>
      <c r="K18" s="24"/>
      <c r="L18" s="24"/>
      <c r="M18" s="24"/>
      <c r="N18" s="24"/>
    </row>
    <row r="19">
      <c r="A19" s="15">
        <v>17</v>
      </c>
      <c r="B19" s="15" t="str">
        <v>营销费用源表-天猫-直通车-业务计划</v>
      </c>
      <c r="C19" s="25" t="str">
        <v>total_cart</v>
      </c>
      <c r="D19" s="26" t="str">
        <v>总购物车数</v>
      </c>
      <c r="E19" s="23" t="str">
        <v>STRING</v>
      </c>
      <c r="F19" s="23">
        <f>LEN(C19)</f>
      </c>
      <c r="G19" s="17"/>
      <c r="H19" s="33"/>
      <c r="I19" s="24"/>
      <c r="J19" s="24"/>
      <c r="K19" s="24"/>
      <c r="L19" s="24"/>
      <c r="M19" s="24"/>
      <c r="N19" s="24"/>
    </row>
    <row r="20">
      <c r="A20" s="15">
        <v>18</v>
      </c>
      <c r="B20" s="15" t="str">
        <v>营销费用源表-天猫-直通车-业务计划</v>
      </c>
      <c r="C20" s="25" t="str">
        <v>direct_cart</v>
      </c>
      <c r="D20" s="26" t="str">
        <v>直接购物车数</v>
      </c>
      <c r="E20" s="23" t="str">
        <v>STRING</v>
      </c>
      <c r="F20" s="23">
        <f>LEN(C20)</f>
      </c>
      <c r="G20" s="17"/>
      <c r="H20" s="33"/>
      <c r="I20" s="24"/>
      <c r="J20" s="24"/>
      <c r="K20" s="24"/>
      <c r="L20" s="24"/>
      <c r="M20" s="24"/>
      <c r="N20" s="24"/>
    </row>
    <row r="21">
      <c r="A21" s="15">
        <v>19</v>
      </c>
      <c r="B21" s="15" t="str">
        <v>营销费用源表-天猫-直通车-业务计划</v>
      </c>
      <c r="C21" s="25" t="str">
        <v>indirect_cart</v>
      </c>
      <c r="D21" s="26" t="str">
        <v>间接购物车数</v>
      </c>
      <c r="E21" s="23" t="str">
        <v>STRING</v>
      </c>
      <c r="F21" s="23">
        <f>LEN(C21)</f>
      </c>
      <c r="G21" s="17"/>
      <c r="H21" s="33"/>
      <c r="I21" s="24"/>
      <c r="J21" s="24"/>
      <c r="K21" s="24"/>
      <c r="L21" s="24"/>
      <c r="M21" s="24"/>
      <c r="N21" s="24"/>
    </row>
    <row r="22">
      <c r="A22" s="15">
        <v>20</v>
      </c>
      <c r="B22" s="15" t="str">
        <v>营销费用源表-天猫-直通车-业务计划</v>
      </c>
      <c r="C22" s="25" t="str">
        <v>cart_cost</v>
      </c>
      <c r="D22" s="26" t="str">
        <v>加购成本</v>
      </c>
      <c r="E22" s="17" t="str">
        <v>DECIMAL(30, 8)</v>
      </c>
      <c r="F22" s="23">
        <f>LEN(C22)</f>
      </c>
      <c r="G22" s="17"/>
      <c r="H22" s="33"/>
      <c r="I22" s="24"/>
      <c r="J22" s="24"/>
      <c r="K22" s="24"/>
      <c r="L22" s="24"/>
      <c r="M22" s="24"/>
      <c r="N22" s="24"/>
    </row>
    <row r="23">
      <c r="A23" s="15">
        <v>21</v>
      </c>
      <c r="B23" s="15" t="str">
        <v>营销费用源表-天猫-直通车-业务计划</v>
      </c>
      <c r="C23" s="25" t="str">
        <v>product_favorites_cost</v>
      </c>
      <c r="D23" s="26" t="str">
        <v>宝贝收藏成本</v>
      </c>
      <c r="E23" s="23" t="str">
        <v>STRING</v>
      </c>
      <c r="F23" s="23">
        <f>LEN(C23)</f>
      </c>
      <c r="G23" s="17"/>
      <c r="H23" s="33"/>
      <c r="I23" s="24"/>
      <c r="J23" s="24"/>
      <c r="K23" s="24"/>
      <c r="L23" s="24"/>
      <c r="M23" s="24"/>
      <c r="N23" s="24"/>
    </row>
    <row r="24">
      <c r="A24" s="15">
        <v>22</v>
      </c>
      <c r="B24" s="15" t="str">
        <v>营销费用源表-天猫-直通车-业务计划</v>
      </c>
      <c r="C24" s="25" t="str">
        <v>product_favorites_conv_rate</v>
      </c>
      <c r="D24" s="26" t="str">
        <v>宝贝收藏转化率</v>
      </c>
      <c r="E24" s="23" t="str">
        <v>STRING</v>
      </c>
      <c r="F24" s="23">
        <f>LEN(C24)</f>
      </c>
      <c r="G24" s="17"/>
      <c r="H24" s="33"/>
      <c r="I24" s="24"/>
      <c r="J24" s="24"/>
      <c r="K24" s="24"/>
      <c r="L24" s="24"/>
      <c r="M24" s="24"/>
      <c r="N24" s="24"/>
    </row>
    <row r="25">
      <c r="A25" s="15">
        <v>23</v>
      </c>
      <c r="B25" s="15" t="str">
        <v>营销费用源表-天猫-直通车-业务计划</v>
      </c>
      <c r="C25" s="25" t="str">
        <v>cart_conversion_rate</v>
      </c>
      <c r="D25" s="26" t="str">
        <v>加购率</v>
      </c>
      <c r="E25" s="23" t="str">
        <v>STRING</v>
      </c>
      <c r="F25" s="23">
        <f>LEN(C25)</f>
      </c>
      <c r="G25" s="17"/>
      <c r="H25" s="33"/>
      <c r="I25" s="24"/>
      <c r="J25" s="24"/>
      <c r="K25" s="24"/>
      <c r="L25" s="24"/>
      <c r="M25" s="24"/>
      <c r="N25" s="24"/>
    </row>
    <row r="26">
      <c r="A26" s="15">
        <v>24</v>
      </c>
      <c r="B26" s="15" t="str">
        <v>营销费用源表-天猫-直通车-业务计划</v>
      </c>
      <c r="C26" s="25" t="str">
        <v>total_presale_turnover</v>
      </c>
      <c r="D26" s="26" t="str">
        <v>总预售成交金额</v>
      </c>
      <c r="E26" s="17" t="str">
        <v>DECIMAL(30, 8)</v>
      </c>
      <c r="F26" s="23">
        <f>LEN(C26)</f>
      </c>
      <c r="G26" s="17"/>
      <c r="H26" s="33"/>
      <c r="I26" s="24"/>
      <c r="J26" s="24"/>
      <c r="K26" s="24"/>
      <c r="L26" s="24"/>
      <c r="M26" s="24"/>
      <c r="N26" s="24"/>
    </row>
    <row r="27">
      <c r="A27" s="15">
        <v>25</v>
      </c>
      <c r="B27" s="15" t="str">
        <v>营销费用源表-天猫-直通车-业务计划</v>
      </c>
      <c r="C27" s="25" t="str">
        <v>total_presale_volume</v>
      </c>
      <c r="D27" s="26" t="str">
        <v>总预售成交笔数</v>
      </c>
      <c r="E27" s="23" t="str">
        <v>STRING</v>
      </c>
      <c r="F27" s="23">
        <f>LEN(C27)</f>
      </c>
      <c r="G27" s="17"/>
      <c r="H27" s="33"/>
      <c r="I27" s="24"/>
      <c r="J27" s="24"/>
      <c r="K27" s="24"/>
      <c r="L27" s="24"/>
      <c r="M27" s="24"/>
      <c r="N27" s="24"/>
    </row>
    <row r="28">
      <c r="A28" s="15">
        <v>26</v>
      </c>
      <c r="B28" s="15" t="str">
        <v>营销费用源表-天猫-直通车-业务计划</v>
      </c>
      <c r="C28" s="25" t="str">
        <v>direct_presale_turnover</v>
      </c>
      <c r="D28" s="26" t="str">
        <v>直接预售成交金额</v>
      </c>
      <c r="E28" s="17" t="str">
        <v>DECIMAL(30, 8)</v>
      </c>
      <c r="F28" s="23">
        <f>LEN(C28)</f>
      </c>
      <c r="G28" s="17"/>
      <c r="H28" s="33"/>
      <c r="I28" s="24"/>
      <c r="J28" s="24"/>
      <c r="K28" s="24"/>
      <c r="L28" s="24"/>
      <c r="M28" s="24"/>
      <c r="N28" s="24"/>
    </row>
    <row r="29">
      <c r="A29" s="15">
        <v>27</v>
      </c>
      <c r="B29" s="15" t="str">
        <v>营销费用源表-天猫-直通车-业务计划</v>
      </c>
      <c r="C29" s="25" t="str">
        <v>direct_presale_volume</v>
      </c>
      <c r="D29" s="26" t="str">
        <v>直接预售成交笔数</v>
      </c>
      <c r="E29" s="23" t="str">
        <v>STRING</v>
      </c>
      <c r="F29" s="23">
        <f>LEN(C29)</f>
      </c>
      <c r="G29" s="17"/>
      <c r="H29" s="33"/>
      <c r="I29" s="24"/>
      <c r="J29" s="24"/>
      <c r="K29" s="24"/>
      <c r="L29" s="24"/>
      <c r="M29" s="24"/>
      <c r="N29" s="24"/>
    </row>
    <row r="30">
      <c r="A30" s="15">
        <v>28</v>
      </c>
      <c r="B30" s="15" t="str">
        <v>营销费用源表-天猫-直通车-业务计划</v>
      </c>
      <c r="C30" s="25" t="str">
        <v>indirect_presale_turnover</v>
      </c>
      <c r="D30" s="26" t="str">
        <v>间接预售成交金额</v>
      </c>
      <c r="E30" s="17" t="str">
        <v>DECIMAL(30, 8)</v>
      </c>
      <c r="F30" s="23">
        <f>LEN(C30)</f>
      </c>
      <c r="G30" s="17"/>
      <c r="H30" s="33"/>
      <c r="I30" s="24"/>
      <c r="J30" s="24"/>
      <c r="K30" s="24"/>
      <c r="L30" s="24"/>
      <c r="M30" s="24"/>
      <c r="N30" s="24"/>
    </row>
    <row r="31">
      <c r="A31" s="15">
        <v>29</v>
      </c>
      <c r="B31" s="15" t="str">
        <v>营销费用源表-天猫-直通车-业务计划</v>
      </c>
      <c r="C31" s="25" t="str">
        <v>indirect_presale_volume</v>
      </c>
      <c r="D31" s="26" t="str">
        <v>间接预售成交笔数</v>
      </c>
      <c r="E31" s="23" t="str">
        <v>STRING</v>
      </c>
      <c r="F31" s="23">
        <f>LEN(C31)</f>
      </c>
      <c r="G31" s="17"/>
      <c r="H31" s="33"/>
      <c r="I31" s="24"/>
      <c r="J31" s="24"/>
      <c r="K31" s="24"/>
      <c r="L31" s="24"/>
      <c r="M31" s="24"/>
      <c r="N31" s="24"/>
    </row>
    <row r="32">
      <c r="A32" s="15">
        <v>30</v>
      </c>
      <c r="B32" s="15" t="str">
        <v>营销费用源表-天猫-直通车-业务计划</v>
      </c>
      <c r="C32" s="25" t="str">
        <v>total_turnover</v>
      </c>
      <c r="D32" s="26" t="str">
        <v>总成交金额</v>
      </c>
      <c r="E32" s="17" t="str">
        <v>DECIMAL(30, 8)</v>
      </c>
      <c r="F32" s="23">
        <f>LEN(C32)</f>
      </c>
      <c r="G32" s="17"/>
      <c r="H32" s="33"/>
      <c r="I32" s="24"/>
      <c r="J32" s="24"/>
      <c r="K32" s="24"/>
      <c r="L32" s="24"/>
      <c r="M32" s="24"/>
      <c r="N32" s="24"/>
    </row>
    <row r="33">
      <c r="A33" s="15">
        <v>31</v>
      </c>
      <c r="B33" s="15" t="str">
        <v>营销费用源表-天猫-直通车-业务计划</v>
      </c>
      <c r="C33" s="25" t="str">
        <v>direct_turnover</v>
      </c>
      <c r="D33" s="26" t="str">
        <v>直接成交金额</v>
      </c>
      <c r="E33" s="17" t="str">
        <v>DECIMAL(30, 8)</v>
      </c>
      <c r="F33" s="23">
        <f>LEN(C33)</f>
      </c>
      <c r="G33" s="17"/>
      <c r="H33" s="33"/>
      <c r="I33" s="24"/>
      <c r="J33" s="24"/>
      <c r="K33" s="24"/>
      <c r="L33" s="24"/>
      <c r="M33" s="24"/>
      <c r="N33" s="24"/>
    </row>
    <row r="34">
      <c r="A34" s="15">
        <v>32</v>
      </c>
      <c r="B34" s="15" t="str">
        <v>营销费用源表-天猫-直通车-业务计划</v>
      </c>
      <c r="C34" s="25" t="str">
        <v>indirect_turnover</v>
      </c>
      <c r="D34" s="26" t="str">
        <v>间接成交金额</v>
      </c>
      <c r="E34" s="17" t="str">
        <v>DECIMAL(30, 8)</v>
      </c>
      <c r="F34" s="23">
        <f>LEN(C34)</f>
      </c>
      <c r="G34" s="17"/>
      <c r="H34" s="33"/>
      <c r="I34" s="24"/>
      <c r="J34" s="24"/>
      <c r="K34" s="24"/>
      <c r="L34" s="24"/>
      <c r="M34" s="24"/>
      <c r="N34" s="24"/>
    </row>
    <row r="35">
      <c r="A35" s="15">
        <v>33</v>
      </c>
      <c r="B35" s="15" t="str">
        <v>营销费用源表-天猫-直通车-业务计划</v>
      </c>
      <c r="C35" s="25" t="str">
        <v>total_volume</v>
      </c>
      <c r="D35" s="26" t="str">
        <v>总成交笔数</v>
      </c>
      <c r="E35" s="23" t="str">
        <v>STRING</v>
      </c>
      <c r="F35" s="23">
        <f>LEN(C35)</f>
      </c>
      <c r="G35" s="17"/>
      <c r="H35" s="33"/>
      <c r="I35" s="24"/>
      <c r="J35" s="24"/>
      <c r="K35" s="24"/>
      <c r="L35" s="24"/>
      <c r="M35" s="24"/>
      <c r="N35" s="24"/>
    </row>
    <row r="36">
      <c r="A36" s="15">
        <v>34</v>
      </c>
      <c r="B36" s="15" t="str">
        <v>营销费用源表-天猫-直通车-业务计划</v>
      </c>
      <c r="C36" s="25" t="str">
        <v>direct_volume</v>
      </c>
      <c r="D36" s="26" t="str">
        <v>直接成交笔数</v>
      </c>
      <c r="E36" s="23" t="str">
        <v>STRING</v>
      </c>
      <c r="F36" s="23">
        <f>LEN(C36)</f>
      </c>
      <c r="G36" s="17"/>
      <c r="H36" s="33"/>
      <c r="I36" s="24"/>
      <c r="J36" s="24"/>
      <c r="K36" s="24"/>
      <c r="L36" s="24"/>
      <c r="M36" s="24"/>
      <c r="N36" s="24"/>
    </row>
    <row r="37">
      <c r="A37" s="15">
        <v>35</v>
      </c>
      <c r="B37" s="15" t="str">
        <v>营销费用源表-天猫-直通车-业务计划</v>
      </c>
      <c r="C37" s="25" t="str">
        <v>indirect_volume</v>
      </c>
      <c r="D37" s="26" t="str">
        <v>间接成交笔数</v>
      </c>
      <c r="E37" s="23" t="str">
        <v>STRING</v>
      </c>
      <c r="F37" s="23">
        <f>LEN(C37)</f>
      </c>
      <c r="G37" s="17"/>
      <c r="H37" s="33"/>
      <c r="I37" s="24"/>
      <c r="J37" s="24"/>
      <c r="K37" s="24"/>
      <c r="L37" s="24"/>
      <c r="M37" s="24"/>
      <c r="N37" s="24"/>
    </row>
    <row r="38">
      <c r="A38" s="15">
        <v>36</v>
      </c>
      <c r="B38" s="15" t="str">
        <v>营销费用源表-天猫-直通车-业务计划</v>
      </c>
      <c r="C38" s="25" t="str">
        <v>roi</v>
      </c>
      <c r="D38" s="26" t="str">
        <v>投入产出比</v>
      </c>
      <c r="E38" s="23" t="str">
        <v>STRING</v>
      </c>
      <c r="F38" s="23">
        <f>LEN(C38)</f>
      </c>
      <c r="G38" s="17"/>
      <c r="H38" s="33"/>
      <c r="I38" s="24"/>
      <c r="J38" s="24"/>
      <c r="K38" s="24"/>
      <c r="L38" s="24"/>
      <c r="M38" s="24"/>
      <c r="N38" s="24"/>
    </row>
    <row r="39">
      <c r="A39" s="15">
        <v>37</v>
      </c>
      <c r="B39" s="15" t="str">
        <v>营销费用源表-天猫-直通车-业务计划</v>
      </c>
      <c r="C39" s="25" t="str">
        <v>cvr</v>
      </c>
      <c r="D39" s="26" t="str">
        <v>点击转化率</v>
      </c>
      <c r="E39" s="23" t="str">
        <v>STRING</v>
      </c>
      <c r="F39" s="23">
        <f>LEN(C39)</f>
      </c>
      <c r="G39" s="17"/>
      <c r="H39" s="33"/>
      <c r="I39" s="24"/>
      <c r="J39" s="24"/>
      <c r="K39" s="24"/>
      <c r="L39" s="24"/>
      <c r="M39" s="24"/>
      <c r="N39" s="24"/>
    </row>
    <row r="40">
      <c r="A40" s="15">
        <v>38</v>
      </c>
      <c r="B40" s="15" t="str">
        <v>营销费用源表-天猫-直通车-业务计划</v>
      </c>
      <c r="C40" s="25" t="str">
        <v>direct_cvr</v>
      </c>
      <c r="D40" s="26" t="str">
        <v>直接点击转化率</v>
      </c>
      <c r="E40" s="23" t="str">
        <v>STRING</v>
      </c>
      <c r="F40" s="23">
        <f>LEN(C40)</f>
      </c>
      <c r="G40" s="17"/>
      <c r="H40" s="33"/>
      <c r="I40" s="24"/>
      <c r="J40" s="24"/>
      <c r="K40" s="24"/>
      <c r="L40" s="24"/>
      <c r="M40" s="24"/>
      <c r="N40" s="24"/>
    </row>
    <row r="41">
      <c r="A41" s="15">
        <v>39</v>
      </c>
      <c r="B41" s="15" t="str">
        <v>营销费用源表-天猫-直通车-业务计划</v>
      </c>
      <c r="C41" s="25" t="str">
        <v>shopping_gold_recharge_volume</v>
      </c>
      <c r="D41" s="26" t="str">
        <v>购物金充值笔数</v>
      </c>
      <c r="E41" s="23" t="str">
        <v>STRING</v>
      </c>
      <c r="F41" s="23">
        <f>LEN(C41)</f>
      </c>
      <c r="G41" s="17"/>
      <c r="H41" s="33"/>
      <c r="I41" s="24"/>
      <c r="J41" s="24"/>
      <c r="K41" s="24"/>
      <c r="L41" s="24"/>
      <c r="M41" s="24"/>
      <c r="N41" s="24"/>
    </row>
    <row r="42">
      <c r="A42" s="15">
        <v>40</v>
      </c>
      <c r="B42" s="15" t="str">
        <v>营销费用源表-天猫-直通车-业务计划</v>
      </c>
      <c r="C42" s="25" t="str">
        <v>shopping_gold_turnover_amt</v>
      </c>
      <c r="D42" s="26" t="str">
        <v>购物金充值金额</v>
      </c>
      <c r="E42" s="23" t="str">
        <v>STRING</v>
      </c>
      <c r="F42" s="23">
        <f>LEN(C42)</f>
      </c>
      <c r="G42" s="17"/>
      <c r="H42" s="33"/>
      <c r="I42" s="24"/>
      <c r="J42" s="24"/>
      <c r="K42" s="24"/>
      <c r="L42" s="24"/>
      <c r="M42" s="24"/>
      <c r="N42" s="24"/>
    </row>
    <row r="43">
      <c r="A43" s="15">
        <v>41</v>
      </c>
      <c r="B43" s="15" t="str">
        <v>营销费用源表-天猫-直通车-业务计划</v>
      </c>
      <c r="C43" s="25" t="str">
        <v>natural_traffic_impressions</v>
      </c>
      <c r="D43" s="26" t="str">
        <v>自然流量曝光</v>
      </c>
      <c r="E43" s="23" t="str">
        <v>STRING</v>
      </c>
      <c r="F43" s="23">
        <f>LEN(C43)</f>
      </c>
      <c r="G43" s="17"/>
      <c r="H43" s="33"/>
      <c r="I43" s="24"/>
      <c r="J43" s="24"/>
      <c r="K43" s="24"/>
      <c r="L43" s="24"/>
      <c r="M43" s="24"/>
      <c r="N43" s="24"/>
    </row>
    <row r="44">
      <c r="A44" s="15">
        <v>42</v>
      </c>
      <c r="B44" s="15" t="str">
        <v>营销费用源表-天猫-直通车-业务计划</v>
      </c>
      <c r="C44" s="25" t="str">
        <v>natural_traffic_turnover_amt</v>
      </c>
      <c r="D44" s="26" t="str">
        <v>自然流量转化金额</v>
      </c>
      <c r="E44" s="17" t="str">
        <v>DECIMAL(30, 8)</v>
      </c>
      <c r="F44" s="23">
        <f>LEN(C44)</f>
      </c>
      <c r="G44" s="17"/>
      <c r="H44" s="33"/>
      <c r="I44" s="24"/>
      <c r="J44" s="24"/>
      <c r="K44" s="24"/>
      <c r="L44" s="24"/>
      <c r="M44" s="24"/>
      <c r="N44" s="24"/>
    </row>
    <row r="45">
      <c r="A45" s="15">
        <v>43</v>
      </c>
      <c r="B45" s="15" t="str">
        <v>营销费用源表-天猫-直通车-业务计划</v>
      </c>
      <c r="C45" s="25" t="str">
        <v>total_favorites_cart</v>
      </c>
      <c r="D45" s="26" t="str">
        <v>总收藏加购数</v>
      </c>
      <c r="E45" s="23" t="str">
        <v>STRING</v>
      </c>
      <c r="F45" s="23">
        <f>LEN(C45)</f>
      </c>
      <c r="G45" s="17"/>
      <c r="H45" s="33"/>
      <c r="I45" s="24"/>
      <c r="J45" s="24"/>
      <c r="K45" s="24"/>
      <c r="L45" s="24"/>
      <c r="M45" s="24"/>
      <c r="N45" s="24"/>
    </row>
    <row r="46">
      <c r="A46" s="15">
        <v>44</v>
      </c>
      <c r="B46" s="15" t="str">
        <v>营销费用源表-天猫-直通车-业务计划</v>
      </c>
      <c r="C46" s="25" t="str">
        <v>total_favorites_cart_cost</v>
      </c>
      <c r="D46" s="26" t="str">
        <v>总收藏加购成本</v>
      </c>
      <c r="E46" s="23" t="str">
        <v>STRING</v>
      </c>
      <c r="F46" s="23">
        <f>LEN(C46)</f>
      </c>
      <c r="G46" s="17"/>
      <c r="H46" s="33"/>
      <c r="I46" s="24"/>
      <c r="J46" s="24"/>
      <c r="K46" s="24"/>
      <c r="L46" s="24"/>
      <c r="M46" s="24"/>
      <c r="N46" s="24"/>
    </row>
    <row r="47">
      <c r="A47" s="15">
        <v>45</v>
      </c>
      <c r="B47" s="15" t="str">
        <v>营销费用源表-天猫-直通车-业务计划</v>
      </c>
      <c r="C47" s="25" t="str">
        <v>FavoritesCount</v>
      </c>
      <c r="D47" s="26" t="str">
        <v>宝贝收藏加购数</v>
      </c>
      <c r="E47" s="23" t="str">
        <v>STRING</v>
      </c>
      <c r="F47" s="23">
        <f>LEN(C47)</f>
      </c>
      <c r="G47" s="17"/>
      <c r="H47" s="33"/>
      <c r="I47" s="24"/>
      <c r="J47" s="24"/>
      <c r="K47" s="24"/>
      <c r="L47" s="24"/>
      <c r="M47" s="24"/>
      <c r="N47" s="24"/>
    </row>
    <row r="48">
      <c r="A48" s="15">
        <v>46</v>
      </c>
      <c r="B48" s="15" t="str">
        <v>营销费用源表-天猫-直通车-业务计划</v>
      </c>
      <c r="C48" s="25" t="str">
        <v>FavoritesCost</v>
      </c>
      <c r="D48" s="26" t="str">
        <v>宝贝收藏加购成本</v>
      </c>
      <c r="E48" s="17" t="str">
        <v>DECIMAL(30, 8)</v>
      </c>
      <c r="F48" s="23">
        <f>LEN(C48)</f>
      </c>
      <c r="G48" s="17"/>
      <c r="H48" s="33"/>
      <c r="I48" s="24"/>
      <c r="J48" s="24"/>
      <c r="K48" s="24"/>
      <c r="L48" s="24"/>
      <c r="M48" s="24"/>
      <c r="N48" s="24"/>
    </row>
    <row r="49">
      <c r="D49" s="3"/>
    </row>
    <row r="50">
      <c r="A50" s="27" t="str">
        <v>时间</v>
      </c>
      <c r="B50" s="27" t="str">
        <v>date</v>
      </c>
      <c r="C50" s="27" t="str">
        <v>datetime</v>
      </c>
      <c r="D50" s="28" t="str">
        <v>-</v>
      </c>
    </row>
    <row r="51">
      <c r="A51" s="27" t="str">
        <v>计划id</v>
      </c>
      <c r="B51" s="27" t="str">
        <v>campaign_id</v>
      </c>
      <c r="C51" s="27" t="str">
        <v>int</v>
      </c>
      <c r="D51" s="28" t="str">
        <v>-</v>
      </c>
    </row>
    <row r="52">
      <c r="A52" s="27" t="str">
        <v>计划名称</v>
      </c>
      <c r="B52" s="27" t="str">
        <v>campaign_name</v>
      </c>
      <c r="C52" s="27" t="str">
        <v>string</v>
      </c>
      <c r="D52" s="28">
        <v>255</v>
      </c>
    </row>
    <row r="53">
      <c r="A53" s="27" t="str">
        <v>推广类型</v>
      </c>
      <c r="B53" s="27" t="str">
        <v>promotion_type</v>
      </c>
      <c r="C53" s="27" t="str">
        <v>string</v>
      </c>
      <c r="D53" s="28">
        <v>255</v>
      </c>
    </row>
    <row r="54">
      <c r="A54" s="27" t="str">
        <v>单元id</v>
      </c>
      <c r="B54" s="27" t="str">
        <v>adgroup_id</v>
      </c>
      <c r="C54" s="27" t="str">
        <v>int</v>
      </c>
      <c r="D54" s="28" t="str">
        <v>-</v>
      </c>
    </row>
    <row r="55">
      <c r="A55" s="27" t="str">
        <v>单元名称</v>
      </c>
      <c r="B55" s="27" t="str">
        <v>adgroup_name</v>
      </c>
      <c r="C55" s="27" t="str">
        <v>string</v>
      </c>
      <c r="D55" s="28">
        <v>255</v>
      </c>
    </row>
    <row r="56">
      <c r="A56" s="27" t="str">
        <v>商品id</v>
      </c>
      <c r="B56" s="27" t="str">
        <v>product_id</v>
      </c>
      <c r="C56" s="27" t="str">
        <v>int</v>
      </c>
      <c r="D56" s="28" t="str">
        <v>-</v>
      </c>
    </row>
    <row r="57">
      <c r="A57" s="27" t="str">
        <v>展现量</v>
      </c>
      <c r="B57" s="27" t="str">
        <v>impressions</v>
      </c>
      <c r="C57" s="27" t="str">
        <v>int</v>
      </c>
      <c r="D57" s="28" t="str">
        <v>-</v>
      </c>
    </row>
    <row r="58">
      <c r="A58" s="27" t="str">
        <v>点击量</v>
      </c>
      <c r="B58" s="27" t="str">
        <v>clicks</v>
      </c>
      <c r="C58" s="27" t="str">
        <v>int</v>
      </c>
      <c r="D58" s="28" t="str">
        <v>-</v>
      </c>
    </row>
    <row r="59">
      <c r="A59" s="27" t="str">
        <v>花费</v>
      </c>
      <c r="B59" s="27" t="str">
        <v>cost</v>
      </c>
      <c r="C59" s="27" t="str">
        <v>float</v>
      </c>
      <c r="D59" s="28" t="str">
        <v>-</v>
      </c>
    </row>
    <row r="60">
      <c r="A60" s="27" t="str">
        <v>点击率</v>
      </c>
      <c r="B60" s="27" t="str">
        <v>ctr</v>
      </c>
      <c r="C60" s="27" t="str">
        <v>float</v>
      </c>
      <c r="D60" s="28" t="str">
        <v>-</v>
      </c>
    </row>
    <row r="61">
      <c r="A61" s="27" t="str">
        <v>平均点击花费</v>
      </c>
      <c r="B61" s="27" t="str">
        <v>cpc</v>
      </c>
      <c r="C61" s="27" t="str">
        <v>float</v>
      </c>
      <c r="D61" s="28" t="str">
        <v>-</v>
      </c>
    </row>
    <row r="62">
      <c r="A62" s="27" t="str">
        <v>千次展现花费</v>
      </c>
      <c r="B62" s="27" t="str">
        <v>cpm</v>
      </c>
      <c r="C62" s="27" t="str">
        <v>float</v>
      </c>
      <c r="D62" s="28" t="str">
        <v>-</v>
      </c>
    </row>
    <row r="63">
      <c r="A63" s="27" t="str">
        <v>总收藏数</v>
      </c>
      <c r="B63" s="27" t="str">
        <v>total_favorites</v>
      </c>
      <c r="C63" s="27" t="str">
        <v>int</v>
      </c>
      <c r="D63" s="28" t="str">
        <v>-</v>
      </c>
    </row>
    <row r="64">
      <c r="A64" s="27" t="str">
        <v>宝贝收藏数</v>
      </c>
      <c r="B64" s="27" t="str">
        <v>product_favorites</v>
      </c>
      <c r="C64" s="27" t="str">
        <v>int</v>
      </c>
      <c r="D64" s="28" t="str">
        <v>-</v>
      </c>
    </row>
    <row r="65">
      <c r="A65" s="27" t="str">
        <v>店铺收藏数</v>
      </c>
      <c r="B65" s="27" t="str">
        <v>shop_favorites</v>
      </c>
      <c r="C65" s="27" t="str">
        <v>int</v>
      </c>
      <c r="D65" s="28" t="str">
        <v>-</v>
      </c>
    </row>
    <row r="66">
      <c r="A66" s="27" t="str">
        <v>总购物车数</v>
      </c>
      <c r="B66" s="27" t="str">
        <v>total_cart</v>
      </c>
      <c r="C66" s="27" t="str">
        <v>int</v>
      </c>
      <c r="D66" s="28" t="str">
        <v>-</v>
      </c>
    </row>
    <row r="67">
      <c r="A67" s="27" t="str">
        <v>直接购物车数</v>
      </c>
      <c r="B67" s="27" t="str">
        <v>direct_cart</v>
      </c>
      <c r="C67" s="27" t="str">
        <v>int</v>
      </c>
      <c r="D67" s="28" t="str">
        <v>-</v>
      </c>
    </row>
    <row r="68">
      <c r="A68" s="27" t="str">
        <v>间接购物车数</v>
      </c>
      <c r="B68" s="27" t="str">
        <v>indirect_cart</v>
      </c>
      <c r="C68" s="27" t="str">
        <v>int</v>
      </c>
      <c r="D68" s="28" t="str">
        <v>-</v>
      </c>
    </row>
    <row r="69">
      <c r="A69" s="27" t="str">
        <v>加购成本</v>
      </c>
      <c r="B69" s="27" t="str">
        <v>cart_cost</v>
      </c>
      <c r="C69" s="27" t="str">
        <v>float</v>
      </c>
      <c r="D69" s="28" t="str">
        <v>-</v>
      </c>
    </row>
    <row r="70">
      <c r="A70" s="27" t="str">
        <v>宝贝收藏成本</v>
      </c>
      <c r="B70" s="27" t="str">
        <v>product_favorites_cost</v>
      </c>
      <c r="C70" s="27" t="str">
        <v>float</v>
      </c>
      <c r="D70" s="28" t="str">
        <v>-</v>
      </c>
    </row>
    <row r="71">
      <c r="A71" s="27" t="str">
        <v>宝贝收藏转化率</v>
      </c>
      <c r="B71" s="27" t="str">
        <v>product_favorites_conversion_rate</v>
      </c>
      <c r="C71" s="27" t="str">
        <v>float</v>
      </c>
      <c r="D71" s="28" t="str">
        <v>-</v>
      </c>
    </row>
    <row r="72">
      <c r="A72" s="27" t="str">
        <v>加购率</v>
      </c>
      <c r="B72" s="27" t="str">
        <v>cart_conversion_rate</v>
      </c>
      <c r="C72" s="27" t="str">
        <v>float</v>
      </c>
      <c r="D72" s="28" t="str">
        <v>-</v>
      </c>
    </row>
    <row r="73">
      <c r="A73" s="27" t="str">
        <v>总预售成交金额</v>
      </c>
      <c r="B73" s="27" t="str">
        <v>total_presale_turnover</v>
      </c>
      <c r="C73" s="27" t="str">
        <v>float</v>
      </c>
      <c r="D73" s="28" t="str">
        <v>-</v>
      </c>
    </row>
    <row r="74">
      <c r="A74" s="27" t="str">
        <v>总预售成交笔数</v>
      </c>
      <c r="B74" s="27" t="str">
        <v>total_presale_volume</v>
      </c>
      <c r="C74" s="27" t="str">
        <v>int</v>
      </c>
      <c r="D74" s="28" t="str">
        <v>-</v>
      </c>
    </row>
    <row r="75">
      <c r="A75" s="27" t="str">
        <v>直接预售成交金额</v>
      </c>
      <c r="B75" s="27" t="str">
        <v>direct_presale_turnover</v>
      </c>
      <c r="C75" s="27" t="str">
        <v>float</v>
      </c>
      <c r="D75" s="28" t="str">
        <v>-</v>
      </c>
    </row>
    <row r="76">
      <c r="A76" s="27" t="str">
        <v>直接预售成交笔数</v>
      </c>
      <c r="B76" s="27" t="str">
        <v>direct_presale_volume</v>
      </c>
      <c r="C76" s="27" t="str">
        <v>int</v>
      </c>
      <c r="D76" s="28" t="str">
        <v>-</v>
      </c>
    </row>
    <row r="77">
      <c r="A77" s="27" t="str">
        <v>间接预售成交金额</v>
      </c>
      <c r="B77" s="27" t="str">
        <v>indirect_presale_turnover</v>
      </c>
      <c r="C77" s="27" t="str">
        <v>float</v>
      </c>
      <c r="D77" s="28" t="str">
        <v>-</v>
      </c>
    </row>
    <row r="78">
      <c r="A78" s="27" t="str">
        <v>间接预售成交笔数</v>
      </c>
      <c r="B78" s="27" t="str">
        <v>indirect_presale_volume</v>
      </c>
      <c r="C78" s="27" t="str">
        <v>int</v>
      </c>
      <c r="D78" s="28" t="str">
        <v>-</v>
      </c>
    </row>
    <row r="79">
      <c r="A79" s="27" t="str">
        <v>总成交金额</v>
      </c>
      <c r="B79" s="27" t="str">
        <v>total_turnover</v>
      </c>
      <c r="C79" s="27" t="str">
        <v>float</v>
      </c>
      <c r="D79" s="28" t="str">
        <v>-</v>
      </c>
    </row>
    <row r="80">
      <c r="A80" s="27" t="str">
        <v>直接成交金额</v>
      </c>
      <c r="B80" s="27" t="str">
        <v>direct_turnover</v>
      </c>
      <c r="C80" s="27" t="str">
        <v>float</v>
      </c>
      <c r="D80" s="28" t="str">
        <v>-</v>
      </c>
    </row>
    <row r="81">
      <c r="A81" s="27" t="str">
        <v>间接成交金额</v>
      </c>
      <c r="B81" s="27" t="str">
        <v>indirect_turnover</v>
      </c>
      <c r="C81" s="27" t="str">
        <v>float</v>
      </c>
      <c r="D81" s="28" t="str">
        <v>-</v>
      </c>
    </row>
    <row r="82">
      <c r="A82" s="27" t="str">
        <v>总成交笔数</v>
      </c>
      <c r="B82" s="27" t="str">
        <v>total_volume</v>
      </c>
      <c r="C82" s="27" t="str">
        <v>int</v>
      </c>
      <c r="D82" s="28" t="str">
        <v>-</v>
      </c>
    </row>
    <row r="83">
      <c r="A83" s="27" t="str">
        <v>直接成交笔数</v>
      </c>
      <c r="B83" s="27" t="str">
        <v>direct_volume</v>
      </c>
      <c r="C83" s="27" t="str">
        <v>int</v>
      </c>
      <c r="D83" s="28" t="str">
        <v>-</v>
      </c>
    </row>
    <row r="84">
      <c r="A84" s="27" t="str">
        <v>间接成交笔数</v>
      </c>
      <c r="B84" s="27" t="str">
        <v>indirect_volume</v>
      </c>
      <c r="C84" s="27" t="str">
        <v>int</v>
      </c>
      <c r="D84" s="28" t="str">
        <v>-</v>
      </c>
    </row>
    <row r="85">
      <c r="A85" s="27" t="str">
        <v>投入产出比</v>
      </c>
      <c r="B85" s="27" t="str">
        <v>roi</v>
      </c>
      <c r="C85" s="27" t="str">
        <v>float</v>
      </c>
      <c r="D85" s="28" t="str">
        <v>-</v>
      </c>
    </row>
    <row r="86">
      <c r="A86" s="27" t="str">
        <v>点击转化率</v>
      </c>
      <c r="B86" s="27" t="str">
        <v>cvr</v>
      </c>
      <c r="C86" s="27" t="str">
        <v>float</v>
      </c>
      <c r="D86" s="28" t="str">
        <v>-</v>
      </c>
    </row>
    <row r="87">
      <c r="A87" s="27" t="str">
        <v>直接点击转化率</v>
      </c>
      <c r="B87" s="27" t="str">
        <v>direct_cvr</v>
      </c>
      <c r="C87" s="27" t="str">
        <v>float</v>
      </c>
      <c r="D87" s="28" t="str">
        <v>-</v>
      </c>
    </row>
    <row r="88">
      <c r="A88" s="27" t="str">
        <v>购物金充值笔数</v>
      </c>
      <c r="B88" s="27" t="str">
        <v>shopping_gold_recharge_volume</v>
      </c>
      <c r="C88" s="27" t="str">
        <v>int</v>
      </c>
      <c r="D88" s="28" t="str">
        <v>-</v>
      </c>
    </row>
    <row r="89">
      <c r="A89" s="27" t="str">
        <v>购物金充值金额</v>
      </c>
      <c r="B89" s="27" t="str">
        <v>shopping_gold_recharge_turnover</v>
      </c>
      <c r="C89" s="27" t="str">
        <v>float</v>
      </c>
      <c r="D89" s="28" t="str">
        <v>-</v>
      </c>
    </row>
    <row r="90">
      <c r="A90" s="27" t="str">
        <v>自然流量曝光</v>
      </c>
      <c r="B90" s="27" t="str">
        <v>natural_traffic_impressions</v>
      </c>
      <c r="C90" s="27" t="str">
        <v>int</v>
      </c>
      <c r="D90" s="28" t="str">
        <v>-</v>
      </c>
    </row>
    <row r="91">
      <c r="A91" s="27" t="str">
        <v>自然流量转化金额</v>
      </c>
      <c r="B91" s="27" t="str">
        <v>natural_traffic_conversion_turnover</v>
      </c>
      <c r="C91" s="27" t="str">
        <v>float</v>
      </c>
      <c r="D91" s="28" t="str">
        <v>-</v>
      </c>
    </row>
    <row r="92">
      <c r="A92" s="27" t="str">
        <v>总收藏加购数</v>
      </c>
      <c r="B92" s="27" t="str">
        <v>total_favorites_cart</v>
      </c>
      <c r="C92" s="27" t="str">
        <v>int</v>
      </c>
      <c r="D92" s="28" t="str">
        <v>-</v>
      </c>
    </row>
    <row r="93">
      <c r="A93" s="27" t="str">
        <v>总收藏加购成本</v>
      </c>
      <c r="B93" s="27" t="str">
        <v>total_favorites_cart_cost</v>
      </c>
      <c r="C93" s="27" t="str">
        <v>float</v>
      </c>
      <c r="D93" s="28" t="str">
        <v>-</v>
      </c>
    </row>
    <row r="94">
      <c r="A94" s="27" t="str">
        <v>宝贝收藏加购数</v>
      </c>
      <c r="B94" s="27" t="str">
        <v>FavoritesCount</v>
      </c>
      <c r="C94" s="27" t="str">
        <v>Integer</v>
      </c>
      <c r="D94" s="28" t="str">
        <v>-</v>
      </c>
    </row>
    <row r="95">
      <c r="A95" s="27" t="str">
        <v>宝贝收藏加购成本</v>
      </c>
      <c r="B95" s="27" t="str">
        <v>FavoritesCost</v>
      </c>
      <c r="C95" s="27" t="str">
        <v>Float</v>
      </c>
      <c r="D95" s="28" t="str">
        <v>-</v>
      </c>
    </row>
  </sheetData>
  <mergeCells>
    <mergeCell ref="I1:N1"/>
    <mergeCell ref="A1:H1"/>
  </mergeCells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7"/>
      <c r="I1" s="8" t="str">
        <v>系统溯源分析</v>
      </c>
      <c r="J1" s="8"/>
      <c r="K1" s="8"/>
      <c r="L1" s="8"/>
      <c r="M1" s="8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39" t="str">
        <v>是否主键</v>
      </c>
      <c r="H2" s="19" t="str">
        <v>字段备注</v>
      </c>
      <c r="I2" s="35" t="str">
        <v>数据来源系统</v>
      </c>
      <c r="J2" s="35" t="str">
        <v>数据来源表</v>
      </c>
      <c r="K2" s="35" t="str">
        <v>来源表描述</v>
      </c>
      <c r="L2" s="36" t="str">
        <v>来源字段</v>
      </c>
      <c r="M2" s="22" t="str">
        <v>来源字段描述</v>
      </c>
      <c r="N2" s="40" t="str">
        <v>备注</v>
      </c>
    </row>
    <row r="3">
      <c r="A3" s="23">
        <v>1</v>
      </c>
      <c r="B3" s="15" t="str">
        <v>营销费用源表-天猫-直通车-资金流水</v>
      </c>
      <c r="C3" s="25" t="str">
        <v>cost_date</v>
      </c>
      <c r="D3" s="26" t="str">
        <v>记账时间</v>
      </c>
      <c r="E3" s="23" t="str">
        <v>STRING</v>
      </c>
      <c r="F3" s="23">
        <f>CONCAT(",",C3,"   ",E3,"   COMMENT'", D3,"'" )</f>
      </c>
      <c r="G3" s="15"/>
      <c r="H3" s="23"/>
      <c r="I3" s="24"/>
      <c r="J3" s="24"/>
      <c r="K3" s="14"/>
      <c r="L3" s="41"/>
      <c r="M3" s="14"/>
      <c r="N3" s="14"/>
    </row>
    <row r="4">
      <c r="A4" s="23">
        <v>2</v>
      </c>
      <c r="B4" s="15" t="str">
        <v>营销费用源表-天猫-直通车-资金流水</v>
      </c>
      <c r="C4" s="25" t="str">
        <v>transaction_date</v>
      </c>
      <c r="D4" s="26" t="str">
        <v>交易日期</v>
      </c>
      <c r="E4" s="23" t="str">
        <v>STRING</v>
      </c>
      <c r="F4" s="23">
        <f>CONCAT(",",C4,"   ",E4,"   COMMENT'", D4,"'" )</f>
      </c>
      <c r="G4" s="33"/>
      <c r="H4" s="17"/>
      <c r="I4" s="17"/>
      <c r="J4" s="17"/>
      <c r="K4" s="17"/>
      <c r="L4" s="33"/>
      <c r="M4" s="17"/>
      <c r="N4" s="17"/>
    </row>
    <row r="5">
      <c r="A5" s="23">
        <v>3</v>
      </c>
      <c r="B5" s="15" t="str">
        <v>营销费用源表-天猫-直通车-资金流水</v>
      </c>
      <c r="C5" s="25" t="str">
        <v>income_or_expense</v>
      </c>
      <c r="D5" s="26" t="str">
        <v>收支类型</v>
      </c>
      <c r="E5" s="23" t="str">
        <v>STRING</v>
      </c>
      <c r="F5" s="23">
        <f>CONCAT(",",C5,"   ",E5,"   COMMENT'", D5,"'" )</f>
      </c>
      <c r="G5" s="33"/>
      <c r="H5" s="17"/>
      <c r="I5" s="17"/>
      <c r="J5" s="17"/>
      <c r="K5" s="17"/>
      <c r="L5" s="33"/>
      <c r="M5" s="17"/>
      <c r="N5" s="17"/>
    </row>
    <row r="6">
      <c r="A6" s="23">
        <v>4</v>
      </c>
      <c r="B6" s="15" t="str">
        <v>营销费用源表-天猫-直通车-资金流水</v>
      </c>
      <c r="C6" s="25" t="str">
        <v>transaction_type</v>
      </c>
      <c r="D6" s="26" t="str">
        <v>交易类型</v>
      </c>
      <c r="E6" s="23" t="str">
        <v>STRING</v>
      </c>
      <c r="F6" s="23">
        <f>CONCAT(",",C6,"   ",E6,"   COMMENT'", D6,"'" )</f>
      </c>
      <c r="G6" s="33"/>
      <c r="H6" s="17"/>
      <c r="I6" s="17"/>
      <c r="J6" s="17"/>
      <c r="K6" s="17"/>
      <c r="L6" s="33"/>
      <c r="M6" s="17"/>
      <c r="N6" s="17"/>
    </row>
    <row r="7">
      <c r="A7" s="23">
        <v>5</v>
      </c>
      <c r="B7" s="15" t="str">
        <v>营销费用源表-天猫-直通车-资金流水</v>
      </c>
      <c r="C7" s="25" t="str">
        <v>transaction_amount</v>
      </c>
      <c r="D7" s="26" t="str">
        <v>操作金额(元)</v>
      </c>
      <c r="E7" s="17" t="str">
        <v>DECIMAL(30, 8)</v>
      </c>
      <c r="F7" s="23">
        <f>CONCAT(",",C7,"   ",E7,"   COMMENT'", D7,"'" )</f>
      </c>
      <c r="G7" s="33"/>
      <c r="H7" s="17"/>
      <c r="I7" s="17"/>
      <c r="J7" s="17"/>
      <c r="K7" s="17"/>
      <c r="L7" s="33"/>
      <c r="M7" s="17"/>
      <c r="N7" s="17"/>
    </row>
    <row r="8">
      <c r="A8" s="23">
        <v>6</v>
      </c>
      <c r="B8" s="15" t="str">
        <v>营销费用源表-天猫-直通车-资金流水</v>
      </c>
      <c r="C8" s="25" t="str">
        <v>remaining_balance</v>
      </c>
      <c r="D8" s="26" t="str">
        <v>操作后余额(元)</v>
      </c>
      <c r="E8" s="17" t="str">
        <v>DECIMAL(30, 8)</v>
      </c>
      <c r="F8" s="23">
        <f>CONCAT(",",C8,"   ",E8,"   COMMENT'", D8,"'" )</f>
      </c>
      <c r="G8" s="33"/>
      <c r="H8" s="17"/>
      <c r="I8" s="17"/>
      <c r="J8" s="17"/>
      <c r="K8" s="17"/>
      <c r="L8" s="33"/>
      <c r="M8" s="17"/>
      <c r="N8" s="17"/>
    </row>
    <row r="9">
      <c r="A9" s="23">
        <v>7</v>
      </c>
      <c r="B9" s="15" t="str">
        <v>营销费用源表-天猫-直通车-资金流水</v>
      </c>
      <c r="C9" s="25" t="str">
        <v>remark</v>
      </c>
      <c r="D9" s="26" t="str">
        <v>备注</v>
      </c>
      <c r="E9" s="23" t="str">
        <v>STRING</v>
      </c>
      <c r="F9" s="23">
        <f>CONCAT(",",C9,"   ",E9,"   COMMENT'", D9,"'" )</f>
      </c>
      <c r="G9" s="33"/>
      <c r="H9" s="17"/>
      <c r="I9" s="17"/>
      <c r="J9" s="17"/>
      <c r="K9" s="17"/>
      <c r="L9" s="33"/>
      <c r="M9" s="17"/>
      <c r="N9" s="17"/>
    </row>
    <row r="10"/>
    <row r="11">
      <c r="A11" s="27" t="str">
        <v>记账时间</v>
      </c>
      <c r="B11" s="27" t="str">
        <v>AccountingTime</v>
      </c>
      <c r="C11" s="27" t="str">
        <v>DateTime</v>
      </c>
      <c r="D11" s="28" t="str">
        <v>-</v>
      </c>
    </row>
    <row r="12">
      <c r="A12" s="27" t="str">
        <v>交易日期</v>
      </c>
      <c r="B12" s="27" t="str">
        <v>TransactionDate</v>
      </c>
      <c r="C12" s="27" t="str">
        <v>Date</v>
      </c>
      <c r="D12" s="28" t="str">
        <v>-</v>
      </c>
    </row>
    <row r="13">
      <c r="A13" s="27" t="str">
        <v>收支类型</v>
      </c>
      <c r="B13" s="27" t="str">
        <v>IncomeOrExpense</v>
      </c>
      <c r="C13" s="27" t="str">
        <v>String</v>
      </c>
      <c r="D13" s="28">
        <v>10</v>
      </c>
    </row>
    <row r="14">
      <c r="A14" s="27" t="str">
        <v>交易类型</v>
      </c>
      <c r="B14" s="27" t="str">
        <v>TransactionType</v>
      </c>
      <c r="C14" s="27" t="str">
        <v>String</v>
      </c>
      <c r="D14" s="28">
        <v>20</v>
      </c>
    </row>
    <row r="15">
      <c r="A15" s="27" t="str">
        <v>操作金额(元)</v>
      </c>
      <c r="B15" s="27" t="str">
        <v>TransactionAmount</v>
      </c>
      <c r="C15" s="27" t="str">
        <v>Float</v>
      </c>
      <c r="D15" s="28" t="str">
        <v>-</v>
      </c>
    </row>
    <row r="16">
      <c r="A16" s="27" t="str">
        <v>操作后余额(元)</v>
      </c>
      <c r="B16" s="27" t="str">
        <v>RemainingBalance</v>
      </c>
      <c r="C16" s="27" t="str">
        <v>Float</v>
      </c>
      <c r="D16" s="28" t="str">
        <v>-</v>
      </c>
    </row>
    <row r="17">
      <c r="A17" s="27" t="str">
        <v>备注</v>
      </c>
      <c r="B17" s="27" t="str">
        <v>Remark</v>
      </c>
      <c r="C17" s="27" t="str">
        <v>String</v>
      </c>
      <c r="D17" s="28">
        <v>50</v>
      </c>
    </row>
  </sheetData>
  <mergeCells>
    <mergeCell ref="I1:N1"/>
    <mergeCell ref="A1:H1"/>
  </mergeCells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5"/>
    <col collapsed="false" customWidth="true" hidden="false" max="3" min="3" style="0" width="35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15" t="str">
        <v>营销费用源表-天猫-万相台-超级直播-业务计划</v>
      </c>
      <c r="C3" s="25" t="str">
        <v>cost_date</v>
      </c>
      <c r="D3" s="31" t="str">
        <v>日期</v>
      </c>
      <c r="E3" s="23" t="str">
        <v>STRING</v>
      </c>
      <c r="F3" s="23">
        <f>CONCAT(",",C3,"   ",E3,"   COMMENT'", D3,"'" )</f>
      </c>
      <c r="G3" s="23"/>
      <c r="H3" s="23"/>
      <c r="I3" s="43"/>
      <c r="J3" s="44"/>
      <c r="K3" s="42"/>
      <c r="L3" s="42"/>
      <c r="M3" s="42"/>
      <c r="N3" s="42"/>
    </row>
    <row r="4">
      <c r="A4" s="23">
        <v>2</v>
      </c>
      <c r="B4" s="15" t="str">
        <v>营销费用源表-天猫-万相台-超级直播-业务计划</v>
      </c>
      <c r="C4" s="25" t="str">
        <v>order_id</v>
      </c>
      <c r="D4" s="31" t="str">
        <v>订单Id</v>
      </c>
      <c r="E4" s="23" t="str">
        <v>STRING</v>
      </c>
      <c r="F4" s="23">
        <f>CONCAT(",",C4,"   ",E4,"   COMMENT'", D4,"'" )</f>
      </c>
      <c r="G4" s="17"/>
      <c r="H4" s="33"/>
      <c r="I4" s="17"/>
      <c r="J4" s="17"/>
      <c r="K4" s="17"/>
      <c r="L4" s="17"/>
      <c r="M4" s="17"/>
      <c r="N4" s="17"/>
    </row>
    <row r="5">
      <c r="A5" s="23">
        <v>3</v>
      </c>
      <c r="B5" s="15" t="str">
        <v>营销费用源表-天猫-万相台-超级直播-业务计划</v>
      </c>
      <c r="C5" s="25" t="str">
        <v>plan_name</v>
      </c>
      <c r="D5" s="31" t="str">
        <v>计划名称</v>
      </c>
      <c r="E5" s="23" t="str">
        <v>STRING</v>
      </c>
      <c r="F5" s="23">
        <f>CONCAT(",",C5,"   ",E5,"   COMMENT'", D5,"'" )</f>
      </c>
      <c r="G5" s="17"/>
      <c r="H5" s="33"/>
      <c r="I5" s="17"/>
      <c r="J5" s="17"/>
      <c r="K5" s="17"/>
      <c r="L5" s="17"/>
      <c r="M5" s="17"/>
      <c r="N5" s="17"/>
    </row>
    <row r="6">
      <c r="A6" s="23">
        <v>4</v>
      </c>
      <c r="B6" s="15" t="str">
        <v>营销费用源表-天猫-万相台-超级直播-业务计划</v>
      </c>
      <c r="C6" s="25" t="str">
        <v>view_count</v>
      </c>
      <c r="D6" s="31" t="str">
        <v>观看次数</v>
      </c>
      <c r="E6" s="23" t="str">
        <v>STRING</v>
      </c>
      <c r="F6" s="23">
        <f>CONCAT(",",C6,"   ",E6,"   COMMENT'", D6,"'" )</f>
      </c>
      <c r="G6" s="17"/>
      <c r="H6" s="33"/>
      <c r="I6" s="17"/>
      <c r="J6" s="17"/>
      <c r="K6" s="17"/>
      <c r="L6" s="17"/>
      <c r="M6" s="17"/>
      <c r="N6" s="17"/>
    </row>
    <row r="7">
      <c r="A7" s="23">
        <v>5</v>
      </c>
      <c r="B7" s="15" t="str">
        <v>营销费用源表-天猫-万相台-超级直播-业务计划</v>
      </c>
      <c r="C7" s="25" t="str">
        <v>view_cost</v>
      </c>
      <c r="D7" s="31" t="str">
        <v>观看成本</v>
      </c>
      <c r="E7" s="23" t="str">
        <v>STRING</v>
      </c>
      <c r="F7" s="23">
        <f>CONCAT(",",C7,"   ",E7,"   COMMENT'", D7,"'" )</f>
      </c>
      <c r="G7" s="17"/>
      <c r="H7" s="33"/>
      <c r="I7" s="17"/>
      <c r="J7" s="17"/>
      <c r="K7" s="17"/>
      <c r="L7" s="17"/>
      <c r="M7" s="17"/>
      <c r="N7" s="17"/>
    </row>
    <row r="8">
      <c r="A8" s="23">
        <v>6</v>
      </c>
      <c r="B8" s="15" t="str">
        <v>营销费用源表-天猫-万相台-超级直播-业务计划</v>
      </c>
      <c r="C8" s="25" t="str">
        <v>cost_amount</v>
      </c>
      <c r="D8" s="31" t="str">
        <v>花费</v>
      </c>
      <c r="E8" s="17" t="str">
        <v>DECIMAL(30, 8)</v>
      </c>
      <c r="F8" s="23">
        <f>CONCAT(",",C8,"   ",E8,"   COMMENT'", D8,"'" )</f>
      </c>
      <c r="G8" s="17"/>
      <c r="H8" s="33"/>
      <c r="I8" s="17"/>
      <c r="J8" s="17"/>
      <c r="K8" s="17"/>
      <c r="L8" s="17"/>
      <c r="M8" s="17"/>
      <c r="N8" s="17"/>
    </row>
    <row r="9">
      <c r="A9" s="23">
        <v>7</v>
      </c>
      <c r="B9" s="15" t="str">
        <v>营销费用源表-天猫-万相台-超级直播-业务计划</v>
      </c>
      <c r="C9" s="25" t="str">
        <v>interaction_count</v>
      </c>
      <c r="D9" s="31" t="str">
        <v>互动量</v>
      </c>
      <c r="E9" s="23" t="str">
        <v>STRING</v>
      </c>
      <c r="F9" s="23">
        <f>CONCAT(",",C9,"   ",E9,"   COMMENT'", D9,"'" )</f>
      </c>
      <c r="G9" s="17"/>
      <c r="H9" s="33"/>
      <c r="I9" s="17"/>
      <c r="J9" s="17"/>
      <c r="K9" s="17"/>
      <c r="L9" s="17"/>
      <c r="M9" s="17"/>
      <c r="N9" s="17"/>
    </row>
    <row r="10">
      <c r="A10" s="23">
        <v>8</v>
      </c>
      <c r="B10" s="15" t="str">
        <v>营销费用源表-天猫-万相台-超级直播-业务计划</v>
      </c>
      <c r="C10" s="25" t="str">
        <v>interaction_rate</v>
      </c>
      <c r="D10" s="31" t="str">
        <v>互动率</v>
      </c>
      <c r="E10" s="23" t="str">
        <v>STRING</v>
      </c>
      <c r="F10" s="23">
        <f>CONCAT(",",C10,"   ",E10,"   COMMENT'", D10,"'" )</f>
      </c>
      <c r="G10" s="17"/>
      <c r="H10" s="33"/>
      <c r="I10" s="17"/>
      <c r="J10" s="17"/>
      <c r="K10" s="17"/>
      <c r="L10" s="17"/>
      <c r="M10" s="17"/>
      <c r="N10" s="17"/>
    </row>
    <row r="11">
      <c r="A11" s="23">
        <v>9</v>
      </c>
      <c r="B11" s="15" t="str">
        <v>营销费用源表-天猫-万相台-超级直播-业务计划</v>
      </c>
      <c r="C11" s="25" t="str">
        <v>avg_view_duration</v>
      </c>
      <c r="D11" s="31" t="str">
        <v>平均观看时长</v>
      </c>
      <c r="E11" s="23" t="str">
        <v>STRING</v>
      </c>
      <c r="F11" s="23">
        <f>CONCAT(",",C11,"   ",E11,"   COMMENT'", D11,"'" )</f>
      </c>
      <c r="G11" s="17"/>
      <c r="H11" s="33"/>
      <c r="I11" s="17"/>
      <c r="J11" s="17"/>
      <c r="K11" s="17"/>
      <c r="L11" s="17"/>
      <c r="M11" s="17"/>
      <c r="N11" s="17"/>
    </row>
    <row r="12">
      <c r="A12" s="23">
        <v>10</v>
      </c>
      <c r="B12" s="15" t="str">
        <v>营销费用源表-天猫-万相台-超级直播-业务计划</v>
      </c>
      <c r="C12" s="25" t="str">
        <v>product_click_count</v>
      </c>
      <c r="D12" s="31" t="str">
        <v>商品点击量</v>
      </c>
      <c r="E12" s="23" t="str">
        <v>STRING</v>
      </c>
      <c r="F12" s="23">
        <f>CONCAT(",",C12,"   ",E12,"   COMMENT'", D12,"'" )</f>
      </c>
      <c r="G12" s="17"/>
      <c r="H12" s="33"/>
      <c r="I12" s="17"/>
      <c r="J12" s="17"/>
      <c r="K12" s="17"/>
      <c r="L12" s="17"/>
      <c r="M12" s="17"/>
      <c r="N12" s="17"/>
    </row>
    <row r="13">
      <c r="A13" s="23">
        <v>11</v>
      </c>
      <c r="B13" s="15" t="str">
        <v>营销费用源表-天猫-万相台-超级直播-业务计划</v>
      </c>
      <c r="C13" s="25" t="str">
        <v>product_click_rate</v>
      </c>
      <c r="D13" s="31" t="str">
        <v>商品点击率</v>
      </c>
      <c r="E13" s="23" t="str">
        <v>STRING</v>
      </c>
      <c r="F13" s="23">
        <f>CONCAT(",",C13,"   ",E13,"   COMMENT'", D13,"'" )</f>
      </c>
      <c r="G13" s="17"/>
      <c r="H13" s="33"/>
      <c r="I13" s="17"/>
      <c r="J13" s="17"/>
      <c r="K13" s="17"/>
      <c r="L13" s="17"/>
      <c r="M13" s="17"/>
      <c r="N13" s="17"/>
    </row>
    <row r="14">
      <c r="A14" s="23">
        <v>12</v>
      </c>
      <c r="B14" s="15" t="str">
        <v>营销费用源表-天猫-万相台-超级直播-业务计划</v>
      </c>
      <c r="C14" s="25" t="str">
        <v>fans_followed_count</v>
      </c>
      <c r="D14" s="31" t="str">
        <v>粉丝关注量</v>
      </c>
      <c r="E14" s="23" t="str">
        <v>STRING</v>
      </c>
      <c r="F14" s="23">
        <f>CONCAT(",",C14,"   ",E14,"   COMMENT'", D14,"'" )</f>
      </c>
      <c r="G14" s="17"/>
      <c r="H14" s="33"/>
      <c r="I14" s="17"/>
      <c r="J14" s="17"/>
      <c r="K14" s="17"/>
      <c r="L14" s="17"/>
      <c r="M14" s="17"/>
      <c r="N14" s="17"/>
    </row>
    <row r="15">
      <c r="A15" s="23">
        <v>13</v>
      </c>
      <c r="B15" s="15" t="str">
        <v>营销费用源表-天猫-万相台-超级直播-业务计划</v>
      </c>
      <c r="C15" s="25" t="str">
        <v>transaction_count</v>
      </c>
      <c r="D15" s="31" t="str">
        <v>成交订单量</v>
      </c>
      <c r="E15" s="23" t="str">
        <v>STRING</v>
      </c>
      <c r="F15" s="23">
        <f>CONCAT(",",C15,"   ",E15,"   COMMENT'", D15,"'" )</f>
      </c>
      <c r="G15" s="17"/>
      <c r="H15" s="33"/>
      <c r="I15" s="17"/>
      <c r="J15" s="17"/>
      <c r="K15" s="17"/>
      <c r="L15" s="17"/>
      <c r="M15" s="17"/>
      <c r="N15" s="17"/>
    </row>
    <row r="16">
      <c r="A16" s="23">
        <v>14</v>
      </c>
      <c r="B16" s="15" t="str">
        <v>营销费用源表-天猫-万相台-超级直播-业务计划</v>
      </c>
      <c r="C16" s="25" t="str">
        <v>transaction_amount</v>
      </c>
      <c r="D16" s="31" t="str">
        <v>成交金额</v>
      </c>
      <c r="E16" s="17" t="str">
        <v>DECIMAL(30, 8)</v>
      </c>
      <c r="F16" s="23">
        <f>CONCAT(",",C16,"   ",E16,"   COMMENT'", D16,"'" )</f>
      </c>
      <c r="G16" s="17"/>
      <c r="H16" s="33"/>
      <c r="I16" s="17"/>
      <c r="J16" s="17"/>
      <c r="K16" s="17"/>
      <c r="L16" s="17"/>
      <c r="M16" s="17"/>
      <c r="N16" s="17"/>
    </row>
    <row r="17">
      <c r="A17" s="23">
        <v>15</v>
      </c>
      <c r="B17" s="15" t="str">
        <v>营销费用源表-天猫-万相台-超级直播-业务计划</v>
      </c>
      <c r="C17" s="25" t="str">
        <v>favorite_item_count</v>
      </c>
      <c r="D17" s="31" t="str">
        <v>收藏宝贝量</v>
      </c>
      <c r="E17" s="23" t="str">
        <v>STRING</v>
      </c>
      <c r="F17" s="23">
        <f>CONCAT(",",C17,"   ",E17,"   COMMENT'", D17,"'" )</f>
      </c>
      <c r="G17" s="17"/>
      <c r="H17" s="33"/>
      <c r="I17" s="17"/>
      <c r="J17" s="17"/>
      <c r="K17" s="17"/>
      <c r="L17" s="17"/>
      <c r="M17" s="17"/>
      <c r="N17" s="17"/>
    </row>
    <row r="18">
      <c r="A18" s="23">
        <v>16</v>
      </c>
      <c r="B18" s="15" t="str">
        <v>营销费用源表-天猫-万相台-超级直播-业务计划</v>
      </c>
      <c r="C18" s="25" t="str">
        <v>product_cart_count</v>
      </c>
      <c r="D18" s="31" t="str">
        <v>商品加购数</v>
      </c>
      <c r="E18" s="23" t="str">
        <v>STRING</v>
      </c>
      <c r="F18" s="23">
        <f>CONCAT(",",C18,"   ",E18,"   COMMENT'", D18,"'" )</f>
      </c>
      <c r="G18" s="17"/>
      <c r="H18" s="33"/>
      <c r="I18" s="17"/>
      <c r="J18" s="17"/>
      <c r="K18" s="17"/>
      <c r="L18" s="17"/>
      <c r="M18" s="17"/>
      <c r="N18" s="17"/>
    </row>
    <row r="19">
      <c r="A19" s="23">
        <v>17</v>
      </c>
      <c r="B19" s="15" t="str">
        <v>营销费用源表-天猫-万相台-超级直播-业务计划</v>
      </c>
      <c r="C19" s="25" t="str">
        <v>roi</v>
      </c>
      <c r="D19" s="31" t="str">
        <v>投资回报率</v>
      </c>
      <c r="E19" s="23" t="str">
        <v>STRING</v>
      </c>
      <c r="F19" s="23">
        <f>CONCAT(",",C19,"   ",E19,"   COMMENT'", D19,"'" )</f>
      </c>
      <c r="G19" s="17"/>
      <c r="H19" s="33"/>
      <c r="I19" s="17"/>
      <c r="J19" s="17"/>
      <c r="K19" s="17"/>
      <c r="L19" s="17"/>
      <c r="M19" s="17"/>
      <c r="N19" s="17"/>
    </row>
    <row r="20">
      <c r="A20" s="23">
        <v>18</v>
      </c>
      <c r="B20" s="15" t="str">
        <v>营销费用源表-天猫-万相台-超级直播-业务计划</v>
      </c>
      <c r="C20" s="25" t="str">
        <v>live_like_count</v>
      </c>
      <c r="D20" s="31" t="str">
        <v>直播点赞量</v>
      </c>
      <c r="E20" s="23" t="str">
        <v>STRING</v>
      </c>
      <c r="F20" s="23">
        <f>CONCAT(",",C20,"   ",E20,"   COMMENT'", D20,"'" )</f>
      </c>
      <c r="G20" s="17"/>
      <c r="H20" s="33"/>
      <c r="I20" s="17"/>
      <c r="J20" s="17"/>
      <c r="K20" s="17"/>
      <c r="L20" s="17"/>
      <c r="M20" s="17"/>
      <c r="N20" s="17"/>
    </row>
    <row r="21">
      <c r="A21" s="23">
        <v>19</v>
      </c>
      <c r="B21" s="15" t="str">
        <v>营销费用源表-天猫-万相台-超级直播-业务计划</v>
      </c>
      <c r="C21" s="25" t="str">
        <v>live_share_count</v>
      </c>
      <c r="D21" s="31" t="str">
        <v>直播分享量</v>
      </c>
      <c r="E21" s="23" t="str">
        <v>STRING</v>
      </c>
      <c r="F21" s="23">
        <f>CONCAT(",",C21,"   ",E21,"   COMMENT'", D21,"'" )</f>
      </c>
      <c r="G21" s="17"/>
      <c r="H21" s="33"/>
      <c r="I21" s="17"/>
      <c r="J21" s="17"/>
      <c r="K21" s="17"/>
      <c r="L21" s="17"/>
      <c r="M21" s="17"/>
      <c r="N21" s="17"/>
    </row>
    <row r="22">
      <c r="A22" s="23">
        <v>20</v>
      </c>
      <c r="B22" s="15" t="str">
        <v>营销费用源表-天猫-万相台-超级直播-业务计划</v>
      </c>
      <c r="C22" s="25" t="str">
        <v>live_comment_count</v>
      </c>
      <c r="D22" s="31" t="str">
        <v>直播评论量</v>
      </c>
      <c r="E22" s="23" t="str">
        <v>STRING</v>
      </c>
      <c r="F22" s="23">
        <f>CONCAT(",",C22,"   ",E22,"   COMMENT'", D22,"'" )</f>
      </c>
      <c r="G22" s="17"/>
      <c r="H22" s="33"/>
      <c r="I22" s="17"/>
      <c r="J22" s="17"/>
      <c r="K22" s="17"/>
      <c r="L22" s="17"/>
      <c r="M22" s="17"/>
      <c r="N22" s="17"/>
    </row>
    <row r="23">
      <c r="A23" s="23">
        <v>21</v>
      </c>
      <c r="B23" s="15" t="str">
        <v>营销费用源表-天猫-万相台-超级直播-业务计划</v>
      </c>
      <c r="C23" s="25" t="str">
        <v>presale_order_count</v>
      </c>
      <c r="D23" s="31" t="str">
        <v>预售订单量</v>
      </c>
      <c r="E23" s="23" t="str">
        <v>STRING</v>
      </c>
      <c r="F23" s="23">
        <f>CONCAT(",",C23,"   ",E23,"   COMMENT'", D23,"'" )</f>
      </c>
      <c r="G23" s="17"/>
      <c r="H23" s="33"/>
      <c r="I23" s="17"/>
      <c r="J23" s="17"/>
      <c r="K23" s="17"/>
      <c r="L23" s="17"/>
      <c r="M23" s="17"/>
      <c r="N23" s="17"/>
    </row>
    <row r="24">
      <c r="A24" s="23">
        <v>22</v>
      </c>
      <c r="B24" s="15" t="str">
        <v>营销费用源表-天猫-万相台-超级直播-业务计划</v>
      </c>
      <c r="C24" s="25" t="str">
        <v>presale_amount</v>
      </c>
      <c r="D24" s="31" t="str">
        <v>预售金额</v>
      </c>
      <c r="E24" s="17" t="str">
        <v>DECIMAL(30, 8)</v>
      </c>
      <c r="F24" s="23">
        <f>CONCAT(",",C24,"   ",E24,"   COMMENT'", D24,"'" )</f>
      </c>
      <c r="G24" s="17"/>
      <c r="H24" s="33"/>
      <c r="I24" s="17"/>
      <c r="J24" s="17"/>
      <c r="K24" s="17"/>
      <c r="L24" s="17"/>
      <c r="M24" s="17"/>
      <c r="N24" s="17"/>
    </row>
    <row r="25">
      <c r="A25" s="23">
        <v>23</v>
      </c>
      <c r="B25" s="15" t="str">
        <v>营销费用源表-天猫-万相台-超级直播-业务计划</v>
      </c>
      <c r="C25" s="25" t="str">
        <v>deposit_count</v>
      </c>
      <c r="D25" s="31" t="str">
        <v>购物金充值笔数</v>
      </c>
      <c r="E25" s="23" t="str">
        <v>STRING</v>
      </c>
      <c r="F25" s="23">
        <f>CONCAT(",",C25,"   ",E25,"   COMMENT'", D25,"'" )</f>
      </c>
      <c r="G25" s="17"/>
      <c r="H25" s="33"/>
      <c r="I25" s="17"/>
      <c r="J25" s="17"/>
      <c r="K25" s="17"/>
      <c r="L25" s="17"/>
      <c r="M25" s="17"/>
      <c r="N25" s="17"/>
    </row>
    <row r="26">
      <c r="A26" s="23">
        <v>24</v>
      </c>
      <c r="B26" s="15" t="str">
        <v>营销费用源表-天猫-万相台-超级直播-业务计划</v>
      </c>
      <c r="C26" s="25" t="str">
        <v>deposit_amount</v>
      </c>
      <c r="D26" s="31" t="str">
        <v>购物金充值金额</v>
      </c>
      <c r="E26" s="17" t="str">
        <v>DECIMAL(30, 8)</v>
      </c>
      <c r="F26" s="23">
        <f>CONCAT(",",C26,"   ",E26,"   COMMENT'", D26,"'" )</f>
      </c>
      <c r="G26" s="17"/>
      <c r="H26" s="33"/>
      <c r="I26" s="17"/>
      <c r="J26" s="17"/>
      <c r="K26" s="17"/>
      <c r="L26" s="17"/>
      <c r="M26" s="17"/>
      <c r="N26" s="17"/>
    </row>
    <row r="27"/>
    <row r="28">
      <c r="A28" s="27" t="str">
        <v>日期</v>
      </c>
      <c r="B28" s="27" t="str">
        <v>Date</v>
      </c>
      <c r="C28" s="27" t="str">
        <v>Date</v>
      </c>
      <c r="D28" s="28" t="str">
        <v>-</v>
      </c>
    </row>
    <row r="29">
      <c r="A29" s="27" t="str">
        <v>订单Id</v>
      </c>
      <c r="B29" s="27" t="str">
        <v>OrderId</v>
      </c>
      <c r="C29" s="27" t="str">
        <v>String</v>
      </c>
      <c r="D29" s="28">
        <v>20</v>
      </c>
    </row>
    <row r="30">
      <c r="A30" s="27" t="str">
        <v>计划名称</v>
      </c>
      <c r="B30" s="27" t="str">
        <v>CampaignName</v>
      </c>
      <c r="C30" s="27" t="str">
        <v>String</v>
      </c>
      <c r="D30" s="28">
        <v>50</v>
      </c>
    </row>
    <row r="31">
      <c r="A31" s="27" t="str">
        <v>观看次数</v>
      </c>
      <c r="B31" s="27" t="str">
        <v>ViewCount</v>
      </c>
      <c r="C31" s="27" t="str">
        <v>Integer</v>
      </c>
      <c r="D31" s="28" t="str">
        <v>-</v>
      </c>
    </row>
    <row r="32">
      <c r="A32" s="27" t="str">
        <v>观看成本</v>
      </c>
      <c r="B32" s="27" t="str">
        <v>ViewCost</v>
      </c>
      <c r="C32" s="27" t="str">
        <v>Float</v>
      </c>
      <c r="D32" s="28" t="str">
        <v>-</v>
      </c>
    </row>
    <row r="33">
      <c r="A33" s="27" t="str">
        <v>花费</v>
      </c>
      <c r="B33" s="27" t="str">
        <v>Cost</v>
      </c>
      <c r="C33" s="27" t="str">
        <v>Float</v>
      </c>
      <c r="D33" s="28" t="str">
        <v>-</v>
      </c>
    </row>
    <row r="34">
      <c r="A34" s="27" t="str">
        <v>互动量</v>
      </c>
      <c r="B34" s="27" t="str">
        <v>InteractionCount</v>
      </c>
      <c r="C34" s="27" t="str">
        <v>Integer</v>
      </c>
      <c r="D34" s="28" t="str">
        <v>-</v>
      </c>
    </row>
    <row r="35">
      <c r="A35" s="27" t="str">
        <v>互动率</v>
      </c>
      <c r="B35" s="27" t="str">
        <v>InteractionRate</v>
      </c>
      <c r="C35" s="27" t="str">
        <v>Float</v>
      </c>
      <c r="D35" s="28" t="str">
        <v>-</v>
      </c>
    </row>
    <row r="36">
      <c r="A36" s="27" t="str">
        <v>平均观看时长</v>
      </c>
      <c r="B36" s="27" t="str">
        <v>AvgViewDuration</v>
      </c>
      <c r="C36" s="27" t="str">
        <v>Float</v>
      </c>
      <c r="D36" s="28" t="str">
        <v>-</v>
      </c>
    </row>
    <row r="37">
      <c r="A37" s="27" t="str">
        <v>商品点击量</v>
      </c>
      <c r="B37" s="27" t="str">
        <v>ProductClickCount</v>
      </c>
      <c r="C37" s="27" t="str">
        <v>Integer</v>
      </c>
      <c r="D37" s="28" t="str">
        <v>-</v>
      </c>
    </row>
    <row r="38">
      <c r="A38" s="27" t="str">
        <v>商品点击率</v>
      </c>
      <c r="B38" s="27" t="str">
        <v>ProductClickRate</v>
      </c>
      <c r="C38" s="27" t="str">
        <v>Float</v>
      </c>
      <c r="D38" s="28" t="str">
        <v>-</v>
      </c>
    </row>
    <row r="39">
      <c r="A39" s="27" t="str">
        <v>粉丝关注量</v>
      </c>
      <c r="B39" s="27" t="str">
        <v>FansFollowedCount</v>
      </c>
      <c r="C39" s="27" t="str">
        <v>Integer</v>
      </c>
      <c r="D39" s="28" t="str">
        <v>-</v>
      </c>
    </row>
    <row r="40">
      <c r="A40" s="27" t="str">
        <v>成交订单量</v>
      </c>
      <c r="B40" s="27" t="str">
        <v>TransactionCount</v>
      </c>
      <c r="C40" s="27" t="str">
        <v>Integer</v>
      </c>
      <c r="D40" s="28" t="str">
        <v>-</v>
      </c>
    </row>
    <row r="41">
      <c r="A41" s="27" t="str">
        <v>成交金额</v>
      </c>
      <c r="B41" s="27" t="str">
        <v>TransactionAmount</v>
      </c>
      <c r="C41" s="27" t="str">
        <v>Float</v>
      </c>
      <c r="D41" s="28" t="str">
        <v>-</v>
      </c>
    </row>
    <row r="42">
      <c r="A42" s="27" t="str">
        <v>收藏宝贝量</v>
      </c>
      <c r="B42" s="27" t="str">
        <v>FavoriteItemCount</v>
      </c>
      <c r="C42" s="27" t="str">
        <v>Integer</v>
      </c>
      <c r="D42" s="28" t="str">
        <v>-</v>
      </c>
    </row>
    <row r="43">
      <c r="A43" s="27" t="str">
        <v>商品加购数</v>
      </c>
      <c r="B43" s="27" t="str">
        <v>ProductCartCount</v>
      </c>
      <c r="C43" s="27" t="str">
        <v>Integer</v>
      </c>
      <c r="D43" s="28" t="str">
        <v>-</v>
      </c>
    </row>
    <row r="44">
      <c r="A44" s="27" t="str">
        <v>投资回报率</v>
      </c>
      <c r="B44" s="27" t="str">
        <v>ROI</v>
      </c>
      <c r="C44" s="27" t="str">
        <v>Float</v>
      </c>
      <c r="D44" s="28" t="str">
        <v>-</v>
      </c>
    </row>
    <row r="45">
      <c r="A45" s="27" t="str">
        <v>直播点赞量</v>
      </c>
      <c r="B45" s="27" t="str">
        <v>LiveLikeCount</v>
      </c>
      <c r="C45" s="27" t="str">
        <v>Integer</v>
      </c>
      <c r="D45" s="28" t="str">
        <v>-</v>
      </c>
    </row>
    <row r="46">
      <c r="A46" s="27" t="str">
        <v>直播分享量</v>
      </c>
      <c r="B46" s="27" t="str">
        <v>LiveShareCount</v>
      </c>
      <c r="C46" s="27" t="str">
        <v>Integer</v>
      </c>
      <c r="D46" s="28" t="str">
        <v>-</v>
      </c>
    </row>
    <row r="47">
      <c r="A47" s="27" t="str">
        <v>直播评论量</v>
      </c>
      <c r="B47" s="27" t="str">
        <v>LiveCommentCount</v>
      </c>
      <c r="C47" s="27" t="str">
        <v>Integer</v>
      </c>
      <c r="D47" s="28" t="str">
        <v>-</v>
      </c>
    </row>
    <row r="48">
      <c r="A48" s="27" t="str">
        <v>预售订单量</v>
      </c>
      <c r="B48" s="27" t="str">
        <v>PresaleOrderCount</v>
      </c>
      <c r="C48" s="27" t="str">
        <v>Integer</v>
      </c>
      <c r="D48" s="28" t="str">
        <v>-</v>
      </c>
    </row>
    <row r="49">
      <c r="A49" s="27" t="str">
        <v>预售金额</v>
      </c>
      <c r="B49" s="27" t="str">
        <v>PresaleAmount</v>
      </c>
      <c r="C49" s="27" t="str">
        <v>Float</v>
      </c>
      <c r="D49" s="28" t="str">
        <v>-</v>
      </c>
    </row>
    <row r="50">
      <c r="A50" s="27" t="str">
        <v>购物金充值笔数</v>
      </c>
      <c r="B50" s="27" t="str">
        <v>DepositCount</v>
      </c>
      <c r="C50" s="27" t="str">
        <v>Integer</v>
      </c>
      <c r="D50" s="28" t="str">
        <v>-</v>
      </c>
    </row>
    <row r="51">
      <c r="A51" s="27" t="str">
        <v>购物金充值金额</v>
      </c>
      <c r="B51" s="27" t="str">
        <v>DepositAmount</v>
      </c>
      <c r="C51" s="27" t="str">
        <v>Float</v>
      </c>
      <c r="D51" s="28" t="str">
        <v>-</v>
      </c>
    </row>
  </sheetData>
  <mergeCells>
    <mergeCell ref="I1:N1"/>
    <mergeCell ref="A1:H1"/>
  </mergeCells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3"/>
    <col collapsed="false" customWidth="true" hidden="false" max="3" min="3" style="0" width="33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23" t="str">
        <v>营销费用源表-天猫-万相台-短视频-业务计划</v>
      </c>
      <c r="C3" s="27" t="str">
        <v>cost_date</v>
      </c>
      <c r="D3" s="45" t="str">
        <v>日期</v>
      </c>
      <c r="E3" s="23" t="str">
        <v>STRING</v>
      </c>
      <c r="F3" s="23">
        <f>CONCAT(",",C3,"   ",E3,"   COMMENT'", D3,"'" )</f>
      </c>
      <c r="G3" s="15"/>
      <c r="H3" s="23"/>
      <c r="I3" s="24"/>
      <c r="J3" s="24"/>
      <c r="K3" s="14"/>
      <c r="L3" s="14"/>
      <c r="M3" s="14"/>
      <c r="N3" s="14"/>
    </row>
    <row r="4">
      <c r="A4" s="23">
        <v>2</v>
      </c>
      <c r="B4" s="23" t="str">
        <v>营销费用源表-天猫-万相台-短视频-业务计划</v>
      </c>
      <c r="C4" s="27" t="str">
        <v>plan_id</v>
      </c>
      <c r="D4" s="45" t="str">
        <v>计划ID</v>
      </c>
      <c r="E4" s="23" t="str">
        <v>STRING</v>
      </c>
      <c r="F4" s="23">
        <f>CONCAT(",",C4,"   ",E4,"   COMMENT'", D4,"'" )</f>
      </c>
      <c r="G4" s="33"/>
      <c r="H4" s="17"/>
      <c r="I4" s="17"/>
      <c r="J4" s="17"/>
      <c r="K4" s="17"/>
      <c r="L4" s="17"/>
      <c r="M4" s="17"/>
      <c r="N4" s="17"/>
    </row>
    <row r="5">
      <c r="A5" s="23">
        <v>3</v>
      </c>
      <c r="B5" s="23" t="str">
        <v>营销费用源表-天猫-万相台-短视频-业务计划</v>
      </c>
      <c r="C5" s="27" t="str">
        <v>plan</v>
      </c>
      <c r="D5" s="45" t="str">
        <v>计划</v>
      </c>
      <c r="E5" s="23" t="str">
        <v>STRING</v>
      </c>
      <c r="F5" s="23">
        <f>CONCAT(",",C5,"   ",E5,"   COMMENT'", D5,"'" )</f>
      </c>
      <c r="G5" s="33"/>
      <c r="H5" s="17"/>
      <c r="I5" s="17"/>
      <c r="J5" s="17"/>
      <c r="K5" s="17"/>
      <c r="L5" s="17"/>
      <c r="M5" s="17"/>
      <c r="N5" s="17"/>
    </row>
    <row r="6">
      <c r="A6" s="23">
        <v>4</v>
      </c>
      <c r="B6" s="23" t="str">
        <v>营销费用源表-天猫-万相台-短视频-业务计划</v>
      </c>
      <c r="C6" s="27" t="str">
        <v>cost_amount</v>
      </c>
      <c r="D6" s="45" t="str">
        <v>消耗</v>
      </c>
      <c r="E6" s="23" t="str">
        <v>STRING</v>
      </c>
      <c r="F6" s="23">
        <f>CONCAT(",",C6,"   ",E6,"   COMMENT'", D6,"'" )</f>
      </c>
      <c r="G6" s="33"/>
      <c r="H6" s="17"/>
      <c r="I6" s="17"/>
      <c r="J6" s="17"/>
      <c r="K6" s="17"/>
      <c r="L6" s="17"/>
      <c r="M6" s="17"/>
      <c r="N6" s="17"/>
    </row>
    <row r="7">
      <c r="A7" s="23">
        <v>5</v>
      </c>
      <c r="B7" s="23" t="str">
        <v>营销费用源表-天猫-万相台-短视频-业务计划</v>
      </c>
      <c r="C7" s="27" t="str">
        <v>view_count</v>
      </c>
      <c r="D7" s="45" t="str">
        <v>观看量</v>
      </c>
      <c r="E7" s="23" t="str">
        <v>STRING</v>
      </c>
      <c r="F7" s="23">
        <f>CONCAT(",",C7,"   ",E7,"   COMMENT'", D7,"'" )</f>
      </c>
      <c r="G7" s="33"/>
      <c r="H7" s="17"/>
      <c r="I7" s="17"/>
      <c r="J7" s="17"/>
      <c r="K7" s="17"/>
      <c r="L7" s="17"/>
      <c r="M7" s="17"/>
      <c r="N7" s="17"/>
    </row>
    <row r="8">
      <c r="A8" s="23">
        <v>6</v>
      </c>
      <c r="B8" s="23" t="str">
        <v>营销费用源表-天猫-万相台-短视频-业务计划</v>
      </c>
      <c r="C8" s="27" t="str">
        <v>cpm</v>
      </c>
      <c r="D8" s="45" t="str">
        <v>千次观看成本</v>
      </c>
      <c r="E8" s="23" t="str">
        <v>STRING</v>
      </c>
      <c r="F8" s="23">
        <f>CONCAT(",",C8,"   ",E8,"   COMMENT'", D8,"'" )</f>
      </c>
      <c r="G8" s="33"/>
      <c r="H8" s="17"/>
      <c r="I8" s="17"/>
      <c r="J8" s="17"/>
      <c r="K8" s="17"/>
      <c r="L8" s="17"/>
      <c r="M8" s="17"/>
      <c r="N8" s="17"/>
    </row>
    <row r="9">
      <c r="A9" s="23">
        <v>7</v>
      </c>
      <c r="B9" s="23" t="str">
        <v>营销费用源表-天猫-万相台-短视频-业务计划</v>
      </c>
      <c r="C9" s="27" t="str">
        <v>click_count</v>
      </c>
      <c r="D9" s="45" t="str">
        <v>点击量</v>
      </c>
      <c r="E9" s="23" t="str">
        <v>STRING</v>
      </c>
      <c r="F9" s="23">
        <f>CONCAT(",",C9,"   ",E9,"   COMMENT'", D9,"'" )</f>
      </c>
      <c r="G9" s="33"/>
      <c r="H9" s="17"/>
      <c r="I9" s="17"/>
      <c r="J9" s="17"/>
      <c r="K9" s="17"/>
      <c r="L9" s="17"/>
      <c r="M9" s="17"/>
      <c r="N9" s="17"/>
    </row>
    <row r="10">
      <c r="A10" s="23">
        <v>8</v>
      </c>
      <c r="B10" s="23" t="str">
        <v>营销费用源表-天猫-万相台-短视频-业务计划</v>
      </c>
      <c r="C10" s="27" t="str">
        <v>cpc</v>
      </c>
      <c r="D10" s="45" t="str">
        <v>点击成本</v>
      </c>
      <c r="E10" s="23" t="str">
        <v>STRING</v>
      </c>
      <c r="F10" s="23">
        <f>CONCAT(",",C10,"   ",E10,"   COMMENT'", D10,"'" )</f>
      </c>
      <c r="G10" s="33"/>
      <c r="H10" s="17"/>
      <c r="I10" s="17"/>
      <c r="J10" s="17"/>
      <c r="K10" s="17"/>
      <c r="L10" s="17"/>
      <c r="M10" s="17"/>
      <c r="N10" s="17"/>
    </row>
    <row r="11">
      <c r="A11" s="23">
        <v>9</v>
      </c>
      <c r="B11" s="23" t="str">
        <v>营销费用源表-天猫-万相台-短视频-业务计划</v>
      </c>
      <c r="C11" s="27" t="str">
        <v>effective_view_count</v>
      </c>
      <c r="D11" s="45" t="str">
        <v>有效观看量</v>
      </c>
      <c r="E11" s="23" t="str">
        <v>STRING</v>
      </c>
      <c r="F11" s="23">
        <f>CONCAT(",",C11,"   ",E11,"   COMMENT'", D11,"'" )</f>
      </c>
      <c r="G11" s="33"/>
      <c r="H11" s="17"/>
      <c r="I11" s="17"/>
      <c r="J11" s="17"/>
      <c r="K11" s="17"/>
      <c r="L11" s="17"/>
      <c r="M11" s="17"/>
      <c r="N11" s="17"/>
    </row>
    <row r="12">
      <c r="A12" s="23">
        <v>10</v>
      </c>
      <c r="B12" s="23" t="str">
        <v>营销费用源表-天猫-万相台-短视频-业务计划</v>
      </c>
      <c r="C12" s="27" t="str">
        <v>effective_cpm</v>
      </c>
      <c r="D12" s="45" t="str">
        <v>千次有效观看成本</v>
      </c>
      <c r="E12" s="23" t="str">
        <v>STRING</v>
      </c>
      <c r="F12" s="23">
        <f>CONCAT(",",C12,"   ",E12,"   COMMENT'", D12,"'" )</f>
      </c>
      <c r="G12" s="33"/>
      <c r="H12" s="17"/>
      <c r="I12" s="17"/>
      <c r="J12" s="17"/>
      <c r="K12" s="17"/>
      <c r="L12" s="17"/>
      <c r="M12" s="17"/>
      <c r="N12" s="17"/>
    </row>
    <row r="13">
      <c r="A13" s="23">
        <v>11</v>
      </c>
      <c r="B13" s="23" t="str">
        <v>营销费用源表-天猫-万相台-短视频-业务计划</v>
      </c>
      <c r="C13" s="27" t="str">
        <v>avg_effective_view_duration</v>
      </c>
      <c r="D13" s="45" t="str">
        <v>平均有效观看时长</v>
      </c>
      <c r="E13" s="23" t="str">
        <v>STRING</v>
      </c>
      <c r="F13" s="23">
        <f>CONCAT(",",C13,"   ",E13,"   COMMENT'", D13,"'" )</f>
      </c>
      <c r="G13" s="33"/>
      <c r="H13" s="17"/>
      <c r="I13" s="17"/>
      <c r="J13" s="17"/>
      <c r="K13" s="17"/>
      <c r="L13" s="17"/>
      <c r="M13" s="17"/>
      <c r="N13" s="17"/>
    </row>
    <row r="14">
      <c r="A14" s="23">
        <v>12</v>
      </c>
      <c r="B14" s="23" t="str">
        <v>营销费用源表-天猫-万相台-短视频-业务计划</v>
      </c>
      <c r="C14" s="27" t="str">
        <v>effective_view_rate</v>
      </c>
      <c r="D14" s="45" t="str">
        <v>有效观看率</v>
      </c>
      <c r="E14" s="23" t="str">
        <v>STRING</v>
      </c>
      <c r="F14" s="23">
        <f>CONCAT(",",C14,"   ",E14,"   COMMENT'", D14,"'" )</f>
      </c>
      <c r="G14" s="33"/>
      <c r="H14" s="17"/>
      <c r="I14" s="17"/>
      <c r="J14" s="17"/>
      <c r="K14" s="17"/>
      <c r="L14" s="17"/>
      <c r="M14" s="17"/>
      <c r="N14" s="17"/>
    </row>
    <row r="15">
      <c r="A15" s="23">
        <v>13</v>
      </c>
      <c r="B15" s="23" t="str">
        <v>营销费用源表-天猫-万相台-短视频-业务计划</v>
      </c>
      <c r="C15" s="47" t="str">
        <v>store_entry_count</v>
      </c>
      <c r="D15" s="45" t="str">
        <v>进店量</v>
      </c>
      <c r="E15" s="23" t="str">
        <v>STRING</v>
      </c>
      <c r="F15" s="23">
        <f>CONCAT(",",C15,"   ",E15,"   COMMENT'", D15,"'" )</f>
      </c>
      <c r="G15" s="33"/>
      <c r="H15" s="17"/>
      <c r="I15" s="17"/>
      <c r="J15" s="17"/>
      <c r="K15" s="17"/>
      <c r="L15" s="17"/>
      <c r="M15" s="17"/>
      <c r="N15" s="17"/>
    </row>
    <row r="16">
      <c r="A16" s="23">
        <v>14</v>
      </c>
      <c r="B16" s="15" t="str">
        <v>营销费用源表-天猫-万相台-短视频-业务计划</v>
      </c>
      <c r="C16" s="25" t="str">
        <v>store_entry_rate</v>
      </c>
      <c r="D16" s="46" t="str">
        <v>进店率</v>
      </c>
      <c r="E16" s="23" t="str">
        <v>STRING</v>
      </c>
      <c r="F16" s="23">
        <f>CONCAT(",",C16,"   ",E16,"   COMMENT'", D16,"'" )</f>
      </c>
      <c r="G16" s="33"/>
      <c r="H16" s="17"/>
      <c r="I16" s="17"/>
      <c r="J16" s="17"/>
      <c r="K16" s="17"/>
      <c r="L16" s="17"/>
      <c r="M16" s="17"/>
      <c r="N16" s="17"/>
    </row>
    <row r="17">
      <c r="A17" s="23">
        <v>15</v>
      </c>
      <c r="B17" s="15" t="str">
        <v>营销费用源表-天猫-万相台-短视频-业务计划</v>
      </c>
      <c r="C17" s="25" t="str">
        <v>store_entry_cost</v>
      </c>
      <c r="D17" s="46" t="str">
        <v>进店成本</v>
      </c>
      <c r="E17" s="23" t="str">
        <v>STRING</v>
      </c>
      <c r="F17" s="23">
        <f>CONCAT(",",C17,"   ",E17,"   COMMENT'", D17,"'" )</f>
      </c>
      <c r="G17" s="33"/>
      <c r="H17" s="17"/>
      <c r="I17" s="17"/>
      <c r="J17" s="17"/>
      <c r="K17" s="17"/>
      <c r="L17" s="17"/>
      <c r="M17" s="17"/>
      <c r="N17" s="17"/>
    </row>
    <row r="18">
      <c r="A18" s="23">
        <v>16</v>
      </c>
      <c r="B18" s="15" t="str">
        <v>营销费用源表-天猫-万相台-短视频-业务计划</v>
      </c>
      <c r="C18" s="25" t="str">
        <v>store_browse_count</v>
      </c>
      <c r="D18" s="46" t="str">
        <v>进店浏览量</v>
      </c>
      <c r="E18" s="23" t="str">
        <v>STRING</v>
      </c>
      <c r="F18" s="23">
        <f>CONCAT(",",C18,"   ",E18,"   COMMENT'", D18,"'" )</f>
      </c>
      <c r="G18" s="33"/>
      <c r="H18" s="17"/>
      <c r="I18" s="17"/>
      <c r="J18" s="17"/>
      <c r="K18" s="17"/>
      <c r="L18" s="17"/>
      <c r="M18" s="17"/>
      <c r="N18" s="17"/>
    </row>
    <row r="19">
      <c r="A19" s="23">
        <v>17</v>
      </c>
      <c r="B19" s="15" t="str">
        <v>营销费用源表-天猫-万相台-短视频-业务计划</v>
      </c>
      <c r="C19" s="25" t="str">
        <v>item_cart_count</v>
      </c>
      <c r="D19" s="46" t="str">
        <v>宝贝加购量</v>
      </c>
      <c r="E19" s="23" t="str">
        <v>STRING</v>
      </c>
      <c r="F19" s="23">
        <f>CONCAT(",",C19,"   ",E19,"   COMMENT'", D19,"'" )</f>
      </c>
      <c r="G19" s="33"/>
      <c r="H19" s="17"/>
      <c r="I19" s="17"/>
      <c r="J19" s="17"/>
      <c r="K19" s="17"/>
      <c r="L19" s="17"/>
      <c r="M19" s="17"/>
      <c r="N19" s="17"/>
    </row>
    <row r="20">
      <c r="A20" s="23">
        <v>18</v>
      </c>
      <c r="B20" s="15" t="str">
        <v>营销费用源表-天猫-万相台-短视频-业务计划</v>
      </c>
      <c r="C20" s="25" t="str">
        <v>item_cart_cost</v>
      </c>
      <c r="D20" s="46" t="str">
        <v>宝贝加购成本</v>
      </c>
      <c r="E20" s="23" t="str">
        <v>STRING</v>
      </c>
      <c r="F20" s="23">
        <f>CONCAT(",",C20,"   ",E20,"   COMMENT'", D20,"'" )</f>
      </c>
      <c r="G20" s="33"/>
      <c r="H20" s="17"/>
      <c r="I20" s="17"/>
      <c r="J20" s="17"/>
      <c r="K20" s="17"/>
      <c r="L20" s="17"/>
      <c r="M20" s="17"/>
      <c r="N20" s="17"/>
    </row>
    <row r="21">
      <c r="A21" s="23">
        <v>19</v>
      </c>
      <c r="B21" s="15" t="str">
        <v>营销费用源表-天猫-万相台-短视频-业务计划</v>
      </c>
      <c r="C21" s="25" t="str">
        <v>item_collect_count</v>
      </c>
      <c r="D21" s="46" t="str">
        <v>宝贝收藏量</v>
      </c>
      <c r="E21" s="23" t="str">
        <v>STRING</v>
      </c>
      <c r="F21" s="23">
        <f>CONCAT(",",C21,"   ",E21,"   COMMENT'", D21,"'" )</f>
      </c>
      <c r="G21" s="33"/>
      <c r="H21" s="17"/>
      <c r="I21" s="17"/>
      <c r="J21" s="17"/>
      <c r="K21" s="17"/>
      <c r="L21" s="17"/>
      <c r="M21" s="17"/>
      <c r="N21" s="17"/>
    </row>
    <row r="22">
      <c r="A22" s="23">
        <v>20</v>
      </c>
      <c r="B22" s="15" t="str">
        <v>营销费用源表-天猫-万相台-短视频-业务计划</v>
      </c>
      <c r="C22" s="25" t="str">
        <v>item_collect_cost</v>
      </c>
      <c r="D22" s="46" t="str">
        <v>宝贝收藏成本</v>
      </c>
      <c r="E22" s="23" t="str">
        <v>STRING</v>
      </c>
      <c r="F22" s="23">
        <f>CONCAT(",",C22,"   ",E22,"   COMMENT'", D22,"'" )</f>
      </c>
      <c r="G22" s="33"/>
      <c r="H22" s="17"/>
      <c r="I22" s="17"/>
      <c r="J22" s="17"/>
      <c r="K22" s="17"/>
      <c r="L22" s="17"/>
      <c r="M22" s="17"/>
      <c r="N22" s="17"/>
    </row>
    <row r="23">
      <c r="A23" s="23">
        <v>21</v>
      </c>
      <c r="B23" s="15" t="str">
        <v>营销费用源表-天猫-万相台-短视频-业务计划</v>
      </c>
      <c r="C23" s="25" t="str">
        <v>live_view_count</v>
      </c>
      <c r="D23" s="46" t="str">
        <v>直播观看量</v>
      </c>
      <c r="E23" s="23" t="str">
        <v>STRING</v>
      </c>
      <c r="F23" s="23">
        <f>CONCAT(",",C23,"   ",E23,"   COMMENT'", D23,"'" )</f>
      </c>
      <c r="G23" s="33"/>
      <c r="H23" s="17"/>
      <c r="I23" s="17"/>
      <c r="J23" s="17"/>
      <c r="K23" s="17"/>
      <c r="L23" s="17"/>
      <c r="M23" s="17"/>
      <c r="N23" s="17"/>
    </row>
    <row r="24">
      <c r="A24" s="23">
        <v>22</v>
      </c>
      <c r="B24" s="15" t="str">
        <v>营销费用源表-天猫-万相台-短视频-业务计划</v>
      </c>
      <c r="C24" s="25" t="str">
        <v>interaction_count</v>
      </c>
      <c r="D24" s="46" t="str">
        <v>互动量</v>
      </c>
      <c r="E24" s="23" t="str">
        <v>STRING</v>
      </c>
      <c r="F24" s="23">
        <f>CONCAT(",",C24,"   ",E24,"   COMMENT'", D24,"'" )</f>
      </c>
      <c r="G24" s="33"/>
      <c r="H24" s="17"/>
      <c r="I24" s="17"/>
      <c r="J24" s="17"/>
      <c r="K24" s="17"/>
      <c r="L24" s="17"/>
      <c r="M24" s="17"/>
      <c r="N24" s="17"/>
    </row>
    <row r="25">
      <c r="A25" s="23">
        <v>23</v>
      </c>
      <c r="B25" s="15" t="str">
        <v>营销费用源表-天猫-万相台-短视频-业务计划</v>
      </c>
      <c r="C25" s="25" t="str">
        <v>interaction_rate</v>
      </c>
      <c r="D25" s="46" t="str">
        <v>互动率</v>
      </c>
      <c r="E25" s="23" t="str">
        <v>STRING</v>
      </c>
      <c r="F25" s="23">
        <f>CONCAT(",",C25,"   ",E25,"   COMMENT'", D25,"'" )</f>
      </c>
      <c r="G25" s="33"/>
      <c r="H25" s="17"/>
      <c r="I25" s="17"/>
      <c r="J25" s="17"/>
      <c r="K25" s="17"/>
      <c r="L25" s="17"/>
      <c r="M25" s="17"/>
      <c r="N25" s="17"/>
    </row>
    <row r="26">
      <c r="A26" s="23">
        <v>24</v>
      </c>
      <c r="B26" s="15" t="str">
        <v>营销费用源表-天猫-万相台-短视频-业务计划</v>
      </c>
      <c r="C26" s="25" t="str">
        <v>comment_count</v>
      </c>
      <c r="D26" s="46" t="str">
        <v>评论量</v>
      </c>
      <c r="E26" s="23" t="str">
        <v>STRING</v>
      </c>
      <c r="F26" s="23">
        <f>CONCAT(",",C26,"   ",E26,"   COMMENT'", D26,"'" )</f>
      </c>
      <c r="G26" s="33"/>
      <c r="H26" s="17"/>
      <c r="I26" s="17"/>
      <c r="J26" s="17"/>
      <c r="K26" s="17"/>
      <c r="L26" s="17"/>
      <c r="M26" s="17"/>
      <c r="N26" s="17"/>
    </row>
    <row r="27">
      <c r="A27" s="23">
        <v>25</v>
      </c>
      <c r="B27" s="15" t="str">
        <v>营销费用源表-天猫-万相台-短视频-业务计划</v>
      </c>
      <c r="C27" s="25" t="str">
        <v>like_count</v>
      </c>
      <c r="D27" s="46" t="str">
        <v>点赞量</v>
      </c>
      <c r="E27" s="23" t="str">
        <v>STRING</v>
      </c>
      <c r="F27" s="23">
        <f>CONCAT(",",C27,"   ",E27,"   COMMENT'", D27,"'" )</f>
      </c>
      <c r="G27" s="33"/>
      <c r="H27" s="17"/>
      <c r="I27" s="17"/>
      <c r="J27" s="17"/>
      <c r="K27" s="17"/>
      <c r="L27" s="17"/>
      <c r="M27" s="17"/>
      <c r="N27" s="17"/>
    </row>
    <row r="28">
      <c r="A28" s="23">
        <v>26</v>
      </c>
      <c r="B28" s="15" t="str">
        <v>营销费用源表-天猫-万相台-短视频-业务计划</v>
      </c>
      <c r="C28" s="25" t="str">
        <v>share_count</v>
      </c>
      <c r="D28" s="46" t="str">
        <v>转发量</v>
      </c>
      <c r="E28" s="23" t="str">
        <v>STRING</v>
      </c>
      <c r="F28" s="23">
        <f>CONCAT(",",C28,"   ",E28,"   COMMENT'", D28,"'" )</f>
      </c>
      <c r="G28" s="33"/>
      <c r="H28" s="17"/>
      <c r="I28" s="17"/>
      <c r="J28" s="17"/>
      <c r="K28" s="17"/>
      <c r="L28" s="17"/>
      <c r="M28" s="17"/>
      <c r="N28" s="17"/>
    </row>
    <row r="29">
      <c r="A29" s="23">
        <v>27</v>
      </c>
      <c r="B29" s="15" t="str">
        <v>营销费用源表-天猫-万相台-短视频-业务计划</v>
      </c>
      <c r="C29" s="25" t="str">
        <v>follower_count</v>
      </c>
      <c r="D29" s="46" t="str">
        <v>关注量</v>
      </c>
      <c r="E29" s="23" t="str">
        <v>STRING</v>
      </c>
      <c r="F29" s="23">
        <f>CONCAT(",",C29,"   ",E29,"   COMMENT'", D29,"'" )</f>
      </c>
      <c r="G29" s="33"/>
      <c r="H29" s="17"/>
      <c r="I29" s="17"/>
      <c r="J29" s="17"/>
      <c r="K29" s="17"/>
      <c r="L29" s="17"/>
      <c r="M29" s="17"/>
      <c r="N29" s="17"/>
    </row>
    <row r="30">
      <c r="A30" s="23">
        <v>28</v>
      </c>
      <c r="B30" s="15" t="str">
        <v>营销费用源表-天猫-万相台-短视频-业务计划</v>
      </c>
      <c r="C30" s="25" t="str">
        <v>membership_count</v>
      </c>
      <c r="D30" s="46" t="str">
        <v>入会量</v>
      </c>
      <c r="E30" s="23" t="str">
        <v>STRING</v>
      </c>
      <c r="F30" s="23">
        <f>CONCAT(",",C30,"   ",E30,"   COMMENT'", D30,"'" )</f>
      </c>
      <c r="G30" s="33"/>
      <c r="H30" s="17"/>
      <c r="I30" s="17"/>
      <c r="J30" s="17"/>
      <c r="K30" s="17"/>
      <c r="L30" s="17"/>
      <c r="M30" s="17"/>
      <c r="N30" s="17"/>
    </row>
    <row r="31">
      <c r="A31" s="23">
        <v>29</v>
      </c>
      <c r="B31" s="15" t="str">
        <v>营销费用源表-天猫-万相台-短视频-业务计划</v>
      </c>
      <c r="C31" s="25" t="str">
        <v>membership_rate</v>
      </c>
      <c r="D31" s="46" t="str">
        <v>入会率</v>
      </c>
      <c r="E31" s="23" t="str">
        <v>STRING</v>
      </c>
      <c r="F31" s="23">
        <f>CONCAT(",",C31,"   ",E31,"   COMMENT'", D31,"'" )</f>
      </c>
      <c r="G31" s="33"/>
      <c r="H31" s="17"/>
      <c r="I31" s="17"/>
      <c r="J31" s="17"/>
      <c r="K31" s="17"/>
      <c r="L31" s="17"/>
      <c r="M31" s="17"/>
      <c r="N31" s="17"/>
    </row>
    <row r="32">
      <c r="A32" s="23">
        <v>30</v>
      </c>
      <c r="B32" s="15" t="str">
        <v>营销费用源表-天猫-万相台-短视频-业务计划</v>
      </c>
      <c r="C32" s="25" t="str">
        <v>new_customer_uv</v>
      </c>
      <c r="D32" s="46" t="str">
        <v>新客触达量UV</v>
      </c>
      <c r="E32" s="23" t="str">
        <v>STRING</v>
      </c>
      <c r="F32" s="23">
        <f>CONCAT(",",C32,"   ",E32,"   COMMENT'", D32,"'" )</f>
      </c>
      <c r="G32" s="33"/>
      <c r="H32" s="17"/>
      <c r="I32" s="17"/>
      <c r="J32" s="17"/>
      <c r="K32" s="17"/>
      <c r="L32" s="17"/>
      <c r="M32" s="17"/>
      <c r="N32" s="17"/>
    </row>
    <row r="33">
      <c r="A33" s="23">
        <v>31</v>
      </c>
      <c r="B33" s="15" t="str">
        <v>营销费用源表-天猫-万相台-短视频-业务计划</v>
      </c>
      <c r="C33" s="25" t="str">
        <v>new_customer_cost</v>
      </c>
      <c r="D33" s="46" t="str">
        <v>新客触达成本</v>
      </c>
      <c r="E33" s="17" t="str">
        <v>DECIMAL(30, 8)</v>
      </c>
      <c r="F33" s="23">
        <f>CONCAT(",",C33,"   ",E33,"   COMMENT'", D33,"'" )</f>
      </c>
      <c r="G33" s="33"/>
      <c r="H33" s="17"/>
      <c r="I33" s="17"/>
      <c r="J33" s="17"/>
      <c r="K33" s="17"/>
      <c r="L33" s="17"/>
      <c r="M33" s="17"/>
      <c r="N33" s="17"/>
    </row>
    <row r="34">
      <c r="A34" s="23">
        <v>32</v>
      </c>
      <c r="B34" s="15" t="str">
        <v>营销费用源表-天猫-万相台-短视频-业务计划</v>
      </c>
      <c r="C34" s="25" t="str">
        <v>interaction_new_customer_uv</v>
      </c>
      <c r="D34" s="46" t="str">
        <v>互动新客人数UV</v>
      </c>
      <c r="E34" s="23" t="str">
        <v>STRING</v>
      </c>
      <c r="F34" s="23">
        <f>CONCAT(",",C34,"   ",E34,"   COMMENT'", D34,"'" )</f>
      </c>
      <c r="G34" s="33"/>
      <c r="H34" s="17"/>
      <c r="I34" s="17"/>
      <c r="J34" s="17"/>
      <c r="K34" s="17"/>
      <c r="L34" s="17"/>
      <c r="M34" s="17"/>
      <c r="N34" s="17"/>
    </row>
    <row r="35">
      <c r="A35" s="23">
        <v>33</v>
      </c>
      <c r="B35" s="15" t="str">
        <v>营销费用源表-天猫-万相台-短视频-业务计划</v>
      </c>
      <c r="C35" s="25" t="str">
        <v>store_entry_new_customer_uv</v>
      </c>
      <c r="D35" s="46" t="str">
        <v>进店新客人数UV</v>
      </c>
      <c r="E35" s="23" t="str">
        <v>STRING</v>
      </c>
      <c r="F35" s="23">
        <f>CONCAT(",",C35,"   ",E35,"   COMMENT'", D35,"'" )</f>
      </c>
      <c r="G35" s="33"/>
      <c r="H35" s="17"/>
      <c r="I35" s="17"/>
      <c r="J35" s="17"/>
      <c r="K35" s="17"/>
      <c r="L35" s="17"/>
      <c r="M35" s="17"/>
      <c r="N35" s="17"/>
    </row>
    <row r="36">
      <c r="A36" s="23">
        <v>34</v>
      </c>
      <c r="B36" s="15" t="str">
        <v>营销费用源表-天猫-万相台-短视频-业务计划</v>
      </c>
      <c r="C36" s="25" t="str">
        <v>grass_guidance_transaction_cnt</v>
      </c>
      <c r="D36" s="46" t="str">
        <v>种草引导成交单量</v>
      </c>
      <c r="E36" s="23" t="str">
        <v>STRING</v>
      </c>
      <c r="F36" s="23">
        <f>CONCAT(",",C36,"   ",E36,"   COMMENT'", D36,"'" )</f>
      </c>
      <c r="G36" s="33"/>
      <c r="H36" s="17"/>
      <c r="I36" s="17"/>
      <c r="J36" s="17"/>
      <c r="K36" s="17"/>
      <c r="L36" s="17"/>
      <c r="M36" s="17"/>
      <c r="N36" s="17"/>
    </row>
    <row r="37">
      <c r="A37" s="23">
        <v>35</v>
      </c>
      <c r="B37" s="15" t="str">
        <v>营销费用源表-天猫-万相台-短视频-业务计划</v>
      </c>
      <c r="C37" s="25" t="str">
        <v>grass_guidance_transaction_amt</v>
      </c>
      <c r="D37" s="46" t="str">
        <v>种草引导成交金额</v>
      </c>
      <c r="E37" s="17" t="str">
        <v>DECIMAL(30, 8)</v>
      </c>
      <c r="F37" s="23">
        <f>CONCAT(",",C37,"   ",E37,"   COMMENT'", D37,"'" )</f>
      </c>
      <c r="G37" s="33"/>
      <c r="H37" s="17"/>
      <c r="I37" s="17"/>
      <c r="J37" s="17"/>
      <c r="K37" s="17"/>
      <c r="L37" s="17"/>
      <c r="M37" s="17"/>
      <c r="N37" s="17"/>
    </row>
    <row r="38">
      <c r="A38" s="23">
        <v>36</v>
      </c>
      <c r="B38" s="15" t="str">
        <v>营销费用源表-天猫-万相台-短视频-业务计划</v>
      </c>
      <c r="C38" s="25" t="str">
        <v>grass_guidance_transaction_roi</v>
      </c>
      <c r="D38" s="46" t="str">
        <v>种草引导成交ROI</v>
      </c>
      <c r="E38" s="23" t="str">
        <v>STRING</v>
      </c>
      <c r="F38" s="23">
        <f>CONCAT(",",C38,"   ",E38,"   COMMENT'", D38,"'" )</f>
      </c>
      <c r="G38" s="33"/>
      <c r="H38" s="17"/>
      <c r="I38" s="17"/>
      <c r="J38" s="17"/>
      <c r="K38" s="17"/>
      <c r="L38" s="17"/>
      <c r="M38" s="17"/>
      <c r="N38" s="17"/>
    </row>
    <row r="39">
      <c r="A39" s="23">
        <v>37</v>
      </c>
      <c r="B39" s="15" t="str">
        <v>营销费用源表-天猫-万相台-短视频-业务计划</v>
      </c>
      <c r="C39" s="25" t="str">
        <v>grass_guidance_pre_sale_count</v>
      </c>
      <c r="D39" s="46" t="str">
        <v>种草引导预售成交笔数</v>
      </c>
      <c r="E39" s="23" t="str">
        <v>STRING</v>
      </c>
      <c r="F39" s="23">
        <f>CONCAT(",",C39,"   ",E39,"   COMMENT'", D39,"'" )</f>
      </c>
      <c r="G39" s="33"/>
      <c r="H39" s="17"/>
      <c r="I39" s="17"/>
      <c r="J39" s="17"/>
      <c r="K39" s="17"/>
      <c r="L39" s="17"/>
      <c r="M39" s="17"/>
      <c r="N39" s="17"/>
    </row>
    <row r="40">
      <c r="A40" s="23">
        <v>38</v>
      </c>
      <c r="B40" s="15" t="str">
        <v>营销费用源表-天猫-万相台-短视频-业务计划</v>
      </c>
      <c r="C40" s="25" t="str">
        <v>grass_guidance_pre_sale_amount</v>
      </c>
      <c r="D40" s="46" t="str">
        <v>种草引导预售成交金额</v>
      </c>
      <c r="E40" s="17" t="str">
        <v>DECIMAL(30, 8)</v>
      </c>
      <c r="F40" s="23">
        <f>CONCAT(",",C40,"   ",E40,"   COMMENT'", D40,"'" )</f>
      </c>
      <c r="G40" s="33"/>
      <c r="H40" s="17"/>
      <c r="I40" s="17"/>
      <c r="J40" s="17"/>
      <c r="K40" s="17"/>
      <c r="L40" s="17"/>
      <c r="M40" s="17"/>
      <c r="N40" s="17"/>
    </row>
    <row r="41">
      <c r="D41" s="1"/>
    </row>
    <row r="42">
      <c r="A42" s="27" t="str">
        <v>日期</v>
      </c>
      <c r="B42" s="27" t="str">
        <v>date</v>
      </c>
      <c r="C42" s="27" t="str">
        <v>date</v>
      </c>
      <c r="D42" s="28" t="str">
        <v>-</v>
      </c>
    </row>
    <row r="43">
      <c r="A43" s="27" t="str">
        <v>计划ID</v>
      </c>
      <c r="B43" s="27" t="str">
        <v>plan_id</v>
      </c>
      <c r="C43" s="27" t="str">
        <v>varchar</v>
      </c>
      <c r="D43" s="28">
        <v>50</v>
      </c>
    </row>
    <row r="44">
      <c r="A44" s="27" t="str">
        <v>计划</v>
      </c>
      <c r="B44" s="27" t="str">
        <v>plan</v>
      </c>
      <c r="C44" s="27" t="str">
        <v>varchar</v>
      </c>
      <c r="D44" s="28">
        <v>100</v>
      </c>
    </row>
    <row r="45">
      <c r="A45" s="27" t="str">
        <v>消耗</v>
      </c>
      <c r="B45" s="27" t="str">
        <v>cost</v>
      </c>
      <c r="C45" s="27" t="str">
        <v>decimal</v>
      </c>
      <c r="D45" s="28" t="str">
        <v>10,2</v>
      </c>
    </row>
    <row r="46">
      <c r="A46" s="27" t="str">
        <v>观看量</v>
      </c>
      <c r="B46" s="27" t="str">
        <v>view_count</v>
      </c>
      <c r="C46" s="27" t="str">
        <v>int</v>
      </c>
      <c r="D46" s="28" t="str">
        <v>-</v>
      </c>
    </row>
    <row r="47">
      <c r="A47" s="27" t="str">
        <v>千次观看成本</v>
      </c>
      <c r="B47" s="27" t="str">
        <v>cpm</v>
      </c>
      <c r="C47" s="27" t="str">
        <v>decimal</v>
      </c>
      <c r="D47" s="28" t="str">
        <v>10,2</v>
      </c>
    </row>
    <row r="48">
      <c r="A48" s="27" t="str">
        <v>点击量</v>
      </c>
      <c r="B48" s="27" t="str">
        <v>click_count</v>
      </c>
      <c r="C48" s="27" t="str">
        <v>int</v>
      </c>
      <c r="D48" s="28" t="str">
        <v>-</v>
      </c>
    </row>
    <row r="49">
      <c r="A49" s="27" t="str">
        <v>点击成本</v>
      </c>
      <c r="B49" s="27" t="str">
        <v>cpc</v>
      </c>
      <c r="C49" s="27" t="str">
        <v>decimal</v>
      </c>
      <c r="D49" s="28" t="str">
        <v>10,2</v>
      </c>
    </row>
    <row r="50">
      <c r="A50" s="27" t="str">
        <v>有效观看量</v>
      </c>
      <c r="B50" s="27" t="str">
        <v>effective_view_count</v>
      </c>
      <c r="C50" s="27" t="str">
        <v>int</v>
      </c>
      <c r="D50" s="28" t="str">
        <v>-</v>
      </c>
    </row>
    <row r="51">
      <c r="A51" s="27" t="str">
        <v>千次有效观看成本</v>
      </c>
      <c r="B51" s="27" t="str">
        <v>effective_cpm</v>
      </c>
      <c r="C51" s="27" t="str">
        <v>decimal</v>
      </c>
      <c r="D51" s="28" t="str">
        <v>10,2</v>
      </c>
    </row>
    <row r="52">
      <c r="A52" s="27" t="str">
        <v>平均有效观看时长</v>
      </c>
      <c r="B52" s="27" t="str">
        <v>avg_effective_view_duration</v>
      </c>
      <c r="C52" s="27" t="str">
        <v>decimal</v>
      </c>
      <c r="D52" s="28" t="str">
        <v>10,2</v>
      </c>
    </row>
    <row r="53">
      <c r="A53" s="27" t="str">
        <v>有效观看率</v>
      </c>
      <c r="B53" s="27" t="str">
        <v>effective_view_rate</v>
      </c>
      <c r="C53" s="27" t="str">
        <v>decimal</v>
      </c>
      <c r="D53" s="28" t="str">
        <v>10,2</v>
      </c>
    </row>
    <row r="54">
      <c r="A54" s="27" t="str">
        <v>进店量</v>
      </c>
      <c r="B54" s="27" t="str">
        <v>store_entry_count</v>
      </c>
      <c r="C54" s="27" t="str">
        <v>int</v>
      </c>
      <c r="D54" s="28" t="str">
        <v>-</v>
      </c>
    </row>
    <row r="55">
      <c r="A55" s="27" t="str">
        <v>进店率</v>
      </c>
      <c r="B55" s="27" t="str">
        <v>store_entry_rate</v>
      </c>
      <c r="C55" s="27" t="str">
        <v>decimal</v>
      </c>
      <c r="D55" s="28" t="str">
        <v>10,2</v>
      </c>
    </row>
    <row r="56">
      <c r="A56" s="27" t="str">
        <v>进店成本</v>
      </c>
      <c r="B56" s="27" t="str">
        <v>store_entry_cost</v>
      </c>
      <c r="C56" s="27" t="str">
        <v>decimal</v>
      </c>
      <c r="D56" s="28" t="str">
        <v>10,2</v>
      </c>
    </row>
    <row r="57">
      <c r="A57" s="27" t="str">
        <v>进店浏览量</v>
      </c>
      <c r="B57" s="27" t="str">
        <v>store_browse_count</v>
      </c>
      <c r="C57" s="27" t="str">
        <v>int</v>
      </c>
      <c r="D57" s="28" t="str">
        <v>-</v>
      </c>
    </row>
    <row r="58">
      <c r="A58" s="27" t="str">
        <v>宝贝加购量</v>
      </c>
      <c r="B58" s="27" t="str">
        <v>item_cart_count</v>
      </c>
      <c r="C58" s="27" t="str">
        <v>int</v>
      </c>
      <c r="D58" s="28" t="str">
        <v>-</v>
      </c>
    </row>
    <row r="59">
      <c r="A59" s="27" t="str">
        <v>宝贝加购成本</v>
      </c>
      <c r="B59" s="27" t="str">
        <v>item_cart_cost</v>
      </c>
      <c r="C59" s="27" t="str">
        <v>decimal</v>
      </c>
      <c r="D59" s="28" t="str">
        <v>10,2</v>
      </c>
    </row>
    <row r="60">
      <c r="A60" s="27" t="str">
        <v>宝贝收藏量</v>
      </c>
      <c r="B60" s="27" t="str">
        <v>item_collect_count</v>
      </c>
      <c r="C60" s="27" t="str">
        <v>int</v>
      </c>
      <c r="D60" s="28" t="str">
        <v>-</v>
      </c>
    </row>
    <row r="61">
      <c r="A61" s="27" t="str">
        <v>宝贝收藏成本</v>
      </c>
      <c r="B61" s="27" t="str">
        <v>item_collect_cost</v>
      </c>
      <c r="C61" s="27" t="str">
        <v>decimal</v>
      </c>
      <c r="D61" s="28" t="str">
        <v>10,2</v>
      </c>
    </row>
    <row r="62">
      <c r="A62" s="27" t="str">
        <v>直播观看量</v>
      </c>
      <c r="B62" s="27" t="str">
        <v>live_view_count</v>
      </c>
      <c r="C62" s="27" t="str">
        <v>int</v>
      </c>
      <c r="D62" s="28" t="str">
        <v>-</v>
      </c>
    </row>
    <row r="63">
      <c r="A63" s="27" t="str">
        <v>互动量</v>
      </c>
      <c r="B63" s="27" t="str">
        <v>interaction_count</v>
      </c>
      <c r="C63" s="27" t="str">
        <v>int</v>
      </c>
      <c r="D63" s="28" t="str">
        <v>-</v>
      </c>
    </row>
    <row r="64">
      <c r="A64" s="27" t="str">
        <v>互动率</v>
      </c>
      <c r="B64" s="27" t="str">
        <v>interaction_rate</v>
      </c>
      <c r="C64" s="27" t="str">
        <v>decimal</v>
      </c>
      <c r="D64" s="28" t="str">
        <v>10,2</v>
      </c>
    </row>
    <row r="65">
      <c r="A65" s="27" t="str">
        <v>评论量</v>
      </c>
      <c r="B65" s="27" t="str">
        <v>comment_count</v>
      </c>
      <c r="C65" s="27" t="str">
        <v>int</v>
      </c>
      <c r="D65" s="28" t="str">
        <v>-</v>
      </c>
    </row>
    <row r="66">
      <c r="A66" s="27" t="str">
        <v>点赞量</v>
      </c>
      <c r="B66" s="27" t="str">
        <v>like_count</v>
      </c>
      <c r="C66" s="27" t="str">
        <v>int</v>
      </c>
      <c r="D66" s="28" t="str">
        <v>-</v>
      </c>
    </row>
    <row r="67">
      <c r="A67" s="27" t="str">
        <v>转发量</v>
      </c>
      <c r="B67" s="27" t="str">
        <v>share_count</v>
      </c>
      <c r="C67" s="27" t="str">
        <v>int</v>
      </c>
      <c r="D67" s="28" t="str">
        <v>-</v>
      </c>
    </row>
    <row r="68">
      <c r="A68" s="27" t="str">
        <v>关注量</v>
      </c>
      <c r="B68" s="27" t="str">
        <v>follower_count</v>
      </c>
      <c r="C68" s="27" t="str">
        <v>int</v>
      </c>
      <c r="D68" s="28" t="str">
        <v>-</v>
      </c>
    </row>
    <row r="69">
      <c r="A69" s="27" t="str">
        <v>入会量</v>
      </c>
      <c r="B69" s="27" t="str">
        <v>membership_count</v>
      </c>
      <c r="C69" s="27" t="str">
        <v>int</v>
      </c>
      <c r="D69" s="28" t="str">
        <v>-</v>
      </c>
    </row>
    <row r="70">
      <c r="A70" s="27" t="str">
        <v>入会率</v>
      </c>
      <c r="B70" s="27" t="str">
        <v>membership_rate</v>
      </c>
      <c r="C70" s="27" t="str">
        <v>decimal</v>
      </c>
      <c r="D70" s="28" t="str">
        <v>10,2</v>
      </c>
    </row>
    <row r="71">
      <c r="A71" s="27" t="str">
        <v>新客触达量UV</v>
      </c>
      <c r="B71" s="27" t="str">
        <v>new_customer_uv</v>
      </c>
      <c r="C71" s="27" t="str">
        <v>int</v>
      </c>
      <c r="D71" s="28" t="str">
        <v>-</v>
      </c>
    </row>
    <row r="72">
      <c r="A72" s="27" t="str">
        <v>新客触达成本</v>
      </c>
      <c r="B72" s="27" t="str">
        <v>new_customer_cost</v>
      </c>
      <c r="C72" s="27" t="str">
        <v>decimal</v>
      </c>
      <c r="D72" s="28" t="str">
        <v>10,2</v>
      </c>
    </row>
    <row r="73">
      <c r="A73" s="27" t="str">
        <v>互动新客人数UV</v>
      </c>
      <c r="B73" s="27" t="str">
        <v>interaction_new_customer_uv</v>
      </c>
      <c r="C73" s="27" t="str">
        <v>int</v>
      </c>
      <c r="D73" s="28" t="str">
        <v>-</v>
      </c>
    </row>
    <row r="74">
      <c r="A74" s="27" t="str">
        <v>进店新客人数UV</v>
      </c>
      <c r="B74" s="27" t="str">
        <v>store_entry_new_customer_uv</v>
      </c>
      <c r="C74" s="27" t="str">
        <v>int</v>
      </c>
      <c r="D74" s="28" t="str">
        <v>-</v>
      </c>
    </row>
    <row r="75">
      <c r="A75" s="27" t="str">
        <v>种草引导成交单量</v>
      </c>
      <c r="B75" s="27" t="str">
        <v>grass_guidance_transaction_count</v>
      </c>
      <c r="C75" s="27" t="str">
        <v>int</v>
      </c>
      <c r="D75" s="28" t="str">
        <v>-</v>
      </c>
    </row>
    <row r="76">
      <c r="A76" s="27" t="str">
        <v>种草引导成交金额</v>
      </c>
      <c r="B76" s="27" t="str">
        <v>grass_guidance_transaction_amount</v>
      </c>
      <c r="C76" s="27" t="str">
        <v>decimal</v>
      </c>
      <c r="D76" s="28" t="str">
        <v>10,2</v>
      </c>
    </row>
    <row r="77">
      <c r="A77" s="27" t="str">
        <v>种草引导成交ROI</v>
      </c>
      <c r="B77" s="27" t="str">
        <v>grass_guidance_transaction_roi</v>
      </c>
      <c r="C77" s="27" t="str">
        <v>decimal</v>
      </c>
      <c r="D77" s="28" t="str">
        <v>10,2</v>
      </c>
    </row>
    <row r="78">
      <c r="A78" s="27" t="str">
        <v>种草引导预售成交笔数</v>
      </c>
      <c r="B78" s="27" t="str">
        <v>grass_guidance_pre_sale_transaction_count</v>
      </c>
      <c r="C78" s="27" t="str">
        <v>int</v>
      </c>
      <c r="D78" s="28" t="str">
        <v>-</v>
      </c>
    </row>
    <row r="79">
      <c r="A79" s="27" t="str">
        <v>种草引导预售成交金额</v>
      </c>
      <c r="B79" s="27" t="str">
        <v>grass_guidance_pre_sale_transaction_amount</v>
      </c>
      <c r="C79" s="27" t="str">
        <v>decimal</v>
      </c>
      <c r="D79" s="28" t="str">
        <v>10,2</v>
      </c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</sheetData>
  <mergeCells>
    <mergeCell ref="I1:N1"/>
    <mergeCell ref="A1:H1"/>
  </mergeCells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15" t="str">
        <v>营销费用源表-天猫-万相台-资金流水</v>
      </c>
      <c r="C3" s="17" t="str">
        <v>account_time</v>
      </c>
      <c r="D3" s="26" t="str">
        <v>记账时间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23">
        <v>2</v>
      </c>
      <c r="B4" s="15" t="str">
        <v>营销费用源表-天猫-万相台-资金流水</v>
      </c>
      <c r="C4" s="17" t="str">
        <v>transaction_date</v>
      </c>
      <c r="D4" s="26" t="str">
        <v>交易日期</v>
      </c>
      <c r="E4" s="23" t="str">
        <v>STRING</v>
      </c>
      <c r="F4" s="23">
        <f>CONCAT(",",C4,"   ",E4,"   COMMENT'", D4,"'" )</f>
      </c>
      <c r="G4" s="17"/>
      <c r="H4" s="17"/>
      <c r="I4" s="17"/>
      <c r="J4" s="17"/>
      <c r="K4" s="17"/>
      <c r="L4" s="17"/>
      <c r="M4" s="17"/>
      <c r="N4" s="17"/>
    </row>
    <row r="5">
      <c r="A5" s="23">
        <v>3</v>
      </c>
      <c r="B5" s="15" t="str">
        <v>营销费用源表-天猫-万相台-资金流水</v>
      </c>
      <c r="C5" s="17" t="str">
        <v>transaction_type</v>
      </c>
      <c r="D5" s="26" t="str">
        <v>收支类型</v>
      </c>
      <c r="E5" s="23" t="str">
        <v>STRING</v>
      </c>
      <c r="F5" s="23">
        <f>CONCAT(",",C5,"   ",E5,"   COMMENT'", D5,"'" )</f>
      </c>
      <c r="G5" s="17"/>
      <c r="H5" s="17"/>
      <c r="I5" s="17"/>
      <c r="J5" s="17"/>
      <c r="K5" s="17"/>
      <c r="L5" s="17"/>
      <c r="M5" s="17"/>
      <c r="N5" s="17"/>
    </row>
    <row r="6">
      <c r="A6" s="23">
        <v>4</v>
      </c>
      <c r="B6" s="15" t="str">
        <v>营销费用源表-天猫-万相台-资金流水</v>
      </c>
      <c r="C6" s="17" t="str">
        <v>transaction_category</v>
      </c>
      <c r="D6" s="26" t="str">
        <v>交易类型</v>
      </c>
      <c r="E6" s="23" t="str">
        <v>STRING</v>
      </c>
      <c r="F6" s="23">
        <f>CONCAT(",",C6,"   ",E6,"   COMMENT'", D6,"'" )</f>
      </c>
      <c r="G6" s="17"/>
      <c r="H6" s="17"/>
      <c r="I6" s="17"/>
      <c r="J6" s="17"/>
      <c r="K6" s="17"/>
      <c r="L6" s="17"/>
      <c r="M6" s="17"/>
      <c r="N6" s="17"/>
    </row>
    <row r="7">
      <c r="A7" s="23">
        <v>5</v>
      </c>
      <c r="B7" s="15" t="str">
        <v>营销费用源表-天猫-万相台-资金流水</v>
      </c>
      <c r="C7" s="25" t="str">
        <v>transaction_amount</v>
      </c>
      <c r="D7" s="26" t="str">
        <v>操作金额(元)</v>
      </c>
      <c r="E7" s="17" t="str">
        <v>DECIMAL(30, 8)</v>
      </c>
      <c r="F7" s="23">
        <f>CONCAT(",",C7,"   ",E7,"   COMMENT'", D7,"'" )</f>
      </c>
      <c r="G7" s="17"/>
      <c r="H7" s="17"/>
      <c r="I7" s="17"/>
      <c r="J7" s="17"/>
      <c r="K7" s="17"/>
      <c r="L7" s="17"/>
      <c r="M7" s="17"/>
      <c r="N7" s="17"/>
    </row>
    <row r="8">
      <c r="A8" s="23">
        <v>6</v>
      </c>
      <c r="B8" s="15" t="str">
        <v>营销费用源表-天猫-万相台-资金流水</v>
      </c>
      <c r="C8" s="25" t="str">
        <v>remaining_balance</v>
      </c>
      <c r="D8" s="26" t="str">
        <v>操作后余额(元)</v>
      </c>
      <c r="E8" s="17" t="str">
        <v>DECIMAL(30, 8)</v>
      </c>
      <c r="F8" s="23">
        <f>CONCAT(",",C8,"   ",E8,"   COMMENT'", D8,"'" )</f>
      </c>
      <c r="G8" s="17"/>
      <c r="H8" s="17"/>
      <c r="I8" s="17"/>
      <c r="J8" s="17"/>
      <c r="K8" s="17"/>
      <c r="L8" s="17"/>
      <c r="M8" s="17"/>
      <c r="N8" s="17"/>
    </row>
    <row r="9">
      <c r="A9" s="23">
        <v>7</v>
      </c>
      <c r="B9" s="15" t="str">
        <v>营销费用源表-天猫-万相台-资金流水</v>
      </c>
      <c r="C9" s="17" t="str">
        <v>remark</v>
      </c>
      <c r="D9" s="26" t="str">
        <v>备注</v>
      </c>
      <c r="E9" s="23" t="str">
        <v>STRING</v>
      </c>
      <c r="F9" s="23">
        <f>CONCAT(",",C9,"   ",E9,"   COMMENT'", D9,"'" )</f>
      </c>
      <c r="G9" s="17"/>
      <c r="H9" s="17"/>
      <c r="I9" s="17"/>
      <c r="J9" s="17"/>
      <c r="K9" s="17"/>
      <c r="L9" s="17"/>
      <c r="M9" s="17"/>
      <c r="N9" s="17"/>
    </row>
    <row r="10"/>
    <row r="11">
      <c r="A11" t="str">
        <v>记账时间</v>
      </c>
      <c r="B11" t="str">
        <v>account_time</v>
      </c>
      <c r="C11" t="str">
        <v>datetime</v>
      </c>
      <c r="D11" t="str">
        <v>-</v>
      </c>
    </row>
    <row r="12">
      <c r="A12" t="str">
        <v>交易日期</v>
      </c>
      <c r="B12" t="str">
        <v>transaction_date</v>
      </c>
      <c r="C12" t="str">
        <v>date</v>
      </c>
      <c r="D12" t="str">
        <v>-</v>
      </c>
    </row>
    <row r="13">
      <c r="A13" t="str">
        <v>收支类型</v>
      </c>
      <c r="B13" t="str">
        <v>transaction_type</v>
      </c>
      <c r="C13" t="str">
        <v>string</v>
      </c>
      <c r="D13">
        <v>20</v>
      </c>
    </row>
    <row r="14">
      <c r="A14" t="str">
        <v>交易类型</v>
      </c>
      <c r="B14" t="str">
        <v>transaction_category</v>
      </c>
      <c r="C14" t="str">
        <v>string</v>
      </c>
      <c r="D14">
        <v>20</v>
      </c>
    </row>
    <row r="15">
      <c r="A15" t="str">
        <v>操作金额(元)</v>
      </c>
      <c r="B15" t="str">
        <v>amount</v>
      </c>
      <c r="C15" t="str">
        <v>decimal</v>
      </c>
      <c r="D15" t="str">
        <v>-</v>
      </c>
    </row>
    <row r="16">
      <c r="A16" t="str">
        <v>操作后余额(元)</v>
      </c>
      <c r="B16" t="str">
        <v>balance</v>
      </c>
      <c r="C16" t="str">
        <v>decimal</v>
      </c>
      <c r="D16" t="str">
        <v>-</v>
      </c>
    </row>
    <row r="17">
      <c r="A17" t="str">
        <v>备注</v>
      </c>
      <c r="B17" t="str">
        <v>comment</v>
      </c>
      <c r="C17" t="str">
        <v>string</v>
      </c>
      <c r="D17">
        <v>100</v>
      </c>
    </row>
  </sheetData>
  <mergeCells>
    <mergeCell ref="I1:N1"/>
    <mergeCell ref="A1:H1"/>
  </mergeCells>
  <picture r:id="rId1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2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15" t="str">
        <v>营销费用源表-天猫-引力魔方-业务计划</v>
      </c>
      <c r="C3" s="25" t="str">
        <v>cost_date</v>
      </c>
      <c r="D3" s="26" t="str">
        <v>日期</v>
      </c>
      <c r="E3" s="23" t="str">
        <v>STRING</v>
      </c>
      <c r="F3" s="23">
        <f>CONCAT(",",C3,"   ",E3,"   COMMENT'", D3,"'" )</f>
      </c>
      <c r="G3" s="23"/>
      <c r="H3" s="15"/>
      <c r="I3" s="24"/>
      <c r="J3" s="24"/>
      <c r="K3" s="14"/>
      <c r="L3" s="14"/>
      <c r="M3" s="14"/>
      <c r="N3" s="14"/>
    </row>
    <row r="4">
      <c r="A4" s="23">
        <v>2</v>
      </c>
      <c r="B4" s="15" t="str">
        <v>营销费用源表-天猫-引力魔方-业务计划</v>
      </c>
      <c r="C4" s="25" t="str">
        <v>ad_group</v>
      </c>
      <c r="D4" s="26" t="str">
        <v>计划组</v>
      </c>
      <c r="E4" s="23" t="str">
        <v>STRING</v>
      </c>
      <c r="F4" s="23">
        <f>CONCAT(",",C4,"   ",E4,"   COMMENT'", D4,"'" )</f>
      </c>
      <c r="G4" s="17"/>
      <c r="H4" s="33"/>
      <c r="I4" s="24"/>
      <c r="J4" s="24"/>
      <c r="K4" s="24"/>
      <c r="L4" s="24"/>
      <c r="M4" s="24"/>
      <c r="N4" s="24"/>
    </row>
    <row r="5">
      <c r="A5" s="23">
        <v>3</v>
      </c>
      <c r="B5" s="15" t="str">
        <v>营销费用源表-天猫-引力魔方-业务计划</v>
      </c>
      <c r="C5" s="25" t="str">
        <v>campaign</v>
      </c>
      <c r="D5" s="26" t="str">
        <v>计划</v>
      </c>
      <c r="E5" s="23" t="str">
        <v>STRING</v>
      </c>
      <c r="F5" s="23">
        <f>CONCAT(",",C5,"   ",E5,"   COMMENT'", D5,"'" )</f>
      </c>
      <c r="G5" s="17"/>
      <c r="H5" s="33"/>
      <c r="I5" s="24"/>
      <c r="J5" s="24"/>
      <c r="K5" s="24"/>
      <c r="L5" s="24"/>
      <c r="M5" s="24"/>
      <c r="N5" s="24"/>
    </row>
    <row r="6">
      <c r="A6" s="23">
        <v>4</v>
      </c>
      <c r="B6" s="15" t="str">
        <v>营销费用源表-天猫-引力魔方-业务计划</v>
      </c>
      <c r="C6" s="25" t="str">
        <v>subject_type</v>
      </c>
      <c r="D6" s="26" t="str">
        <v>主体类型</v>
      </c>
      <c r="E6" s="23" t="str">
        <v>STRING</v>
      </c>
      <c r="F6" s="23">
        <f>CONCAT(",",C6,"   ",E6,"   COMMENT'", D6,"'" )</f>
      </c>
      <c r="G6" s="17"/>
      <c r="H6" s="33"/>
      <c r="I6" s="24"/>
      <c r="J6" s="24"/>
      <c r="K6" s="24"/>
      <c r="L6" s="24"/>
      <c r="M6" s="24"/>
      <c r="N6" s="24"/>
    </row>
    <row r="7">
      <c r="A7" s="23">
        <v>5</v>
      </c>
      <c r="B7" s="15" t="str">
        <v>营销费用源表-天猫-引力魔方-业务计划</v>
      </c>
      <c r="C7" s="25" t="str">
        <v>subject_name</v>
      </c>
      <c r="D7" s="26" t="str">
        <v>主体名称</v>
      </c>
      <c r="E7" s="23" t="str">
        <v>STRING</v>
      </c>
      <c r="F7" s="23">
        <f>CONCAT(",",C7,"   ",E7,"   COMMENT'", D7,"'" )</f>
      </c>
      <c r="G7" s="17"/>
      <c r="H7" s="33"/>
      <c r="I7" s="24"/>
      <c r="J7" s="24"/>
      <c r="K7" s="24"/>
      <c r="L7" s="24"/>
      <c r="M7" s="24"/>
      <c r="N7" s="24"/>
    </row>
    <row r="8">
      <c r="A8" s="23">
        <v>6</v>
      </c>
      <c r="B8" s="15" t="str">
        <v>营销费用源表-天猫-引力魔方-业务计划</v>
      </c>
      <c r="C8" s="25" t="str">
        <v>product_id</v>
      </c>
      <c r="D8" s="26" t="str">
        <v>商品id</v>
      </c>
      <c r="E8" s="23" t="str">
        <v>STRING</v>
      </c>
      <c r="F8" s="23">
        <f>CONCAT(",",C8,"   ",E8,"   COMMENT'", D8,"'" )</f>
      </c>
      <c r="G8" s="17"/>
      <c r="H8" s="33"/>
      <c r="I8" s="24"/>
      <c r="J8" s="24"/>
      <c r="K8" s="24"/>
      <c r="L8" s="24"/>
      <c r="M8" s="24"/>
      <c r="N8" s="24"/>
    </row>
    <row r="9">
      <c r="A9" s="23">
        <v>7</v>
      </c>
      <c r="B9" s="15" t="str">
        <v>营销费用源表-天猫-引力魔方-业务计划</v>
      </c>
      <c r="C9" s="25" t="str">
        <v>cost_amount</v>
      </c>
      <c r="D9" s="26" t="str">
        <v>花费</v>
      </c>
      <c r="E9" s="17" t="str">
        <v>DECIMAL(30, 8)</v>
      </c>
      <c r="F9" s="23">
        <f>CONCAT(",",C9,"   ",E9,"   COMMENT'", D9,"'" )</f>
      </c>
      <c r="G9" s="17"/>
      <c r="H9" s="33"/>
      <c r="I9" s="24"/>
      <c r="J9" s="24"/>
      <c r="K9" s="24"/>
      <c r="L9" s="24"/>
      <c r="M9" s="24"/>
      <c r="N9" s="24"/>
    </row>
    <row r="10">
      <c r="A10" s="23">
        <v>8</v>
      </c>
      <c r="B10" s="15" t="str">
        <v>营销费用源表-天猫-引力魔方-业务计划</v>
      </c>
      <c r="C10" s="25" t="str">
        <v>impressions</v>
      </c>
      <c r="D10" s="26" t="str">
        <v>展现量</v>
      </c>
      <c r="E10" s="23" t="str">
        <v>STRING</v>
      </c>
      <c r="F10" s="23">
        <f>CONCAT(",",C10,"   ",E10,"   COMMENT'", D10,"'" )</f>
      </c>
      <c r="G10" s="17"/>
      <c r="H10" s="33"/>
      <c r="I10" s="24"/>
      <c r="J10" s="24"/>
      <c r="K10" s="24"/>
      <c r="L10" s="24"/>
      <c r="M10" s="24"/>
      <c r="N10" s="24"/>
    </row>
    <row r="11">
      <c r="A11" s="23">
        <v>9</v>
      </c>
      <c r="B11" s="15" t="str">
        <v>营销费用源表-天猫-引力魔方-业务计划</v>
      </c>
      <c r="C11" s="25" t="str">
        <v>clicks</v>
      </c>
      <c r="D11" s="26" t="str">
        <v>点击量</v>
      </c>
      <c r="E11" s="23" t="str">
        <v>STRING</v>
      </c>
      <c r="F11" s="23">
        <f>CONCAT(",",C11,"   ",E11,"   COMMENT'", D11,"'" )</f>
      </c>
      <c r="G11" s="17"/>
      <c r="H11" s="33"/>
      <c r="I11" s="24"/>
      <c r="J11" s="24"/>
      <c r="K11" s="24"/>
      <c r="L11" s="24"/>
      <c r="M11" s="24"/>
      <c r="N11" s="24"/>
    </row>
    <row r="12">
      <c r="A12" s="23">
        <v>10</v>
      </c>
      <c r="B12" s="15" t="str">
        <v>营销费用源表-天猫-引力魔方-业务计划</v>
      </c>
      <c r="C12" s="25" t="str">
        <v>ctr</v>
      </c>
      <c r="D12" s="26" t="str">
        <v>点击率</v>
      </c>
      <c r="E12" s="23" t="str">
        <v>STRING</v>
      </c>
      <c r="F12" s="23">
        <f>CONCAT(",",C12,"   ",E12,"   COMMENT'", D12,"'" )</f>
      </c>
      <c r="G12" s="17"/>
      <c r="H12" s="33"/>
      <c r="I12" s="24"/>
      <c r="J12" s="24"/>
      <c r="K12" s="24"/>
      <c r="L12" s="24"/>
      <c r="M12" s="24"/>
      <c r="N12" s="24"/>
    </row>
    <row r="13">
      <c r="A13" s="23">
        <v>11</v>
      </c>
      <c r="B13" s="15" t="str">
        <v>营销费用源表-天猫-引力魔方-业务计划</v>
      </c>
      <c r="C13" s="25" t="str">
        <v>cpm</v>
      </c>
      <c r="D13" s="26" t="str">
        <v>千次展现成本</v>
      </c>
      <c r="E13" s="23" t="str">
        <v>STRING</v>
      </c>
      <c r="F13" s="23">
        <f>CONCAT(",",C13,"   ",E13,"   COMMENT'", D13,"'" )</f>
      </c>
      <c r="G13" s="17"/>
      <c r="H13" s="33"/>
      <c r="I13" s="24"/>
      <c r="J13" s="24"/>
      <c r="K13" s="24"/>
      <c r="L13" s="24"/>
      <c r="M13" s="24"/>
      <c r="N13" s="24"/>
    </row>
    <row r="14">
      <c r="A14" s="23">
        <v>12</v>
      </c>
      <c r="B14" s="15" t="str">
        <v>营销费用源表-天猫-引力魔方-业务计划</v>
      </c>
      <c r="C14" s="25" t="str">
        <v>cpc</v>
      </c>
      <c r="D14" s="26" t="str">
        <v>点击成本</v>
      </c>
      <c r="E14" s="23" t="str">
        <v>STRING</v>
      </c>
      <c r="F14" s="23">
        <f>CONCAT(",",C14,"   ",E14,"   COMMENT'", D14,"'" )</f>
      </c>
      <c r="G14" s="17"/>
      <c r="H14" s="33"/>
      <c r="I14" s="24"/>
      <c r="J14" s="24"/>
      <c r="K14" s="24"/>
      <c r="L14" s="24"/>
      <c r="M14" s="24"/>
      <c r="N14" s="24"/>
    </row>
    <row r="15">
      <c r="A15" s="23">
        <v>13</v>
      </c>
      <c r="B15" s="15" t="str">
        <v>营销费用源表-天猫-引力魔方-业务计划</v>
      </c>
      <c r="C15" s="25" t="str">
        <v>guide_visits</v>
      </c>
      <c r="D15" s="26" t="str">
        <v>引导访问量</v>
      </c>
      <c r="E15" s="23" t="str">
        <v>STRING</v>
      </c>
      <c r="F15" s="23">
        <f>CONCAT(",",C15,"   ",E15,"   COMMENT'", D15,"'" )</f>
      </c>
      <c r="G15" s="17"/>
      <c r="H15" s="33"/>
      <c r="I15" s="24"/>
      <c r="J15" s="24"/>
      <c r="K15" s="24"/>
      <c r="L15" s="24"/>
      <c r="M15" s="24"/>
      <c r="N15" s="24"/>
    </row>
    <row r="16">
      <c r="A16" s="23">
        <v>14</v>
      </c>
      <c r="B16" s="15" t="str">
        <v>营销费用源表-天猫-引力魔方-业务计划</v>
      </c>
      <c r="C16" s="25" t="str">
        <v>guide_visitors</v>
      </c>
      <c r="D16" s="26" t="str">
        <v>引导访问人数</v>
      </c>
      <c r="E16" s="23" t="str">
        <v>STRING</v>
      </c>
      <c r="F16" s="23">
        <f>CONCAT(",",C16,"   ",E16,"   COMMENT'", D16,"'" )</f>
      </c>
      <c r="G16" s="17"/>
      <c r="H16" s="33"/>
      <c r="I16" s="24"/>
      <c r="J16" s="24"/>
      <c r="K16" s="24"/>
      <c r="L16" s="24"/>
      <c r="M16" s="24"/>
      <c r="N16" s="24"/>
    </row>
    <row r="17">
      <c r="A17" s="23">
        <v>15</v>
      </c>
      <c r="B17" s="15" t="str">
        <v>营销费用源表-天猫-引力魔方-业务计划</v>
      </c>
      <c r="C17" s="25" t="str">
        <v>guide_leads</v>
      </c>
      <c r="D17" s="26" t="str">
        <v>引导访问潜客数</v>
      </c>
      <c r="E17" s="23" t="str">
        <v>STRING</v>
      </c>
      <c r="F17" s="23">
        <f>CONCAT(",",C17,"   ",E17,"   COMMENT'", D17,"'" )</f>
      </c>
      <c r="G17" s="17"/>
      <c r="H17" s="33"/>
      <c r="I17" s="24"/>
      <c r="J17" s="24"/>
      <c r="K17" s="24"/>
      <c r="L17" s="24"/>
      <c r="M17" s="24"/>
      <c r="N17" s="24"/>
    </row>
    <row r="18">
      <c r="A18" s="23">
        <v>16</v>
      </c>
      <c r="B18" s="15" t="str">
        <v>营销费用源表-天猫-引力魔方-业务计划</v>
      </c>
      <c r="C18" s="25" t="str">
        <v>guide_lead_rate</v>
      </c>
      <c r="D18" s="26" t="str">
        <v>引导访问潜客占比</v>
      </c>
      <c r="E18" s="23" t="str">
        <v>STRING</v>
      </c>
      <c r="F18" s="23">
        <f>CONCAT(",",C18,"   ",E18,"   COMMENT'", D18,"'" )</f>
      </c>
      <c r="G18" s="17"/>
      <c r="H18" s="33"/>
      <c r="I18" s="24"/>
      <c r="J18" s="24"/>
      <c r="K18" s="24"/>
      <c r="L18" s="24"/>
      <c r="M18" s="24"/>
      <c r="N18" s="24"/>
    </row>
    <row r="19">
      <c r="A19" s="23">
        <v>17</v>
      </c>
      <c r="B19" s="15" t="str">
        <v>营销费用源表-天猫-引力魔方-业务计划</v>
      </c>
      <c r="C19" s="25" t="str">
        <v>guide_visit_rate</v>
      </c>
      <c r="D19" s="26" t="str">
        <v>引导访问率</v>
      </c>
      <c r="E19" s="23" t="str">
        <v>STRING</v>
      </c>
      <c r="F19" s="23">
        <f>CONCAT(",",C19,"   ",E19,"   COMMENT'", D19,"'" )</f>
      </c>
      <c r="G19" s="17"/>
      <c r="H19" s="33"/>
      <c r="I19" s="24"/>
      <c r="J19" s="24"/>
      <c r="K19" s="24"/>
      <c r="L19" s="24"/>
      <c r="M19" s="24"/>
      <c r="N19" s="24"/>
    </row>
    <row r="20">
      <c r="A20" s="23">
        <v>18</v>
      </c>
      <c r="B20" s="15" t="str">
        <v>营销费用源表-天猫-引力魔方-业务计划</v>
      </c>
      <c r="C20" s="25" t="str">
        <v>deep_visits</v>
      </c>
      <c r="D20" s="26" t="str">
        <v>深度访问量</v>
      </c>
      <c r="E20" s="23" t="str">
        <v>STRING</v>
      </c>
      <c r="F20" s="23">
        <f>CONCAT(",",C20,"   ",E20,"   COMMENT'", D20,"'" )</f>
      </c>
      <c r="G20" s="17"/>
      <c r="H20" s="33"/>
      <c r="I20" s="24"/>
      <c r="J20" s="24"/>
      <c r="K20" s="24"/>
      <c r="L20" s="24"/>
      <c r="M20" s="24"/>
      <c r="N20" s="24"/>
    </row>
    <row r="21">
      <c r="A21" s="23">
        <v>19</v>
      </c>
      <c r="B21" s="15" t="str">
        <v>营销费用源表-天猫-引力魔方-业务计划</v>
      </c>
      <c r="C21" s="25" t="str">
        <v>avg_pageviews</v>
      </c>
      <c r="D21" s="26" t="str">
        <v>平均访问页面数</v>
      </c>
      <c r="E21" s="23" t="str">
        <v>STRING</v>
      </c>
      <c r="F21" s="23">
        <f>CONCAT(",",C21,"   ",E21,"   COMMENT'", D21,"'" )</f>
      </c>
      <c r="G21" s="17"/>
      <c r="H21" s="33"/>
      <c r="I21" s="24"/>
      <c r="J21" s="24"/>
      <c r="K21" s="24"/>
      <c r="L21" s="24"/>
      <c r="M21" s="24"/>
      <c r="N21" s="24"/>
    </row>
    <row r="22">
      <c r="A22" s="23">
        <v>20</v>
      </c>
      <c r="B22" s="15" t="str">
        <v>营销费用源表-天猫-引力魔方-业务计划</v>
      </c>
      <c r="C22" s="25" t="str">
        <v>subscribed_stores</v>
      </c>
      <c r="D22" s="26" t="str">
        <v>订阅店铺数</v>
      </c>
      <c r="E22" s="23" t="str">
        <v>STRING</v>
      </c>
      <c r="F22" s="23">
        <f>CONCAT(",",C22,"   ",E22,"   COMMENT'", D22,"'" )</f>
      </c>
      <c r="G22" s="17"/>
      <c r="H22" s="33"/>
      <c r="I22" s="24"/>
      <c r="J22" s="24"/>
      <c r="K22" s="24"/>
      <c r="L22" s="24"/>
      <c r="M22" s="24"/>
      <c r="N22" s="24"/>
    </row>
    <row r="23">
      <c r="A23" s="23">
        <v>21</v>
      </c>
      <c r="B23" s="15" t="str">
        <v>营销费用源表-天猫-引力魔方-业务计划</v>
      </c>
      <c r="C23" s="25" t="str">
        <v>search_back</v>
      </c>
      <c r="D23" s="26" t="str">
        <v>回搜量</v>
      </c>
      <c r="E23" s="23" t="str">
        <v>STRING</v>
      </c>
      <c r="F23" s="23">
        <f>CONCAT(",",C23,"   ",E23,"   COMMENT'", D23,"'" )</f>
      </c>
      <c r="G23" s="17"/>
      <c r="H23" s="33"/>
      <c r="I23" s="24"/>
      <c r="J23" s="24"/>
      <c r="K23" s="24"/>
      <c r="L23" s="24"/>
      <c r="M23" s="24"/>
      <c r="N23" s="24"/>
    </row>
    <row r="24">
      <c r="A24" s="23">
        <v>22</v>
      </c>
      <c r="B24" s="15" t="str">
        <v>营销费用源表-天猫-引力魔方-业务计划</v>
      </c>
      <c r="C24" s="25" t="str">
        <v>visit_back</v>
      </c>
      <c r="D24" s="26" t="str">
        <v>回访量</v>
      </c>
      <c r="E24" s="23" t="str">
        <v>STRING</v>
      </c>
      <c r="F24" s="23">
        <f>CONCAT(",",C24,"   ",E24,"   COMMENT'", D24,"'" )</f>
      </c>
      <c r="G24" s="17"/>
      <c r="H24" s="33"/>
      <c r="I24" s="24"/>
      <c r="J24" s="24"/>
      <c r="K24" s="24"/>
      <c r="L24" s="24"/>
      <c r="M24" s="24"/>
      <c r="N24" s="24"/>
    </row>
    <row r="25">
      <c r="A25" s="23">
        <v>23</v>
      </c>
      <c r="B25" s="15" t="str">
        <v>营销费用源表-天猫-引力魔方-业务计划</v>
      </c>
      <c r="C25" s="25" t="str">
        <v>search_back_cost</v>
      </c>
      <c r="D25" s="26" t="str">
        <v>回搜成本</v>
      </c>
      <c r="E25" s="23" t="str">
        <v>STRING</v>
      </c>
      <c r="F25" s="23">
        <f>CONCAT(",",C25,"   ",E25,"   COMMENT'", D25,"'" )</f>
      </c>
      <c r="G25" s="17"/>
      <c r="H25" s="33"/>
      <c r="I25" s="24"/>
      <c r="J25" s="24"/>
      <c r="K25" s="24"/>
      <c r="L25" s="24"/>
      <c r="M25" s="24"/>
      <c r="N25" s="24"/>
    </row>
    <row r="26">
      <c r="A26" s="23">
        <v>24</v>
      </c>
      <c r="B26" s="15" t="str">
        <v>营销费用源表-天猫-引力魔方-业务计划</v>
      </c>
      <c r="C26" s="25" t="str">
        <v>visit_back_cost</v>
      </c>
      <c r="D26" s="26" t="str">
        <v>回访成本</v>
      </c>
      <c r="E26" s="23" t="str">
        <v>STRING</v>
      </c>
      <c r="F26" s="23">
        <f>CONCAT(",",C26,"   ",E26,"   COMMENT'", D26,"'" )</f>
      </c>
      <c r="G26" s="17"/>
      <c r="H26" s="33"/>
      <c r="I26" s="24"/>
      <c r="J26" s="24"/>
      <c r="K26" s="24"/>
      <c r="L26" s="24"/>
      <c r="M26" s="24"/>
      <c r="N26" s="24"/>
    </row>
    <row r="27">
      <c r="A27" s="23">
        <v>25</v>
      </c>
      <c r="B27" s="15" t="str">
        <v>营销费用源表-天猫-引力魔方-业务计划</v>
      </c>
      <c r="C27" s="25" t="str">
        <v>avg_deep_visit_time</v>
      </c>
      <c r="D27" s="26" t="str">
        <v>平均深度访问时长</v>
      </c>
      <c r="E27" s="23" t="str">
        <v>STRING</v>
      </c>
      <c r="F27" s="23">
        <f>CONCAT(",",C27,"   ",E27,"   COMMENT'", D27,"'" )</f>
      </c>
      <c r="G27" s="17"/>
      <c r="H27" s="33"/>
      <c r="I27" s="24"/>
      <c r="J27" s="24"/>
      <c r="K27" s="24"/>
      <c r="L27" s="24"/>
      <c r="M27" s="24"/>
      <c r="N27" s="24"/>
    </row>
    <row r="28">
      <c r="A28" s="23">
        <v>26</v>
      </c>
      <c r="B28" s="15" t="str">
        <v>营销费用源表-天猫-引力魔方-业务计划</v>
      </c>
      <c r="C28" s="25" t="str">
        <v>interest_new_customers</v>
      </c>
      <c r="D28" s="26" t="str">
        <v>兴趣新客增量</v>
      </c>
      <c r="E28" s="23" t="str">
        <v>STRING</v>
      </c>
      <c r="F28" s="23">
        <f>CONCAT(",",C28,"   ",E28,"   COMMENT'", D28,"'" )</f>
      </c>
      <c r="G28" s="17"/>
      <c r="H28" s="33"/>
      <c r="I28" s="24"/>
      <c r="J28" s="24"/>
      <c r="K28" s="24"/>
      <c r="L28" s="24"/>
      <c r="M28" s="24"/>
      <c r="N28" s="24"/>
    </row>
    <row r="29">
      <c r="A29" s="23">
        <v>27</v>
      </c>
      <c r="B29" s="15" t="str">
        <v>营销费用源表-天猫-引力魔方-业务计划</v>
      </c>
      <c r="C29" s="25" t="str">
        <v>item_favorites</v>
      </c>
      <c r="D29" s="26" t="str">
        <v>收藏宝贝数</v>
      </c>
      <c r="E29" s="23" t="str">
        <v>STRING</v>
      </c>
      <c r="F29" s="23">
        <f>CONCAT(",",C29,"   ",E29,"   COMMENT'", D29,"'" )</f>
      </c>
      <c r="G29" s="17"/>
      <c r="H29" s="33"/>
      <c r="I29" s="24"/>
      <c r="J29" s="24"/>
      <c r="K29" s="24"/>
      <c r="L29" s="24"/>
      <c r="M29" s="24"/>
      <c r="N29" s="24"/>
    </row>
    <row r="30">
      <c r="A30" s="23">
        <v>28</v>
      </c>
      <c r="B30" s="15" t="str">
        <v>营销费用源表-天猫-引力魔方-业务计划</v>
      </c>
      <c r="C30" s="25" t="str">
        <v>add_to_cart</v>
      </c>
      <c r="D30" s="26" t="str">
        <v>添加购物车数</v>
      </c>
      <c r="E30" s="23" t="str">
        <v>STRING</v>
      </c>
      <c r="F30" s="23">
        <f>CONCAT(",",C30,"   ",E30,"   COMMENT'", D30,"'" )</f>
      </c>
      <c r="G30" s="17"/>
      <c r="H30" s="33"/>
      <c r="I30" s="24"/>
      <c r="J30" s="24"/>
      <c r="K30" s="24"/>
      <c r="L30" s="24"/>
      <c r="M30" s="24"/>
      <c r="N30" s="24"/>
    </row>
    <row r="31">
      <c r="A31" s="23">
        <v>29</v>
      </c>
      <c r="B31" s="15" t="str">
        <v>营销费用源表-天猫-引力魔方-业务计划</v>
      </c>
      <c r="C31" s="25" t="str">
        <v>place_order</v>
      </c>
      <c r="D31" s="26" t="str">
        <v>拍下订单笔数</v>
      </c>
      <c r="E31" s="23" t="str">
        <v>STRING</v>
      </c>
      <c r="F31" s="23">
        <f>CONCAT(",",C31,"   ",E31,"   COMMENT'", D31,"'" )</f>
      </c>
      <c r="G31" s="17"/>
      <c r="H31" s="33"/>
      <c r="I31" s="24"/>
      <c r="J31" s="24"/>
      <c r="K31" s="24"/>
      <c r="L31" s="24"/>
      <c r="M31" s="24"/>
      <c r="N31" s="24"/>
    </row>
    <row r="32">
      <c r="A32" s="23">
        <v>30</v>
      </c>
      <c r="B32" s="15" t="str">
        <v>营销费用源表-天猫-引力魔方-业务计划</v>
      </c>
      <c r="C32" s="25" t="str">
        <v>order_amount</v>
      </c>
      <c r="D32" s="26" t="str">
        <v>拍下订单金额</v>
      </c>
      <c r="E32" s="17" t="str">
        <v>DECIMAL(30, 8)</v>
      </c>
      <c r="F32" s="23">
        <f>CONCAT(",",C32,"   ",E32,"   COMMENT'", D32,"'" )</f>
      </c>
      <c r="G32" s="17"/>
      <c r="H32" s="33"/>
      <c r="I32" s="24"/>
      <c r="J32" s="24"/>
      <c r="K32" s="24"/>
      <c r="L32" s="24"/>
      <c r="M32" s="24"/>
      <c r="N32" s="24"/>
    </row>
    <row r="33">
      <c r="A33" s="23">
        <v>31</v>
      </c>
      <c r="B33" s="15" t="str">
        <v>营销费用源表-天猫-引力魔方-业务计划</v>
      </c>
      <c r="C33" s="25" t="str">
        <v>presell_deals</v>
      </c>
      <c r="D33" s="26" t="str">
        <v>预售成交笔数</v>
      </c>
      <c r="E33" s="23" t="str">
        <v>STRING</v>
      </c>
      <c r="F33" s="23">
        <f>CONCAT(",",C33,"   ",E33,"   COMMENT'", D33,"'" )</f>
      </c>
      <c r="G33" s="17"/>
      <c r="H33" s="33"/>
      <c r="I33" s="24"/>
      <c r="J33" s="24"/>
      <c r="K33" s="24"/>
      <c r="L33" s="24"/>
      <c r="M33" s="24"/>
      <c r="N33" s="24"/>
    </row>
    <row r="34">
      <c r="A34" s="23">
        <v>32</v>
      </c>
      <c r="B34" s="15" t="str">
        <v>营销费用源表-天猫-引力魔方-业务计划</v>
      </c>
      <c r="C34" s="25" t="str">
        <v>presell_amount</v>
      </c>
      <c r="D34" s="26" t="str">
        <v>预售成交金额</v>
      </c>
      <c r="E34" s="17" t="str">
        <v>DECIMAL(30, 8)</v>
      </c>
      <c r="F34" s="23">
        <f>CONCAT(",",C34,"   ",E34,"   COMMENT'", D34,"'" )</f>
      </c>
      <c r="G34" s="17"/>
      <c r="H34" s="33"/>
      <c r="I34" s="24"/>
      <c r="J34" s="24"/>
      <c r="K34" s="24"/>
      <c r="L34" s="24"/>
      <c r="M34" s="24"/>
      <c r="N34" s="24"/>
    </row>
    <row r="35">
      <c r="A35" s="23">
        <v>33</v>
      </c>
      <c r="B35" s="15" t="str">
        <v>营销费用源表-天猫-引力魔方-业务计划</v>
      </c>
      <c r="C35" s="25" t="str">
        <v>prepaid_amount</v>
      </c>
      <c r="D35" s="26" t="str">
        <v>购物金充值金额</v>
      </c>
      <c r="E35" s="17" t="str">
        <v>DECIMAL(30, 8)</v>
      </c>
      <c r="F35" s="23">
        <f>CONCAT(",",C35,"   ",E35,"   COMMENT'", D35,"'" )</f>
      </c>
      <c r="G35" s="17"/>
      <c r="H35" s="33"/>
      <c r="I35" s="24"/>
      <c r="J35" s="24"/>
      <c r="K35" s="24"/>
      <c r="L35" s="24"/>
      <c r="M35" s="24"/>
      <c r="N35" s="24"/>
    </row>
    <row r="36">
      <c r="A36" s="23">
        <v>34</v>
      </c>
      <c r="B36" s="15" t="str">
        <v>营销费用源表-天猫-引力魔方-业务计划</v>
      </c>
      <c r="C36" s="25" t="str">
        <v>prepaid_orders</v>
      </c>
      <c r="D36" s="26" t="str">
        <v>购物金充值笔数</v>
      </c>
      <c r="E36" s="23" t="str">
        <v>STRING</v>
      </c>
      <c r="F36" s="23">
        <f>CONCAT(",",C36,"   ",E36,"   COMMENT'", D36,"'" )</f>
      </c>
      <c r="G36" s="17"/>
      <c r="H36" s="33"/>
      <c r="I36" s="24"/>
      <c r="J36" s="24"/>
      <c r="K36" s="24"/>
      <c r="L36" s="24"/>
      <c r="M36" s="24"/>
      <c r="N36" s="24"/>
    </row>
    <row r="37">
      <c r="A37" s="23">
        <v>35</v>
      </c>
      <c r="B37" s="15" t="str">
        <v>营销费用源表-天猫-引力魔方-业务计划</v>
      </c>
      <c r="C37" s="25" t="str">
        <v>item_fav_cart</v>
      </c>
      <c r="D37" s="26" t="str">
        <v>宝贝收藏加购数</v>
      </c>
      <c r="E37" s="23" t="str">
        <v>STRING</v>
      </c>
      <c r="F37" s="23">
        <f>CONCAT(",",C37,"   ",E37,"   COMMENT'", D37,"'" )</f>
      </c>
      <c r="G37" s="17"/>
      <c r="H37" s="33"/>
      <c r="I37" s="24"/>
      <c r="J37" s="24"/>
      <c r="K37" s="24"/>
      <c r="L37" s="24"/>
      <c r="M37" s="24"/>
      <c r="N37" s="24"/>
    </row>
    <row r="38">
      <c r="A38" s="23">
        <v>36</v>
      </c>
      <c r="B38" s="15" t="str">
        <v>营销费用源表-天猫-引力魔方-业务计划</v>
      </c>
      <c r="C38" s="25" t="str">
        <v>item_fav_cart_cost</v>
      </c>
      <c r="D38" s="26" t="str">
        <v>宝贝收藏加购成本</v>
      </c>
      <c r="E38" s="17" t="str">
        <v>DECIMAL(30, 8)</v>
      </c>
      <c r="F38" s="23">
        <f>CONCAT(",",C38,"   ",E38,"   COMMENT'", D38,"'" )</f>
      </c>
      <c r="G38" s="17"/>
      <c r="H38" s="33"/>
      <c r="I38" s="24"/>
      <c r="J38" s="24"/>
      <c r="K38" s="24"/>
      <c r="L38" s="24"/>
      <c r="M38" s="24"/>
      <c r="N38" s="24"/>
    </row>
    <row r="39">
      <c r="A39" s="23">
        <v>37</v>
      </c>
      <c r="B39" s="15" t="str">
        <v>营销费用源表-天猫-引力魔方-业务计划</v>
      </c>
      <c r="C39" s="25" t="str">
        <v>deals</v>
      </c>
      <c r="D39" s="26" t="str">
        <v>成交笔数</v>
      </c>
      <c r="E39" s="23" t="str">
        <v>STRING</v>
      </c>
      <c r="F39" s="23">
        <f>CONCAT(",",C39,"   ",E39,"   COMMENT'", D39,"'" )</f>
      </c>
      <c r="G39" s="17"/>
      <c r="H39" s="33"/>
      <c r="I39" s="24"/>
      <c r="J39" s="24"/>
      <c r="K39" s="24"/>
      <c r="L39" s="24"/>
      <c r="M39" s="24"/>
      <c r="N39" s="24"/>
    </row>
    <row r="40">
      <c r="A40" s="23">
        <v>38</v>
      </c>
      <c r="B40" s="15" t="str">
        <v>营销费用源表-天猫-引力魔方-业务计划</v>
      </c>
      <c r="C40" s="25" t="str">
        <v>amount</v>
      </c>
      <c r="D40" s="26" t="str">
        <v>成交金额</v>
      </c>
      <c r="E40" s="17" t="str">
        <v>DECIMAL(30, 8)</v>
      </c>
      <c r="F40" s="23">
        <f>CONCAT(",",C40,"   ",E40,"   COMMENT'", D40,"'" )</f>
      </c>
      <c r="G40" s="17"/>
      <c r="H40" s="33"/>
      <c r="I40" s="24"/>
      <c r="J40" s="24"/>
      <c r="K40" s="24"/>
      <c r="L40" s="24"/>
      <c r="M40" s="24"/>
      <c r="N40" s="24"/>
    </row>
    <row r="41">
      <c r="A41" s="23">
        <v>39</v>
      </c>
      <c r="B41" s="15" t="str">
        <v>营销费用源表-天猫-引力魔方-业务计划</v>
      </c>
      <c r="C41" s="25" t="str">
        <v>impression_conversion</v>
      </c>
      <c r="D41" s="26" t="str">
        <v>展现转化率</v>
      </c>
      <c r="E41" s="23" t="str">
        <v>STRING</v>
      </c>
      <c r="F41" s="23">
        <f>CONCAT(",",C41,"   ",E41,"   COMMENT'", D41,"'" )</f>
      </c>
      <c r="G41" s="17"/>
      <c r="H41" s="33"/>
      <c r="I41" s="24"/>
      <c r="J41" s="24"/>
      <c r="K41" s="24"/>
      <c r="L41" s="24"/>
      <c r="M41" s="24"/>
      <c r="N41" s="24"/>
    </row>
    <row r="42">
      <c r="A42" s="23">
        <v>40</v>
      </c>
      <c r="B42" s="15" t="str">
        <v>营销费用源表-天猫-引力魔方-业务计划</v>
      </c>
      <c r="C42" s="25" t="str">
        <v>click_conversion</v>
      </c>
      <c r="D42" s="26" t="str">
        <v>点击转化率</v>
      </c>
      <c r="E42" s="23" t="str">
        <v>STRING</v>
      </c>
      <c r="F42" s="23">
        <f>CONCAT(",",C42,"   ",E42,"   COMMENT'", D42,"'" )</f>
      </c>
      <c r="G42" s="17"/>
      <c r="H42" s="33"/>
      <c r="I42" s="24"/>
      <c r="J42" s="24"/>
      <c r="K42" s="24"/>
      <c r="L42" s="24"/>
      <c r="M42" s="24"/>
      <c r="N42" s="24"/>
    </row>
    <row r="43">
      <c r="A43" s="23">
        <v>41</v>
      </c>
      <c r="B43" s="15" t="str">
        <v>营销费用源表-天猫-引力魔方-业务计划</v>
      </c>
      <c r="C43" s="25" t="str">
        <v>roi</v>
      </c>
      <c r="D43" s="26" t="str">
        <v>投入产出比</v>
      </c>
      <c r="E43" s="23" t="str">
        <v>STRING</v>
      </c>
      <c r="F43" s="23">
        <f>CONCAT(",",C43,"   ",E43,"   COMMENT'", D43,"'" )</f>
      </c>
      <c r="G43" s="17"/>
      <c r="H43" s="33"/>
      <c r="I43" s="24"/>
      <c r="J43" s="24"/>
      <c r="K43" s="24"/>
      <c r="L43" s="24"/>
      <c r="M43" s="24"/>
      <c r="N43" s="24"/>
    </row>
    <row r="44">
      <c r="A44" s="23">
        <v>42</v>
      </c>
      <c r="B44" s="15" t="str">
        <v>营销费用源表-天猫-引力魔方-业务计划</v>
      </c>
      <c r="C44" s="25" t="str">
        <v>first_purchase_customers</v>
      </c>
      <c r="D44" s="26" t="str">
        <v>首购人群增量</v>
      </c>
      <c r="E44" s="23" t="str">
        <v>STRING</v>
      </c>
      <c r="F44" s="23">
        <f>CONCAT(",",C44,"   ",E44,"   COMMENT'", D44,"'" )</f>
      </c>
      <c r="G44" s="17"/>
      <c r="H44" s="33"/>
      <c r="I44" s="24"/>
      <c r="J44" s="24"/>
      <c r="K44" s="24"/>
      <c r="L44" s="24"/>
      <c r="M44" s="24"/>
      <c r="N44" s="24"/>
    </row>
    <row r="45">
      <c r="A45" s="23">
        <v>43</v>
      </c>
      <c r="B45" s="15" t="str">
        <v>营销费用源表-天猫-引力魔方-业务计划</v>
      </c>
      <c r="C45" s="25" t="str">
        <v>new_customer_exposure_uv_rate</v>
      </c>
      <c r="D45" s="26" t="str">
        <v>潜新客曝光UV占比</v>
      </c>
      <c r="E45" s="23" t="str">
        <v>STRING</v>
      </c>
      <c r="F45" s="23">
        <f>CONCAT(",",C45,"   ",E45,"   COMMENT'", D45,"'" )</f>
      </c>
      <c r="G45" s="17"/>
      <c r="H45" s="33"/>
      <c r="I45" s="24"/>
      <c r="J45" s="24"/>
      <c r="K45" s="24"/>
      <c r="L45" s="24"/>
      <c r="M45" s="24"/>
      <c r="N45" s="24"/>
    </row>
    <row r="46">
      <c r="A46" s="23">
        <v>44</v>
      </c>
      <c r="B46" s="15" t="str">
        <v>营销费用源表-天猫-引力魔方-业务计划</v>
      </c>
      <c r="C46" s="25" t="str">
        <v>industry_exposure_rate</v>
      </c>
      <c r="D46" s="26" t="str">
        <v>行业曝光独占率</v>
      </c>
      <c r="E46" s="23" t="str">
        <v>STRING</v>
      </c>
      <c r="F46" s="23">
        <f>CONCAT(",",C46,"   ",E46,"   COMMENT'", D46,"'" )</f>
      </c>
      <c r="G46" s="17"/>
      <c r="H46" s="33"/>
      <c r="I46" s="24"/>
      <c r="J46" s="24"/>
      <c r="K46" s="24"/>
      <c r="L46" s="24"/>
      <c r="M46" s="24"/>
      <c r="N46" s="24"/>
    </row>
    <row r="47">
      <c r="A47" s="23">
        <v>45</v>
      </c>
      <c r="B47" s="15" t="str">
        <v>营销费用源表-天猫-引力魔方-业务计划</v>
      </c>
      <c r="C47" s="50" t="str">
        <v>industry_first_touch_rate</v>
      </c>
      <c r="D47" s="26" t="str">
        <v>行业首次触达率</v>
      </c>
      <c r="E47" s="23" t="str">
        <v>STRING</v>
      </c>
      <c r="F47" s="23">
        <f>CONCAT(",",C47,"   ",E47,"   COMMENT'", D47,"'" )</f>
      </c>
      <c r="G47" s="17"/>
      <c r="H47" s="33"/>
      <c r="I47" s="24"/>
      <c r="J47" s="24"/>
      <c r="K47" s="24"/>
      <c r="L47" s="24"/>
      <c r="M47" s="24"/>
      <c r="N47" s="24"/>
    </row>
    <row r="48">
      <c r="A48" s="23">
        <v>46</v>
      </c>
      <c r="B48" s="15" t="str">
        <v>营销费用源表-天猫-引力魔方-业务计划</v>
      </c>
      <c r="C48" s="50" t="str">
        <v>interest_new_customer_cost</v>
      </c>
      <c r="D48" s="26" t="str">
        <v>兴趣新客获客成本</v>
      </c>
      <c r="E48" s="17" t="str">
        <v>DECIMAL(30, 8)</v>
      </c>
      <c r="F48" s="23">
        <f>CONCAT(",",C48,"   ",E48,"   COMMENT'", D48,"'" )</f>
      </c>
      <c r="G48" s="17"/>
      <c r="H48" s="33"/>
      <c r="I48" s="24"/>
      <c r="J48" s="24"/>
      <c r="K48" s="24"/>
      <c r="L48" s="24"/>
      <c r="M48" s="24"/>
      <c r="N48" s="24"/>
    </row>
    <row r="49">
      <c r="A49" s="23">
        <v>47</v>
      </c>
      <c r="B49" s="15" t="str">
        <v>营销费用源表-天猫-引力魔方-业务计划</v>
      </c>
      <c r="C49" s="50" t="str">
        <v>interest_new_customer_conv_rate</v>
      </c>
      <c r="D49" s="26" t="str">
        <v>兴趣新客转化率</v>
      </c>
      <c r="E49" s="23" t="str">
        <v>STRING</v>
      </c>
      <c r="F49" s="23">
        <f>CONCAT(",",C49,"   ",E49,"   COMMENT'", D49,"'" )</f>
      </c>
      <c r="G49" s="17"/>
      <c r="H49" s="33"/>
      <c r="I49" s="24"/>
      <c r="J49" s="24"/>
      <c r="K49" s="24"/>
      <c r="L49" s="24"/>
      <c r="M49" s="24"/>
      <c r="N49" s="24"/>
    </row>
    <row r="50">
      <c r="A50" s="23">
        <v>48</v>
      </c>
      <c r="B50" s="15" t="str">
        <v>营销费用源表-天猫-引力魔方-业务计划</v>
      </c>
      <c r="C50" s="50" t="str">
        <v>first_purchase_customer_cost</v>
      </c>
      <c r="D50" s="26" t="str">
        <v>首购人群获客成本</v>
      </c>
      <c r="E50" s="17" t="str">
        <v>DECIMAL(30, 8)</v>
      </c>
      <c r="F50" s="23">
        <f>CONCAT(",",C50,"   ",E50,"   COMMENT'", D50,"'" )</f>
      </c>
      <c r="G50" s="17"/>
      <c r="H50" s="33"/>
      <c r="I50" s="24"/>
      <c r="J50" s="24"/>
      <c r="K50" s="24"/>
      <c r="L50" s="24"/>
      <c r="M50" s="24"/>
      <c r="N50" s="24"/>
    </row>
    <row r="51">
      <c r="A51" s="23">
        <v>49</v>
      </c>
      <c r="B51" s="15" t="str">
        <v>营销费用源表-天猫-引力魔方-业务计划</v>
      </c>
      <c r="C51" s="50" t="str">
        <v>first_purchase_conv_rate</v>
      </c>
      <c r="D51" s="26" t="str">
        <v>首购人群转化率</v>
      </c>
      <c r="E51" s="23" t="str">
        <v>STRING</v>
      </c>
      <c r="F51" s="23">
        <f>CONCAT(",",C51,"   ",E51,"   COMMENT'", D51,"'" )</f>
      </c>
      <c r="G51" s="17"/>
      <c r="H51" s="33"/>
      <c r="I51" s="24"/>
      <c r="J51" s="24"/>
      <c r="K51" s="24"/>
      <c r="L51" s="24"/>
      <c r="M51" s="24"/>
      <c r="N51" s="24"/>
    </row>
    <row r="52">
      <c r="A52" s="23">
        <v>50</v>
      </c>
      <c r="B52" s="15" t="str">
        <v>营销费用源表-天猫-引力魔方-业务计划</v>
      </c>
      <c r="C52" s="50" t="str">
        <v>new_visitor_count</v>
      </c>
      <c r="D52" s="26" t="str">
        <v>访问新客增量</v>
      </c>
      <c r="E52" s="23" t="str">
        <v>STRING</v>
      </c>
      <c r="F52" s="23">
        <f>CONCAT(",",C52,"   ",E52,"   COMMENT'", D52,"'" )</f>
      </c>
      <c r="G52" s="17"/>
      <c r="H52" s="33"/>
      <c r="I52" s="24"/>
      <c r="J52" s="24"/>
      <c r="K52" s="24"/>
      <c r="L52" s="24"/>
      <c r="M52" s="24"/>
      <c r="N52" s="24"/>
    </row>
    <row r="53">
      <c r="A53" s="23">
        <v>51</v>
      </c>
      <c r="B53" s="15" t="str">
        <v>营销费用源表-天猫-引力魔方-业务计划</v>
      </c>
      <c r="C53" s="50" t="str">
        <v>new_visitor_acquisition_cost</v>
      </c>
      <c r="D53" s="26" t="str">
        <v>访问新客获客成本</v>
      </c>
      <c r="E53" s="17" t="str">
        <v>DECIMAL(30, 8)</v>
      </c>
      <c r="F53" s="23">
        <f>CONCAT(",",C53,"   ",E53,"   COMMENT'", D53,"'" )</f>
      </c>
      <c r="G53" s="17"/>
      <c r="H53" s="33"/>
      <c r="I53" s="24"/>
      <c r="J53" s="24"/>
      <c r="K53" s="24"/>
      <c r="L53" s="24"/>
      <c r="M53" s="24"/>
      <c r="N53" s="24"/>
    </row>
    <row r="54">
      <c r="A54" s="23">
        <v>52</v>
      </c>
      <c r="B54" s="15" t="str">
        <v>营销费用源表-天猫-引力魔方-业务计划</v>
      </c>
      <c r="C54" s="50" t="str">
        <v>new_visitor_conversion_rate</v>
      </c>
      <c r="D54" s="26" t="str">
        <v>访问新客流转率</v>
      </c>
      <c r="E54" s="23" t="str">
        <v>STRING</v>
      </c>
      <c r="F54" s="23">
        <f>CONCAT(",",C54,"   ",E54,"   COMMENT'", D54,"'" )</f>
      </c>
      <c r="G54" s="17"/>
      <c r="H54" s="33"/>
      <c r="I54" s="24"/>
      <c r="J54" s="24"/>
      <c r="K54" s="24"/>
      <c r="L54" s="24"/>
      <c r="M54" s="24"/>
      <c r="N54" s="24"/>
    </row>
    <row r="55">
      <c r="A55" s="23">
        <v>53</v>
      </c>
      <c r="B55" s="15" t="str">
        <v>营销费用源表-天猫-引力魔方-业务计划</v>
      </c>
      <c r="C55" s="50" t="str">
        <v>repeat_customer_count</v>
      </c>
      <c r="D55" s="26" t="str">
        <v>复购人群增量</v>
      </c>
      <c r="E55" s="23" t="str">
        <v>STRING</v>
      </c>
      <c r="F55" s="23">
        <f>CONCAT(",",C55,"   ",E55,"   COMMENT'", D55,"'" )</f>
      </c>
      <c r="G55" s="17"/>
      <c r="H55" s="33"/>
      <c r="I55" s="24"/>
      <c r="J55" s="24"/>
      <c r="K55" s="24"/>
      <c r="L55" s="24"/>
      <c r="M55" s="24"/>
      <c r="N55" s="24"/>
    </row>
    <row r="56">
      <c r="A56" s="23">
        <v>54</v>
      </c>
      <c r="B56" s="15" t="str">
        <v>营销费用源表-天猫-引力魔方-业务计划</v>
      </c>
      <c r="C56" s="50" t="str">
        <v>repeat_customer_cost</v>
      </c>
      <c r="D56" s="26" t="str">
        <v>复购人群获客成本</v>
      </c>
      <c r="E56" s="17" t="str">
        <v>DECIMAL(30, 8)</v>
      </c>
      <c r="F56" s="23">
        <f>CONCAT(",",C56,"   ",E56,"   COMMENT'", D56,"'" )</f>
      </c>
      <c r="G56" s="17"/>
      <c r="H56" s="33"/>
      <c r="I56" s="24"/>
      <c r="J56" s="24"/>
      <c r="K56" s="24"/>
      <c r="L56" s="24"/>
      <c r="M56" s="24"/>
      <c r="N56" s="24"/>
    </row>
    <row r="57">
      <c r="A57" s="23">
        <v>55</v>
      </c>
      <c r="B57" s="15" t="str">
        <v>营销费用源表-天猫-引力魔方-业务计划</v>
      </c>
      <c r="C57" s="50" t="str">
        <v>repeat_customer_conv_rate</v>
      </c>
      <c r="D57" s="26" t="str">
        <v>复购人群流转率</v>
      </c>
      <c r="E57" s="23" t="str">
        <v>STRING</v>
      </c>
      <c r="F57" s="23">
        <f>CONCAT(",",C57,"   ",E57,"   COMMENT'", D57,"'" )</f>
      </c>
      <c r="G57" s="17"/>
      <c r="H57" s="33"/>
      <c r="I57" s="24"/>
      <c r="J57" s="24"/>
      <c r="K57" s="24"/>
      <c r="L57" s="24"/>
      <c r="M57" s="24"/>
      <c r="N57" s="24"/>
    </row>
    <row r="58">
      <c r="A58" s="23">
        <v>56</v>
      </c>
      <c r="B58" s="15" t="str">
        <v>营销费用源表-天猫-引力魔方-业务计划</v>
      </c>
      <c r="C58" s="50" t="str">
        <v>transaction_cost</v>
      </c>
      <c r="D58" s="26" t="str">
        <v>成交成本</v>
      </c>
      <c r="E58" s="17" t="str">
        <v>DECIMAL(30, 8)</v>
      </c>
      <c r="F58" s="23">
        <f>CONCAT(",",C58,"   ",E58,"   COMMENT'", D58,"'" )</f>
      </c>
      <c r="G58" s="17"/>
      <c r="H58" s="33"/>
      <c r="I58" s="24"/>
      <c r="J58" s="24"/>
      <c r="K58" s="24"/>
      <c r="L58" s="24"/>
      <c r="M58" s="24"/>
      <c r="N58" s="24"/>
    </row>
    <row r="59">
      <c r="A59" s="23">
        <v>57</v>
      </c>
      <c r="B59" s="15" t="str">
        <v>营销费用源表-天猫-引力魔方-业务计划</v>
      </c>
      <c r="C59" s="50" t="str">
        <v>organic_impression_count</v>
      </c>
      <c r="D59" s="26" t="str">
        <v>自然流量曝光量</v>
      </c>
      <c r="E59" s="23" t="str">
        <v>STRING</v>
      </c>
      <c r="F59" s="23">
        <f>CONCAT(",",C59,"   ",E59,"   COMMENT'", D59,"'" )</f>
      </c>
      <c r="G59" s="17"/>
      <c r="H59" s="33"/>
      <c r="I59" s="24"/>
      <c r="J59" s="24"/>
      <c r="K59" s="24"/>
      <c r="L59" s="24"/>
      <c r="M59" s="24"/>
      <c r="N59" s="24"/>
    </row>
    <row r="60">
      <c r="A60" s="23">
        <v>58</v>
      </c>
      <c r="B60" s="15" t="str">
        <v>营销费用源表-天猫-引力魔方-业务计划</v>
      </c>
      <c r="C60" s="50" t="str">
        <v>general_conversion_value</v>
      </c>
      <c r="D60" s="26" t="str">
        <v>广义转化金额</v>
      </c>
      <c r="E60" s="17" t="str">
        <v>DECIMAL(30, 8)</v>
      </c>
      <c r="F60" s="23">
        <f>CONCAT(",",C60,"   ",E60,"   COMMENT'", D60,"'" )</f>
      </c>
      <c r="G60" s="17"/>
      <c r="H60" s="33"/>
      <c r="I60" s="24"/>
      <c r="J60" s="24"/>
      <c r="K60" s="24"/>
      <c r="L60" s="24"/>
      <c r="M60" s="24"/>
      <c r="N60" s="24"/>
    </row>
    <row r="61">
      <c r="A61" s="23">
        <v>59</v>
      </c>
      <c r="B61" s="15" t="str">
        <v>营销费用源表-天猫-引力魔方-业务计划</v>
      </c>
      <c r="C61" s="50" t="str">
        <v>general_return_on_ad_spend</v>
      </c>
      <c r="D61" s="26" t="str">
        <v>广义投入产出比</v>
      </c>
      <c r="E61" s="23" t="str">
        <v>STRING</v>
      </c>
      <c r="F61" s="23">
        <f>CONCAT(",",C61,"   ",E61,"   COMMENT'", D61,"'" )</f>
      </c>
      <c r="G61" s="17"/>
      <c r="H61" s="33"/>
      <c r="I61" s="24"/>
      <c r="J61" s="24"/>
      <c r="K61" s="24"/>
      <c r="L61" s="24"/>
      <c r="M61" s="24"/>
      <c r="N61" s="24"/>
    </row>
    <row r="62">
      <c r="A62" s="23">
        <v>60</v>
      </c>
      <c r="B62" s="15" t="str">
        <v>营销费用源表-天猫-引力魔方-业务计划</v>
      </c>
      <c r="C62" s="50" t="str">
        <v>organic_conversion_value</v>
      </c>
      <c r="D62" s="26" t="str">
        <v>自然流量转化金额</v>
      </c>
      <c r="E62" s="17" t="str">
        <v>DECIMAL(30, 8)</v>
      </c>
      <c r="F62" s="23">
        <f>CONCAT(",",C62,"   ",E62,"   COMMENT'", D62,"'" )</f>
      </c>
      <c r="G62" s="17"/>
      <c r="H62" s="33"/>
      <c r="I62" s="24"/>
      <c r="J62" s="24"/>
      <c r="K62" s="24"/>
      <c r="L62" s="24"/>
      <c r="M62" s="24"/>
      <c r="N62" s="24"/>
    </row>
    <row r="63">
      <c r="D63" s="3"/>
      <c r="F63" s="23">
        <f>LEN(C63)</f>
      </c>
    </row>
    <row r="64">
      <c r="A64" s="27" t="str">
        <v>日期</v>
      </c>
      <c r="B64" s="27" t="str">
        <v>date</v>
      </c>
      <c r="C64" s="27" t="str">
        <v>date</v>
      </c>
      <c r="D64" s="28" t="str">
        <v>-</v>
      </c>
    </row>
    <row r="65">
      <c r="A65" s="27" t="str">
        <v>计划组</v>
      </c>
      <c r="B65" s="27" t="str">
        <v>ad_group</v>
      </c>
      <c r="C65" s="27" t="str">
        <v>string</v>
      </c>
      <c r="D65" s="28">
        <v>255</v>
      </c>
    </row>
    <row r="66">
      <c r="A66" s="27" t="str">
        <v>计划</v>
      </c>
      <c r="B66" s="27" t="str">
        <v>campaign</v>
      </c>
      <c r="C66" s="27" t="str">
        <v>string</v>
      </c>
      <c r="D66" s="28">
        <v>255</v>
      </c>
    </row>
    <row r="67">
      <c r="A67" s="27" t="str">
        <v>主体类型</v>
      </c>
      <c r="B67" s="27" t="str">
        <v>subject_type</v>
      </c>
      <c r="C67" s="27" t="str">
        <v>string</v>
      </c>
      <c r="D67" s="28">
        <v>255</v>
      </c>
    </row>
    <row r="68">
      <c r="A68" s="27" t="str">
        <v>主体名称</v>
      </c>
      <c r="B68" s="27" t="str">
        <v>subject_name</v>
      </c>
      <c r="C68" s="27" t="str">
        <v>string</v>
      </c>
      <c r="D68" s="28">
        <v>255</v>
      </c>
    </row>
    <row r="69">
      <c r="A69" s="27" t="str">
        <v>商品id</v>
      </c>
      <c r="B69" s="27" t="str">
        <v>product_id</v>
      </c>
      <c r="C69" s="27" t="str">
        <v>string</v>
      </c>
      <c r="D69" s="28">
        <v>255</v>
      </c>
    </row>
    <row r="70">
      <c r="A70" s="27" t="str">
        <v>花费</v>
      </c>
      <c r="B70" s="27" t="str">
        <v>cost</v>
      </c>
      <c r="C70" s="27" t="str">
        <v>decimal</v>
      </c>
      <c r="D70" s="28" t="str">
        <v>-</v>
      </c>
    </row>
    <row r="71">
      <c r="A71" s="27" t="str">
        <v>展现量</v>
      </c>
      <c r="B71" s="27" t="str">
        <v>impressions</v>
      </c>
      <c r="C71" s="27" t="str">
        <v>int</v>
      </c>
      <c r="D71" s="28" t="str">
        <v>-</v>
      </c>
    </row>
    <row r="72">
      <c r="A72" s="27" t="str">
        <v>点击量</v>
      </c>
      <c r="B72" s="27" t="str">
        <v>clicks</v>
      </c>
      <c r="C72" s="27" t="str">
        <v>int</v>
      </c>
      <c r="D72" s="28" t="str">
        <v>-</v>
      </c>
    </row>
    <row r="73">
      <c r="A73" s="27" t="str">
        <v>点击率</v>
      </c>
      <c r="B73" s="27" t="str">
        <v>ctr</v>
      </c>
      <c r="C73" s="27" t="str">
        <v>decimal</v>
      </c>
      <c r="D73" s="28" t="str">
        <v>-</v>
      </c>
    </row>
    <row r="74">
      <c r="A74" s="27" t="str">
        <v>千次展现成本</v>
      </c>
      <c r="B74" s="27" t="str">
        <v>cpm</v>
      </c>
      <c r="C74" s="27" t="str">
        <v>decimal</v>
      </c>
      <c r="D74" s="28" t="str">
        <v>-</v>
      </c>
    </row>
    <row r="75">
      <c r="A75" s="27" t="str">
        <v>点击成本</v>
      </c>
      <c r="B75" s="27" t="str">
        <v>cpc</v>
      </c>
      <c r="C75" s="27" t="str">
        <v>decimal</v>
      </c>
      <c r="D75" s="28" t="str">
        <v>-</v>
      </c>
    </row>
    <row r="76">
      <c r="A76" s="27" t="str">
        <v>引导访问量</v>
      </c>
      <c r="B76" s="27" t="str">
        <v>guide_visits</v>
      </c>
      <c r="C76" s="27" t="str">
        <v>int</v>
      </c>
      <c r="D76" s="28" t="str">
        <v>-</v>
      </c>
    </row>
    <row r="77">
      <c r="A77" s="27" t="str">
        <v>引导访问人数</v>
      </c>
      <c r="B77" s="27" t="str">
        <v>guide_visitors</v>
      </c>
      <c r="C77" s="27" t="str">
        <v>int</v>
      </c>
      <c r="D77" s="28" t="str">
        <v>-</v>
      </c>
    </row>
    <row r="78">
      <c r="A78" s="27" t="str">
        <v>引导访问潜客数</v>
      </c>
      <c r="B78" s="27" t="str">
        <v>guide_leads</v>
      </c>
      <c r="C78" s="27" t="str">
        <v>int</v>
      </c>
      <c r="D78" s="28" t="str">
        <v>-</v>
      </c>
    </row>
    <row r="79">
      <c r="A79" s="27" t="str">
        <v>引导访问潜客占比</v>
      </c>
      <c r="B79" s="27" t="str">
        <v>guide_lead_rate</v>
      </c>
      <c r="C79" s="27" t="str">
        <v>decimal</v>
      </c>
      <c r="D79" s="28" t="str">
        <v>-</v>
      </c>
    </row>
    <row r="80">
      <c r="A80" s="27" t="str">
        <v>引导访问率</v>
      </c>
      <c r="B80" s="27" t="str">
        <v>guide_visit_rate</v>
      </c>
      <c r="C80" s="27" t="str">
        <v>decimal</v>
      </c>
      <c r="D80" s="28" t="str">
        <v>-</v>
      </c>
    </row>
    <row r="81">
      <c r="A81" s="27" t="str">
        <v>深度访问量</v>
      </c>
      <c r="B81" s="27" t="str">
        <v>deep_visits</v>
      </c>
      <c r="C81" s="27" t="str">
        <v>int</v>
      </c>
      <c r="D81" s="28" t="str">
        <v>-</v>
      </c>
    </row>
    <row r="82">
      <c r="A82" s="27" t="str">
        <v>平均访问页面数</v>
      </c>
      <c r="B82" s="27" t="str">
        <v>avg_pageviews</v>
      </c>
      <c r="C82" s="27" t="str">
        <v>decimal</v>
      </c>
      <c r="D82" s="28" t="str">
        <v>-</v>
      </c>
    </row>
    <row r="83">
      <c r="A83" s="27" t="str">
        <v>订阅店铺数</v>
      </c>
      <c r="B83" s="27" t="str">
        <v>subscribed_stores</v>
      </c>
      <c r="C83" s="27" t="str">
        <v>int</v>
      </c>
      <c r="D83" s="28" t="str">
        <v>-</v>
      </c>
    </row>
    <row r="84">
      <c r="A84" s="27" t="str">
        <v>回搜量</v>
      </c>
      <c r="B84" s="27" t="str">
        <v>search_back</v>
      </c>
      <c r="C84" s="27" t="str">
        <v>int</v>
      </c>
      <c r="D84" s="28" t="str">
        <v>-</v>
      </c>
    </row>
    <row r="85">
      <c r="A85" s="27" t="str">
        <v>回访量</v>
      </c>
      <c r="B85" s="27" t="str">
        <v>visit_back</v>
      </c>
      <c r="C85" s="27" t="str">
        <v>int</v>
      </c>
      <c r="D85" s="28" t="str">
        <v>-</v>
      </c>
    </row>
    <row r="86">
      <c r="A86" s="27" t="str">
        <v>回搜成本</v>
      </c>
      <c r="B86" s="27" t="str">
        <v>search_back_cost</v>
      </c>
      <c r="C86" s="27" t="str">
        <v>decimal</v>
      </c>
      <c r="D86" s="28" t="str">
        <v>-</v>
      </c>
    </row>
    <row r="87">
      <c r="A87" s="27" t="str">
        <v>回访成本</v>
      </c>
      <c r="B87" s="27" t="str">
        <v>visit_back_cost</v>
      </c>
      <c r="C87" s="27" t="str">
        <v>decimal</v>
      </c>
      <c r="D87" s="28" t="str">
        <v>-</v>
      </c>
    </row>
    <row r="88">
      <c r="A88" s="27" t="str">
        <v>平均深度访问时长</v>
      </c>
      <c r="B88" s="27" t="str">
        <v>avg_deep_visit_time</v>
      </c>
      <c r="C88" s="27" t="str">
        <v>decimal</v>
      </c>
      <c r="D88" s="28" t="str">
        <v>-</v>
      </c>
    </row>
    <row r="89">
      <c r="A89" s="27" t="str">
        <v>兴趣新客增量</v>
      </c>
      <c r="B89" s="27" t="str">
        <v>interest_new_customers</v>
      </c>
      <c r="C89" s="27" t="str">
        <v>int</v>
      </c>
      <c r="D89" s="28" t="str">
        <v>-</v>
      </c>
    </row>
    <row r="90">
      <c r="A90" s="27" t="str">
        <v>收藏宝贝数</v>
      </c>
      <c r="B90" s="27" t="str">
        <v>item_favorites</v>
      </c>
      <c r="C90" s="27" t="str">
        <v>int</v>
      </c>
      <c r="D90" s="28" t="str">
        <v>-</v>
      </c>
    </row>
    <row r="91">
      <c r="A91" s="27" t="str">
        <v>添加购物车数</v>
      </c>
      <c r="B91" s="27" t="str">
        <v>add_to_cart</v>
      </c>
      <c r="C91" s="27" t="str">
        <v>int</v>
      </c>
      <c r="D91" s="28" t="str">
        <v>-</v>
      </c>
    </row>
    <row r="92">
      <c r="A92" s="27" t="str">
        <v>拍下订单笔数</v>
      </c>
      <c r="B92" s="27" t="str">
        <v>place_order</v>
      </c>
      <c r="C92" s="27" t="str">
        <v>int</v>
      </c>
      <c r="D92" s="28" t="str">
        <v>-</v>
      </c>
    </row>
    <row r="93">
      <c r="A93" s="27" t="str">
        <v>拍下订单金额</v>
      </c>
      <c r="B93" s="27" t="str">
        <v>order_amount</v>
      </c>
      <c r="C93" s="27" t="str">
        <v>decimal</v>
      </c>
      <c r="D93" s="28" t="str">
        <v>-</v>
      </c>
    </row>
    <row r="94">
      <c r="A94" s="27" t="str">
        <v>预售成交笔数</v>
      </c>
      <c r="B94" s="27" t="str">
        <v>presell_deals</v>
      </c>
      <c r="C94" s="27" t="str">
        <v>int</v>
      </c>
      <c r="D94" s="28" t="str">
        <v>-</v>
      </c>
    </row>
    <row r="95">
      <c r="A95" s="27" t="str">
        <v>预售成交金额</v>
      </c>
      <c r="B95" s="27" t="str">
        <v>presell_amount</v>
      </c>
      <c r="C95" s="27" t="str">
        <v>decimal</v>
      </c>
      <c r="D95" s="28" t="str">
        <v>-</v>
      </c>
    </row>
    <row r="96">
      <c r="A96" s="27" t="str">
        <v>购物金充值金额</v>
      </c>
      <c r="B96" s="27" t="str">
        <v>prepaid_amount</v>
      </c>
      <c r="C96" s="27" t="str">
        <v>decimal</v>
      </c>
      <c r="D96" s="28" t="str">
        <v>-</v>
      </c>
    </row>
    <row r="97">
      <c r="A97" s="27" t="str">
        <v>购物金充值笔数</v>
      </c>
      <c r="B97" s="27" t="str">
        <v>prepaid_orders</v>
      </c>
      <c r="C97" s="27" t="str">
        <v>int</v>
      </c>
      <c r="D97" s="28" t="str">
        <v>-</v>
      </c>
    </row>
    <row r="98">
      <c r="A98" s="27" t="str">
        <v>宝贝收藏加购数</v>
      </c>
      <c r="B98" s="27" t="str">
        <v>item_fav_cart</v>
      </c>
      <c r="C98" s="27" t="str">
        <v>int</v>
      </c>
      <c r="D98" s="28" t="str">
        <v>-</v>
      </c>
    </row>
    <row r="99">
      <c r="A99" s="27" t="str">
        <v>宝贝收藏加购成本</v>
      </c>
      <c r="B99" s="27" t="str">
        <v>item_fav_cart_cost</v>
      </c>
      <c r="C99" s="27" t="str">
        <v>decimal</v>
      </c>
      <c r="D99" s="28" t="str">
        <v>-</v>
      </c>
    </row>
    <row r="100">
      <c r="A100" s="27" t="str">
        <v>成交笔数</v>
      </c>
      <c r="B100" s="27" t="str">
        <v>deals</v>
      </c>
      <c r="C100" s="27" t="str">
        <v>int</v>
      </c>
      <c r="D100" s="28" t="str">
        <v>-</v>
      </c>
    </row>
    <row r="101">
      <c r="A101" s="27" t="str">
        <v>成交金额</v>
      </c>
      <c r="B101" s="27" t="str">
        <v>amount</v>
      </c>
      <c r="C101" s="27" t="str">
        <v>decimal</v>
      </c>
      <c r="D101" s="28" t="str">
        <v>-</v>
      </c>
    </row>
    <row r="102">
      <c r="A102" s="27" t="str">
        <v>展现转化率</v>
      </c>
      <c r="B102" s="27" t="str">
        <v>impression_conversion</v>
      </c>
      <c r="C102" s="27" t="str">
        <v>decimal</v>
      </c>
      <c r="D102" s="28" t="str">
        <v>-</v>
      </c>
    </row>
    <row r="103">
      <c r="A103" s="27" t="str">
        <v>点击转化率</v>
      </c>
      <c r="B103" s="27" t="str">
        <v>click_conversion</v>
      </c>
      <c r="C103" s="27" t="str">
        <v>decimal</v>
      </c>
      <c r="D103" s="28" t="str">
        <v>-</v>
      </c>
    </row>
    <row r="104">
      <c r="A104" s="27" t="str">
        <v>投入产出比</v>
      </c>
      <c r="B104" s="27" t="str">
        <v>roi</v>
      </c>
      <c r="C104" s="27" t="str">
        <v>decimal</v>
      </c>
      <c r="D104" s="28" t="str">
        <v>-</v>
      </c>
    </row>
    <row r="105">
      <c r="A105" s="27" t="str">
        <v>首购人群增量</v>
      </c>
      <c r="B105" s="27" t="str">
        <v>first_purchase_customers</v>
      </c>
      <c r="C105" s="27" t="str">
        <v>int</v>
      </c>
      <c r="D105" s="28" t="str">
        <v>-</v>
      </c>
    </row>
    <row r="106">
      <c r="A106" s="27" t="str">
        <v>潜新客曝光UV占比</v>
      </c>
      <c r="B106" s="27" t="str">
        <v>new_customer_exposure_uv_rate</v>
      </c>
      <c r="C106" s="27" t="str">
        <v>decimal</v>
      </c>
      <c r="D106" s="28" t="str">
        <v>-</v>
      </c>
    </row>
    <row r="107">
      <c r="A107" s="27" t="str">
        <v>行业曝光独占率</v>
      </c>
      <c r="B107" s="27" t="str">
        <v>industry_exposure_rate</v>
      </c>
      <c r="C107" s="27" t="str">
        <v>decimal</v>
      </c>
      <c r="D107" s="28" t="str">
        <v>-</v>
      </c>
    </row>
    <row r="108">
      <c r="A108" s="48" t="str">
        <v>行业首次触达率</v>
      </c>
      <c r="B108" s="48" t="str">
        <v>industry_first_touch_rate</v>
      </c>
      <c r="C108" s="48" t="str">
        <v>float</v>
      </c>
      <c r="D108" s="49" t="str">
        <v>-</v>
      </c>
    </row>
    <row r="109">
      <c r="A109" s="48" t="str">
        <v>兴趣新客获客成本</v>
      </c>
      <c r="B109" s="48" t="str">
        <v>interest_new_customer_acquisition_cost</v>
      </c>
      <c r="C109" s="48" t="str">
        <v>float</v>
      </c>
      <c r="D109" s="49" t="str">
        <v>-</v>
      </c>
    </row>
    <row r="110">
      <c r="A110" s="48" t="str">
        <v>兴趣新客转化率</v>
      </c>
      <c r="B110" s="48" t="str">
        <v>interest_new_customer_conversion_rate</v>
      </c>
      <c r="C110" s="48" t="str">
        <v>float</v>
      </c>
      <c r="D110" s="49" t="str">
        <v>-</v>
      </c>
    </row>
    <row r="111">
      <c r="A111" s="48" t="str">
        <v>首购人群获客成本</v>
      </c>
      <c r="B111" s="48" t="str">
        <v>first_purchase_customer_acquisition_cost</v>
      </c>
      <c r="C111" s="48" t="str">
        <v>float</v>
      </c>
      <c r="D111" s="49" t="str">
        <v>-</v>
      </c>
    </row>
    <row r="112">
      <c r="A112" s="48" t="str">
        <v>首购人群转化率</v>
      </c>
      <c r="B112" s="48" t="str">
        <v>first_purchase_customer_conversion_rate</v>
      </c>
      <c r="C112" s="48" t="str">
        <v>float</v>
      </c>
      <c r="D112" s="49" t="str">
        <v>-</v>
      </c>
    </row>
    <row r="113">
      <c r="A113" s="48" t="str">
        <v>访问新客增量</v>
      </c>
      <c r="B113" s="48" t="str">
        <v>new_visitor_count</v>
      </c>
      <c r="C113" s="48" t="str">
        <v>int</v>
      </c>
      <c r="D113" s="49" t="str">
        <v>-</v>
      </c>
    </row>
    <row r="114">
      <c r="A114" s="48" t="str">
        <v>访问新客获客成本</v>
      </c>
      <c r="B114" s="48" t="str">
        <v>new_visitor_acquisition_cost</v>
      </c>
      <c r="C114" s="48" t="str">
        <v>float</v>
      </c>
      <c r="D114" s="49" t="str">
        <v>-</v>
      </c>
    </row>
    <row r="115">
      <c r="A115" s="48" t="str">
        <v>访问新客流转率</v>
      </c>
      <c r="B115" s="48" t="str">
        <v>new_visitor_conversion_rate</v>
      </c>
      <c r="C115" s="48" t="str">
        <v>float</v>
      </c>
      <c r="D115" s="49" t="str">
        <v>-</v>
      </c>
    </row>
    <row r="116">
      <c r="A116" s="48" t="str">
        <v>复购人群增量</v>
      </c>
      <c r="B116" s="48" t="str">
        <v>repeat_customer_count</v>
      </c>
      <c r="C116" s="48" t="str">
        <v>int</v>
      </c>
      <c r="D116" s="49" t="str">
        <v>-</v>
      </c>
    </row>
    <row r="117">
      <c r="A117" s="48" t="str">
        <v>复购人群获客成本</v>
      </c>
      <c r="B117" s="48" t="str">
        <v>repeat_customer_acquisition_cost</v>
      </c>
      <c r="C117" s="48" t="str">
        <v>float</v>
      </c>
      <c r="D117" s="49" t="str">
        <v>-</v>
      </c>
    </row>
    <row r="118">
      <c r="A118" s="48" t="str">
        <v>复购人群流转率</v>
      </c>
      <c r="B118" s="48" t="str">
        <v>repeat_customer_conversion_rate</v>
      </c>
      <c r="C118" s="48" t="str">
        <v>float</v>
      </c>
      <c r="D118" s="49" t="str">
        <v>-</v>
      </c>
    </row>
    <row r="119">
      <c r="A119" s="48" t="str">
        <v>成交成本</v>
      </c>
      <c r="B119" s="48" t="str">
        <v>transaction_cost</v>
      </c>
      <c r="C119" s="48" t="str">
        <v>float</v>
      </c>
      <c r="D119" s="49" t="str">
        <v>-</v>
      </c>
    </row>
    <row r="120">
      <c r="A120" s="48" t="str">
        <v>自然流量曝光量</v>
      </c>
      <c r="B120" s="48" t="str">
        <v>organic_impression_count</v>
      </c>
      <c r="C120" s="48" t="str">
        <v>int</v>
      </c>
      <c r="D120" s="49" t="str">
        <v>-</v>
      </c>
    </row>
    <row r="121">
      <c r="A121" s="48" t="str">
        <v>广义转化金额</v>
      </c>
      <c r="B121" s="48" t="str">
        <v>general_conversion_value</v>
      </c>
      <c r="C121" s="48" t="str">
        <v>float</v>
      </c>
      <c r="D121" s="49" t="str">
        <v>-</v>
      </c>
    </row>
    <row r="122">
      <c r="A122" s="48" t="str">
        <v>广义投入产出比</v>
      </c>
      <c r="B122" s="48" t="str">
        <v>general_return_on_ad_spend</v>
      </c>
      <c r="C122" s="48" t="str">
        <v>float</v>
      </c>
      <c r="D122" s="49" t="str">
        <v>-</v>
      </c>
    </row>
    <row r="123">
      <c r="A123" s="48" t="str">
        <v>自然流量转化金额</v>
      </c>
      <c r="B123" s="48" t="str">
        <v>organic_conversion_value</v>
      </c>
      <c r="C123" s="48" t="str">
        <v>float</v>
      </c>
      <c r="D123" s="49" t="str">
        <v>-</v>
      </c>
    </row>
  </sheetData>
  <mergeCells>
    <mergeCell ref="A1:H1"/>
    <mergeCell ref="I1:N1"/>
  </mergeCells>
  <picture r:id="rId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15" t="str">
        <v>营销费用源表-天猫-引力魔方-资金流水</v>
      </c>
      <c r="C3" s="25" t="str">
        <v>account_time</v>
      </c>
      <c r="D3" s="26" t="str">
        <v>记账时间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23">
        <v>2</v>
      </c>
      <c r="B4" s="15" t="str">
        <v>营销费用源表-天猫-引力魔方-资金流水</v>
      </c>
      <c r="C4" s="25" t="str">
        <v>transaction_date</v>
      </c>
      <c r="D4" s="26" t="str">
        <v>交易日期</v>
      </c>
      <c r="E4" s="23" t="str">
        <v>STRING</v>
      </c>
      <c r="F4" s="23">
        <f>CONCAT(",",C4,"   ",E4,"   COMMENT'", D4,"'" )</f>
      </c>
      <c r="G4" s="17"/>
      <c r="H4" s="17"/>
      <c r="I4" s="17"/>
      <c r="J4" s="17"/>
      <c r="K4" s="17"/>
      <c r="L4" s="17"/>
      <c r="M4" s="17"/>
      <c r="N4" s="17"/>
    </row>
    <row r="5">
      <c r="A5" s="23">
        <v>3</v>
      </c>
      <c r="B5" s="15" t="str">
        <v>营销费用源表-天猫-引力魔方-资金流水</v>
      </c>
      <c r="C5" s="25" t="str">
        <v>transaction_type</v>
      </c>
      <c r="D5" s="26" t="str">
        <v>收支类型</v>
      </c>
      <c r="E5" s="23" t="str">
        <v>STRING</v>
      </c>
      <c r="F5" s="23">
        <f>CONCAT(",",C5,"   ",E5,"   COMMENT'", D5,"'" )</f>
      </c>
      <c r="G5" s="17"/>
      <c r="H5" s="17"/>
      <c r="I5" s="17"/>
      <c r="J5" s="17"/>
      <c r="K5" s="17"/>
      <c r="L5" s="17"/>
      <c r="M5" s="17"/>
      <c r="N5" s="17"/>
    </row>
    <row r="6">
      <c r="A6" s="23">
        <v>4</v>
      </c>
      <c r="B6" s="15" t="str">
        <v>营销费用源表-天猫-引力魔方-资金流水</v>
      </c>
      <c r="C6" s="25" t="str">
        <v>transaction_category</v>
      </c>
      <c r="D6" s="26" t="str">
        <v>交易类型</v>
      </c>
      <c r="E6" s="23" t="str">
        <v>STRING</v>
      </c>
      <c r="F6" s="23">
        <f>CONCAT(",",C6,"   ",E6,"   COMMENT'", D6,"'" )</f>
      </c>
      <c r="G6" s="17"/>
      <c r="H6" s="17"/>
      <c r="I6" s="17"/>
      <c r="J6" s="17"/>
      <c r="K6" s="17"/>
      <c r="L6" s="17"/>
      <c r="M6" s="17"/>
      <c r="N6" s="17"/>
    </row>
    <row r="7">
      <c r="A7" s="23">
        <v>5</v>
      </c>
      <c r="B7" s="15" t="str">
        <v>营销费用源表-天猫-引力魔方-资金流水</v>
      </c>
      <c r="C7" s="25" t="str">
        <v>transaction_amount</v>
      </c>
      <c r="D7" s="26" t="str">
        <v>操作金额(元)</v>
      </c>
      <c r="E7" s="17" t="str">
        <v>DECIMAL(30, 8)</v>
      </c>
      <c r="F7" s="23">
        <f>CONCAT(",",C7,"   ",E7,"   COMMENT'", D7,"'" )</f>
      </c>
      <c r="G7" s="17"/>
      <c r="H7" s="17"/>
      <c r="I7" s="17"/>
      <c r="J7" s="17"/>
      <c r="K7" s="17"/>
      <c r="L7" s="17"/>
      <c r="M7" s="17"/>
      <c r="N7" s="17"/>
    </row>
    <row r="8">
      <c r="A8" s="23">
        <v>6</v>
      </c>
      <c r="B8" s="15" t="str">
        <v>营销费用源表-天猫-引力魔方-资金流水</v>
      </c>
      <c r="C8" s="25" t="str">
        <v>remaining_balance</v>
      </c>
      <c r="D8" s="26" t="str">
        <v>操作后余额(元)</v>
      </c>
      <c r="E8" s="17" t="str">
        <v>DECIMAL(30, 8)</v>
      </c>
      <c r="F8" s="23">
        <f>CONCAT(",",C8,"   ",E8,"   COMMENT'", D8,"'" )</f>
      </c>
      <c r="G8" s="17"/>
      <c r="H8" s="17"/>
      <c r="I8" s="17"/>
      <c r="J8" s="17"/>
      <c r="K8" s="17"/>
      <c r="L8" s="17"/>
      <c r="M8" s="17"/>
      <c r="N8" s="17"/>
    </row>
    <row r="9">
      <c r="A9" s="23">
        <v>7</v>
      </c>
      <c r="B9" s="15" t="str">
        <v>营销费用源表-天猫-引力魔方-资金流水</v>
      </c>
      <c r="C9" s="17" t="str">
        <v>remark</v>
      </c>
      <c r="D9" s="26" t="str">
        <v>备注</v>
      </c>
      <c r="E9" s="23" t="str">
        <v>STRING</v>
      </c>
      <c r="F9" s="23">
        <f>CONCAT(",",C9,"   ",E9,"   COMMENT'", D9,"'" )</f>
      </c>
      <c r="G9" s="17"/>
      <c r="H9" s="17"/>
      <c r="I9" s="17"/>
      <c r="J9" s="17"/>
      <c r="K9" s="17"/>
      <c r="L9" s="17"/>
      <c r="M9" s="17"/>
      <c r="N9" s="17"/>
    </row>
    <row r="10"/>
    <row r="11"/>
    <row r="12">
      <c r="A12" s="27" t="str">
        <v>记账时间</v>
      </c>
      <c r="B12" s="27" t="str">
        <v>record_time</v>
      </c>
      <c r="C12" s="27" t="str">
        <v>时间戳</v>
      </c>
      <c r="D12" s="27" t="str">
        <v>-</v>
      </c>
      <c r="E12" s="28" t="str">
        <v>记账记录的时间</v>
      </c>
    </row>
    <row r="13">
      <c r="A13" s="27" t="str">
        <v>交易日期</v>
      </c>
      <c r="B13" s="27" t="str">
        <v>transaction_date</v>
      </c>
      <c r="C13" s="27" t="str">
        <v>日期</v>
      </c>
      <c r="D13" s="27" t="str">
        <v>-</v>
      </c>
      <c r="E13" s="28" t="str">
        <v>交易发生的日期</v>
      </c>
    </row>
    <row r="14">
      <c r="A14" s="27" t="str">
        <v>收支类型</v>
      </c>
      <c r="B14" s="27" t="str">
        <v>transaction_type</v>
      </c>
      <c r="C14" s="27" t="str">
        <v>字符串</v>
      </c>
      <c r="D14" s="27">
        <v>10</v>
      </c>
      <c r="E14" s="28" t="str">
        <v>交易的收支类型，如支出、收入等</v>
      </c>
    </row>
    <row r="15">
      <c r="A15" s="27" t="str">
        <v>交易类型</v>
      </c>
      <c r="B15" s="27" t="str">
        <v>transaction_category</v>
      </c>
      <c r="C15" s="27" t="str">
        <v>字符串</v>
      </c>
      <c r="D15" s="27">
        <v>20</v>
      </c>
      <c r="E15" s="28" t="str">
        <v>交易的具体类型，如购物、退款、转账等</v>
      </c>
    </row>
    <row r="16">
      <c r="A16" s="27" t="str">
        <v>操作金额</v>
      </c>
      <c r="B16" s="27" t="str">
        <v>transaction_amount</v>
      </c>
      <c r="C16" s="27" t="str">
        <v>浮点数</v>
      </c>
      <c r="D16" s="27" t="str">
        <v>-</v>
      </c>
      <c r="E16" s="28" t="str">
        <v>交易的金额</v>
      </c>
    </row>
    <row r="17">
      <c r="A17" s="27" t="str">
        <v>操作后余额</v>
      </c>
      <c r="B17" s="27" t="str">
        <v>balance_after_transaction</v>
      </c>
      <c r="C17" s="27" t="str">
        <v>浮点数</v>
      </c>
      <c r="D17" s="27" t="str">
        <v>-</v>
      </c>
      <c r="E17" s="28" t="str">
        <v>交易后账户的余额</v>
      </c>
    </row>
    <row r="18">
      <c r="A18" s="27" t="str">
        <v>备注</v>
      </c>
      <c r="B18" s="27" t="str">
        <v>comment</v>
      </c>
      <c r="C18" s="27" t="str">
        <v>字符串</v>
      </c>
      <c r="D18" s="27">
        <v>100</v>
      </c>
      <c r="E18" s="28" t="str">
        <v>对交易的备注说明</v>
      </c>
    </row>
  </sheetData>
  <mergeCells>
    <mergeCell ref="I1:N1"/>
    <mergeCell ref="A1:H1"/>
  </mergeCells>
  <picture r:id="rId1"/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7" t="str">
        <v>数据模型属性定义</v>
      </c>
      <c r="B1" s="7"/>
      <c r="C1" s="7"/>
      <c r="D1" s="7"/>
      <c r="E1" s="7"/>
      <c r="F1" s="7"/>
      <c r="G1" s="7"/>
      <c r="H1" s="7"/>
      <c r="I1" s="8" t="str">
        <v>系统溯源分析</v>
      </c>
      <c r="J1" s="8"/>
      <c r="K1" s="8"/>
      <c r="L1" s="8"/>
      <c r="M1" s="8"/>
      <c r="N1" s="8"/>
    </row>
    <row r="2">
      <c r="A2" s="19" t="str">
        <v>序号</v>
      </c>
      <c r="B2" s="19" t="str">
        <v>模型名称</v>
      </c>
      <c r="C2" s="20" t="str">
        <v>字段</v>
      </c>
      <c r="D2" s="19" t="str">
        <v>字段描述</v>
      </c>
      <c r="E2" s="19" t="str">
        <v>字段类型</v>
      </c>
      <c r="F2" s="19" t="str">
        <v>字段长度</v>
      </c>
      <c r="G2" s="19" t="str">
        <v>是否主键</v>
      </c>
      <c r="H2" s="19" t="str">
        <v>字段备注</v>
      </c>
      <c r="I2" s="35" t="str">
        <v>数据来源系统</v>
      </c>
      <c r="J2" s="35" t="str">
        <v>数据来源表</v>
      </c>
      <c r="K2" s="35" t="str">
        <v>来源表描述</v>
      </c>
      <c r="L2" s="36" t="str">
        <v>来源字段</v>
      </c>
      <c r="M2" s="36" t="str">
        <v>来源字段描述</v>
      </c>
      <c r="N2" s="36" t="str">
        <v>备注</v>
      </c>
    </row>
    <row r="3">
      <c r="A3" s="23">
        <v>1</v>
      </c>
      <c r="B3" s="15" t="str">
        <v>营销费用源表-抖音-千川-其他</v>
      </c>
      <c r="C3" s="17" t="str">
        <v>cost_date</v>
      </c>
      <c r="D3" s="26" t="str">
        <v>日期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23">
        <v>2</v>
      </c>
      <c r="B4" s="15" t="str">
        <v>营销费用源表-抖音-千川-其他</v>
      </c>
      <c r="C4" s="17" t="str">
        <v>fund_type</v>
      </c>
      <c r="D4" s="26" t="str">
        <v>资金池类型</v>
      </c>
      <c r="E4" s="23" t="str">
        <v>STRING</v>
      </c>
      <c r="F4" s="23">
        <f>CONCAT(",",C4,"   ",E4,"   COMMENT'", D4,"'" )</f>
      </c>
      <c r="G4" s="17"/>
      <c r="H4" s="17"/>
      <c r="I4" s="24"/>
      <c r="J4" s="24"/>
      <c r="K4" s="24"/>
      <c r="L4" s="24"/>
      <c r="M4" s="24"/>
      <c r="N4" s="24"/>
    </row>
    <row r="5">
      <c r="A5" s="23">
        <v>3</v>
      </c>
      <c r="B5" s="15" t="str">
        <v>营销费用源表-抖音-千川-其他</v>
      </c>
      <c r="C5" s="17" t="str">
        <v>total_expenditure</v>
      </c>
      <c r="D5" s="26" t="str">
        <v>余额总消耗</v>
      </c>
      <c r="E5" s="17" t="str">
        <v>DECIMAL(30, 8)</v>
      </c>
      <c r="F5" s="23">
        <f>CONCAT(",",C5,"   ",E5,"   COMMENT'", D5,"'" )</f>
      </c>
      <c r="G5" s="17"/>
      <c r="H5" s="17"/>
      <c r="I5" s="24"/>
      <c r="J5" s="24"/>
      <c r="K5" s="24"/>
      <c r="L5" s="24"/>
      <c r="M5" s="24"/>
      <c r="N5" s="24"/>
    </row>
    <row r="6">
      <c r="A6" s="23">
        <v>4</v>
      </c>
      <c r="B6" s="15" t="str">
        <v>营销费用源表-抖音-千川-其他</v>
      </c>
      <c r="C6" s="17" t="str">
        <v>non_gift_expenditure</v>
      </c>
      <c r="D6" s="26" t="str">
        <v>非赠款消耗</v>
      </c>
      <c r="E6" s="17" t="str">
        <v>DECIMAL(30, 8)</v>
      </c>
      <c r="F6" s="23">
        <f>CONCAT(",",C6,"   ",E6,"   COMMENT'", D6,"'" )</f>
      </c>
      <c r="G6" s="17"/>
      <c r="H6" s="17"/>
      <c r="I6" s="24"/>
      <c r="J6" s="24"/>
      <c r="K6" s="24"/>
      <c r="L6" s="24"/>
      <c r="M6" s="24"/>
      <c r="N6" s="24"/>
    </row>
    <row r="7">
      <c r="A7" s="23">
        <v>5</v>
      </c>
      <c r="B7" s="15" t="str">
        <v>营销费用源表-抖音-千川-其他</v>
      </c>
      <c r="C7" s="17" t="str">
        <v>gift_expenditure</v>
      </c>
      <c r="D7" s="26" t="str">
        <v>赠款消耗</v>
      </c>
      <c r="E7" s="17" t="str">
        <v>DECIMAL(30, 8)</v>
      </c>
      <c r="F7" s="23">
        <f>CONCAT(",",C7,"   ",E7,"   COMMENT'", D7,"'" )</f>
      </c>
      <c r="G7" s="17"/>
      <c r="H7" s="17"/>
      <c r="I7" s="24"/>
      <c r="J7" s="24"/>
      <c r="K7" s="24"/>
      <c r="L7" s="24"/>
      <c r="M7" s="24"/>
      <c r="N7" s="24"/>
    </row>
    <row r="8">
      <c r="A8" s="23">
        <v>6</v>
      </c>
      <c r="B8" s="15" t="str">
        <v>营销费用源表-抖音-千川-其他</v>
      </c>
      <c r="C8" s="17" t="str">
        <v>rebate_expenditure</v>
      </c>
      <c r="D8" s="26" t="str">
        <v>消返红包消耗</v>
      </c>
      <c r="E8" s="17" t="str">
        <v>DECIMAL(30, 8)</v>
      </c>
      <c r="F8" s="23">
        <f>CONCAT(",",C8,"   ",E8,"   COMMENT'", D8,"'" )</f>
      </c>
      <c r="G8" s="17"/>
      <c r="H8" s="17"/>
      <c r="I8" s="24"/>
      <c r="J8" s="24"/>
      <c r="K8" s="24"/>
      <c r="L8" s="24"/>
      <c r="M8" s="24"/>
      <c r="N8" s="24"/>
    </row>
    <row r="9">
      <c r="A9" s="23">
        <v>7</v>
      </c>
      <c r="B9" s="15" t="str">
        <v>营销费用源表-抖音-千川-其他</v>
      </c>
      <c r="C9" s="17" t="str">
        <v>shared_gift_expenditure</v>
      </c>
      <c r="D9" s="26" t="str">
        <v>共享赠款消耗</v>
      </c>
      <c r="E9" s="17" t="str">
        <v>DECIMAL(30, 8)</v>
      </c>
      <c r="F9" s="23">
        <f>CONCAT(",",C9,"   ",E9,"   COMMENT'", D9,"'" )</f>
      </c>
      <c r="G9" s="17"/>
      <c r="H9" s="17"/>
      <c r="I9" s="24"/>
      <c r="J9" s="24"/>
      <c r="K9" s="24"/>
      <c r="L9" s="24"/>
      <c r="M9" s="24"/>
      <c r="N9" s="24"/>
    </row>
    <row r="10">
      <c r="A10" s="23">
        <v>8</v>
      </c>
      <c r="B10" s="15" t="str">
        <v>营销费用源表-抖音-千川-其他</v>
      </c>
      <c r="C10" s="17" t="str">
        <v>total_income</v>
      </c>
      <c r="D10" s="26" t="str">
        <v>总存入</v>
      </c>
      <c r="E10" s="17" t="str">
        <v>DECIMAL(30, 8)</v>
      </c>
      <c r="F10" s="23">
        <f>CONCAT(",",C10,"   ",E10,"   COMMENT'", D10,"'" )</f>
      </c>
      <c r="G10" s="17"/>
      <c r="H10" s="17"/>
      <c r="I10" s="24"/>
      <c r="J10" s="24"/>
      <c r="K10" s="24"/>
      <c r="L10" s="24"/>
      <c r="M10" s="24"/>
      <c r="N10" s="24"/>
    </row>
    <row r="11">
      <c r="A11" s="23">
        <v>9</v>
      </c>
      <c r="B11" s="15" t="str">
        <v>营销费用源表-抖音-千川-其他</v>
      </c>
      <c r="C11" s="17" t="str">
        <v>total_transfer_in</v>
      </c>
      <c r="D11" s="26" t="str">
        <v>总转入</v>
      </c>
      <c r="E11" s="17" t="str">
        <v>DECIMAL(30, 8)</v>
      </c>
      <c r="F11" s="23">
        <f>CONCAT(",",C11,"   ",E11,"   COMMENT'", D11,"'" )</f>
      </c>
      <c r="G11" s="17"/>
      <c r="H11" s="17"/>
      <c r="I11" s="24"/>
      <c r="J11" s="24"/>
      <c r="K11" s="24"/>
      <c r="L11" s="24"/>
      <c r="M11" s="24"/>
      <c r="N11" s="24"/>
    </row>
    <row r="12">
      <c r="A12" s="23">
        <v>10</v>
      </c>
      <c r="B12" s="15" t="str">
        <v>营销费用源表-抖音-千川-其他</v>
      </c>
      <c r="C12" s="17" t="str">
        <v>total_transfer_out</v>
      </c>
      <c r="D12" s="26" t="str">
        <v>总转出</v>
      </c>
      <c r="E12" s="17" t="str">
        <v>DECIMAL(30, 8)</v>
      </c>
      <c r="F12" s="23">
        <f>CONCAT(",",C12,"   ",E12,"   COMMENT'", D12,"'" )</f>
      </c>
      <c r="G12" s="17"/>
      <c r="H12" s="17"/>
      <c r="I12" s="24"/>
      <c r="J12" s="24"/>
      <c r="K12" s="24"/>
      <c r="L12" s="24"/>
      <c r="M12" s="24"/>
      <c r="N12" s="24"/>
    </row>
    <row r="13">
      <c r="A13" s="23">
        <v>11</v>
      </c>
      <c r="B13" s="15" t="str">
        <v>营销费用源表-抖音-千川-其他</v>
      </c>
      <c r="C13" s="17" t="str">
        <v>total_balance</v>
      </c>
      <c r="D13" s="26" t="str">
        <v>总余额</v>
      </c>
      <c r="E13" s="17" t="str">
        <v>DECIMAL(30, 8)</v>
      </c>
      <c r="F13" s="23">
        <f>CONCAT(",",C13,"   ",E13,"   COMMENT'", D13,"'" )</f>
      </c>
      <c r="G13" s="17"/>
      <c r="H13" s="17"/>
      <c r="I13" s="24"/>
      <c r="J13" s="24"/>
      <c r="K13" s="24"/>
      <c r="L13" s="24"/>
      <c r="M13" s="24"/>
      <c r="N13" s="24"/>
    </row>
    <row r="14">
      <c r="A14" s="23">
        <v>12</v>
      </c>
      <c r="B14" s="15" t="str">
        <v>营销费用源表-抖音-千川-其他</v>
      </c>
      <c r="C14" s="17" t="str">
        <v>gift_balance</v>
      </c>
      <c r="D14" s="53" t="str">
        <v>赠款余额</v>
      </c>
      <c r="E14" s="17" t="str">
        <v>DECIMAL(30, 8)</v>
      </c>
      <c r="F14" s="23">
        <f>CONCAT(",",C14,"   ",E14,"   COMMENT'", D14,"'" )</f>
      </c>
      <c r="G14" s="52"/>
      <c r="H14" s="52"/>
      <c r="I14" s="43"/>
      <c r="J14" s="43"/>
      <c r="K14" s="43"/>
      <c r="L14" s="43"/>
      <c r="M14" s="43"/>
      <c r="N14" s="43"/>
    </row>
    <row r="15">
      <c r="A15" s="15">
        <v>13</v>
      </c>
      <c r="B15" s="15" t="str">
        <v>营销费用源表-抖音-千川-其他</v>
      </c>
      <c r="C15" s="17" t="str">
        <v>non_gift_balance</v>
      </c>
      <c r="D15" s="26" t="str">
        <v>非赠款余额</v>
      </c>
      <c r="E15" s="17" t="str">
        <v>DECIMAL(30, 8)</v>
      </c>
      <c r="F15" s="23">
        <f>CONCAT(",",C15,"   ",E15,"   COMMENT'", D15,"'" )</f>
      </c>
      <c r="G15" s="17"/>
      <c r="H15" s="17"/>
      <c r="I15" s="24"/>
      <c r="J15" s="24"/>
      <c r="K15" s="24"/>
      <c r="L15" s="24"/>
      <c r="M15" s="24"/>
      <c r="N15" s="24"/>
    </row>
    <row r="16">
      <c r="A16" s="15">
        <v>14</v>
      </c>
      <c r="B16" s="15" t="str">
        <v>营销费用源表-抖音-千川-其他</v>
      </c>
      <c r="C16" s="17" t="str">
        <v>data_source</v>
      </c>
      <c r="D16" s="51" t="str">
        <v>数据来源</v>
      </c>
      <c r="E16" s="23" t="str">
        <v>STRING</v>
      </c>
      <c r="F16" s="23">
        <f>CONCAT(",",C16,"   ",E16,"   COMMENT'", D16,"'" )</f>
      </c>
      <c r="G16" s="17"/>
      <c r="H16" s="17" t="str">
        <v>新增字段，用于标记来源账号</v>
      </c>
      <c r="I16" s="17"/>
      <c r="J16" s="17"/>
      <c r="K16" s="17"/>
      <c r="L16" s="17"/>
      <c r="M16" s="17"/>
      <c r="N16" s="17"/>
    </row>
    <row r="17"/>
    <row r="18"/>
    <row r="19">
      <c r="A19" t="str">
        <v>日期</v>
      </c>
      <c r="B19" t="str">
        <v>date</v>
      </c>
      <c r="C19" t="str">
        <v>date</v>
      </c>
      <c r="D19" t="str">
        <v>-</v>
      </c>
    </row>
    <row r="20">
      <c r="A20" t="str">
        <v>资金池类型</v>
      </c>
      <c r="B20" t="str">
        <v>fund_type</v>
      </c>
      <c r="C20" t="str">
        <v>varchar</v>
      </c>
      <c r="D20">
        <v>50</v>
      </c>
    </row>
    <row r="21">
      <c r="A21" t="str">
        <v>余额总消耗</v>
      </c>
      <c r="B21" t="str">
        <v>total_expenditure</v>
      </c>
      <c r="C21" t="str">
        <v>decimal</v>
      </c>
      <c r="D21" t="str">
        <v>10,2</v>
      </c>
    </row>
    <row r="22">
      <c r="A22" t="str">
        <v>非赠款消耗</v>
      </c>
      <c r="B22" t="str">
        <v>non_gift_expenditure</v>
      </c>
      <c r="C22" t="str">
        <v>decimal</v>
      </c>
      <c r="D22" t="str">
        <v>10,2</v>
      </c>
    </row>
    <row r="23">
      <c r="A23" t="str">
        <v>赠款消耗</v>
      </c>
      <c r="B23" t="str">
        <v>gift_expenditure</v>
      </c>
      <c r="C23" t="str">
        <v>decimal</v>
      </c>
      <c r="D23" t="str">
        <v>10,2</v>
      </c>
    </row>
    <row r="24">
      <c r="A24" t="str">
        <v>消返红包消耗</v>
      </c>
      <c r="B24" t="str">
        <v>rebate_expenditure</v>
      </c>
      <c r="C24" t="str">
        <v>decimal</v>
      </c>
      <c r="D24" t="str">
        <v>10,2</v>
      </c>
    </row>
    <row r="25">
      <c r="A25" t="str">
        <v>共享赠款消耗</v>
      </c>
      <c r="B25" t="str">
        <v>shared_gift_expenditure</v>
      </c>
      <c r="C25" t="str">
        <v>decimal</v>
      </c>
      <c r="D25" t="str">
        <v>10,2</v>
      </c>
    </row>
    <row r="26">
      <c r="A26" t="str">
        <v>总存入</v>
      </c>
      <c r="B26" t="str">
        <v>total_income</v>
      </c>
      <c r="C26" t="str">
        <v>decimal</v>
      </c>
      <c r="D26" t="str">
        <v>10,2</v>
      </c>
    </row>
    <row r="27">
      <c r="A27" t="str">
        <v>总转入</v>
      </c>
      <c r="B27" t="str">
        <v>total_transfer_in</v>
      </c>
      <c r="C27" t="str">
        <v>decimal</v>
      </c>
      <c r="D27" t="str">
        <v>10,2</v>
      </c>
    </row>
    <row r="28">
      <c r="A28" t="str">
        <v>总转出</v>
      </c>
      <c r="B28" t="str">
        <v>total_transfer_out</v>
      </c>
      <c r="C28" t="str">
        <v>decimal</v>
      </c>
      <c r="D28" t="str">
        <v>10,2</v>
      </c>
    </row>
    <row r="29">
      <c r="A29" t="str">
        <v>总余额</v>
      </c>
      <c r="B29" t="str">
        <v>total_balance</v>
      </c>
      <c r="C29" t="str">
        <v>decimal</v>
      </c>
      <c r="D29" t="str">
        <v>10,2</v>
      </c>
    </row>
    <row r="30">
      <c r="A30" t="str">
        <v>赠款余额</v>
      </c>
      <c r="B30" t="str">
        <v>gift_balance</v>
      </c>
      <c r="C30" t="str">
        <v>decimal</v>
      </c>
      <c r="D30" t="str">
        <v>10,2</v>
      </c>
    </row>
    <row r="31">
      <c r="A31" t="str">
        <v>非赠款余额</v>
      </c>
      <c r="B31" t="str">
        <v>non_gift_balance</v>
      </c>
      <c r="C31" t="str">
        <v>decimal</v>
      </c>
      <c r="D31" t="str">
        <v>10,2</v>
      </c>
    </row>
    <row r="32">
      <c r="A32" t="str">
        <v>数据来源</v>
      </c>
      <c r="B32" t="str">
        <v>data_source</v>
      </c>
      <c r="C32" t="str">
        <v>varchar</v>
      </c>
      <c r="D32">
        <v>50</v>
      </c>
    </row>
  </sheetData>
  <mergeCells>
    <mergeCell ref="I1:N1"/>
    <mergeCell ref="A1:H1"/>
  </mergeCells>
  <picture r:id="rId1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7" t="str">
        <v>数据模型属性定义</v>
      </c>
      <c r="B1" s="7"/>
      <c r="C1" s="7"/>
      <c r="D1" s="7"/>
      <c r="E1" s="7"/>
      <c r="F1" s="7"/>
      <c r="G1" s="7"/>
      <c r="H1" s="7"/>
      <c r="I1" s="8" t="str">
        <v>系统溯源分析</v>
      </c>
      <c r="J1" s="8"/>
      <c r="K1" s="8"/>
      <c r="L1" s="8"/>
      <c r="M1" s="8"/>
      <c r="N1" s="8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15" t="str">
        <v>营销费用源表-抖音-千川-直播自投</v>
      </c>
      <c r="C3" s="17" t="str">
        <v>cost_date</v>
      </c>
      <c r="D3" s="26" t="str">
        <v>日期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23">
        <v>2</v>
      </c>
      <c r="B4" s="15" t="str">
        <v>营销费用源表-抖音-千川-直播自投</v>
      </c>
      <c r="C4" s="17" t="str">
        <v>cashback_expense</v>
      </c>
      <c r="D4" s="26" t="str">
        <v>消返红包消耗</v>
      </c>
      <c r="E4" s="17" t="str">
        <v>DECIMAL(30, 8)</v>
      </c>
      <c r="F4" s="23">
        <f>CONCAT(",",C4,"   ",E4,"   COMMENT'", D4,"'" )</f>
      </c>
      <c r="G4" s="17"/>
      <c r="H4" s="17"/>
      <c r="I4" s="17"/>
      <c r="J4" s="17"/>
      <c r="K4" s="17"/>
      <c r="L4" s="17"/>
      <c r="M4" s="17"/>
      <c r="N4" s="17"/>
    </row>
    <row r="5">
      <c r="A5" s="23">
        <v>3</v>
      </c>
      <c r="B5" s="15" t="str">
        <v>营销费用源表-抖音-千川-直播自投</v>
      </c>
      <c r="C5" s="17" t="str">
        <v>shared_gift_expense</v>
      </c>
      <c r="D5" s="26" t="str">
        <v>共享赠款支出</v>
      </c>
      <c r="E5" s="17" t="str">
        <v>DECIMAL(30, 8)</v>
      </c>
      <c r="F5" s="23">
        <f>CONCAT(",",C5,"   ",E5,"   COMMENT'", D5,"'" )</f>
      </c>
      <c r="G5" s="17"/>
      <c r="H5" s="17"/>
      <c r="I5" s="17"/>
      <c r="J5" s="17"/>
      <c r="K5" s="17"/>
      <c r="L5" s="17"/>
      <c r="M5" s="17"/>
      <c r="N5" s="17"/>
    </row>
    <row r="6">
      <c r="A6" s="23">
        <v>4</v>
      </c>
      <c r="B6" s="15" t="str">
        <v>营销费用源表-抖音-千川-直播自投</v>
      </c>
      <c r="C6" s="17" t="str">
        <v>total_expense</v>
      </c>
      <c r="D6" s="26" t="str">
        <v>总支出</v>
      </c>
      <c r="E6" s="17" t="str">
        <v>DECIMAL(30, 8)</v>
      </c>
      <c r="F6" s="23">
        <f>CONCAT(",",C6,"   ",E6,"   COMMENT'", D6,"'" )</f>
      </c>
      <c r="G6" s="17"/>
      <c r="H6" s="17"/>
      <c r="I6" s="17"/>
      <c r="J6" s="17"/>
      <c r="K6" s="17"/>
      <c r="L6" s="17"/>
      <c r="M6" s="17"/>
      <c r="N6" s="17"/>
    </row>
    <row r="7">
      <c r="A7" s="23">
        <v>5</v>
      </c>
      <c r="B7" s="15" t="str">
        <v>营销费用源表-抖音-千川-直播自投</v>
      </c>
      <c r="C7" s="17" t="str">
        <v>cash_expense</v>
      </c>
      <c r="D7" s="26" t="str">
        <v>现金支出</v>
      </c>
      <c r="E7" s="17" t="str">
        <v>DECIMAL(30, 8)</v>
      </c>
      <c r="F7" s="23">
        <f>CONCAT(",",C7,"   ",E7,"   COMMENT'", D7,"'" )</f>
      </c>
      <c r="G7" s="17"/>
      <c r="H7" s="17"/>
      <c r="I7" s="17"/>
      <c r="J7" s="17"/>
      <c r="K7" s="17"/>
      <c r="L7" s="17"/>
      <c r="M7" s="17"/>
      <c r="N7" s="17"/>
    </row>
    <row r="8">
      <c r="A8" s="23">
        <v>6</v>
      </c>
      <c r="B8" s="15" t="str">
        <v>营销费用源表-抖音-千川-直播自投</v>
      </c>
      <c r="C8" s="17" t="str">
        <v>gift_expense</v>
      </c>
      <c r="D8" s="26" t="str">
        <v>赠款支出</v>
      </c>
      <c r="E8" s="17" t="str">
        <v>DECIMAL(30, 8)</v>
      </c>
      <c r="F8" s="23">
        <f>CONCAT(",",C8,"   ",E8,"   COMMENT'", D8,"'" )</f>
      </c>
      <c r="G8" s="17"/>
      <c r="H8" s="17"/>
      <c r="I8" s="17"/>
      <c r="J8" s="17"/>
      <c r="K8" s="17"/>
      <c r="L8" s="17"/>
      <c r="M8" s="17"/>
      <c r="N8" s="17"/>
    </row>
    <row r="9">
      <c r="A9" s="23">
        <v>7</v>
      </c>
      <c r="B9" s="15" t="str">
        <v>营销费用源表-抖音-千川-直播自投</v>
      </c>
      <c r="C9" s="17" t="str">
        <v>total_deposit</v>
      </c>
      <c r="D9" s="26" t="str">
        <v>总存入</v>
      </c>
      <c r="E9" s="17" t="str">
        <v>DECIMAL(30, 8)</v>
      </c>
      <c r="F9" s="23">
        <f>CONCAT(",",C9,"   ",E9,"   COMMENT'", D9,"'" )</f>
      </c>
      <c r="G9" s="17"/>
      <c r="H9" s="17"/>
      <c r="I9" s="17"/>
      <c r="J9" s="17"/>
      <c r="K9" s="17"/>
      <c r="L9" s="17"/>
      <c r="M9" s="17"/>
      <c r="N9" s="17"/>
    </row>
    <row r="10">
      <c r="A10" s="23">
        <v>8</v>
      </c>
      <c r="B10" s="15" t="str">
        <v>营销费用源表-抖音-千川-直播自投</v>
      </c>
      <c r="C10" s="17" t="str">
        <v>total_transfer_in</v>
      </c>
      <c r="D10" s="26" t="str">
        <v>总转入</v>
      </c>
      <c r="E10" s="17" t="str">
        <v>DECIMAL(30, 8)</v>
      </c>
      <c r="F10" s="23">
        <f>CONCAT(",",C10,"   ",E10,"   COMMENT'", D10,"'" )</f>
      </c>
      <c r="G10" s="17"/>
      <c r="H10" s="17"/>
      <c r="I10" s="17"/>
      <c r="J10" s="17"/>
      <c r="K10" s="17"/>
      <c r="L10" s="17"/>
      <c r="M10" s="17"/>
      <c r="N10" s="17"/>
    </row>
    <row r="11">
      <c r="A11" s="23">
        <v>9</v>
      </c>
      <c r="B11" s="15" t="str">
        <v>营销费用源表-抖音-千川-直播自投</v>
      </c>
      <c r="C11" s="17" t="str">
        <v>total_transfer_out</v>
      </c>
      <c r="D11" s="26" t="str">
        <v>总转出</v>
      </c>
      <c r="E11" s="17" t="str">
        <v>DECIMAL(30, 8)</v>
      </c>
      <c r="F11" s="23">
        <f>CONCAT(",",C11,"   ",E11,"   COMMENT'", D11,"'" )</f>
      </c>
      <c r="G11" s="17"/>
      <c r="H11" s="17"/>
      <c r="I11" s="17"/>
      <c r="J11" s="17"/>
      <c r="K11" s="17"/>
      <c r="L11" s="17"/>
      <c r="M11" s="17"/>
      <c r="N11" s="17"/>
    </row>
    <row r="12">
      <c r="A12" s="23">
        <v>10</v>
      </c>
      <c r="B12" s="15" t="str">
        <v>营销费用源表-抖音-千川-直播自投</v>
      </c>
      <c r="C12" s="17" t="str">
        <v>end_of_day_balance</v>
      </c>
      <c r="D12" s="26" t="str">
        <v>日终结余</v>
      </c>
      <c r="E12" s="17" t="str">
        <v>DECIMAL(30, 8)</v>
      </c>
      <c r="F12" s="23">
        <f>CONCAT(",",C12,"   ",E12,"   COMMENT'", D12,"'" )</f>
      </c>
      <c r="G12" s="17"/>
      <c r="H12" s="17"/>
      <c r="I12" s="17"/>
      <c r="J12" s="17"/>
      <c r="K12" s="17"/>
      <c r="L12" s="17"/>
      <c r="M12" s="17"/>
      <c r="N12" s="17"/>
    </row>
    <row r="13">
      <c r="A13" s="23">
        <v>11</v>
      </c>
      <c r="B13" s="15" t="str">
        <v>营销费用源表-抖音-千川-直播自投</v>
      </c>
      <c r="C13" s="17" t="str">
        <v>freeze</v>
      </c>
      <c r="D13" s="26" t="str">
        <v>冻结</v>
      </c>
      <c r="E13" s="17" t="str">
        <v>DECIMAL(30, 8)</v>
      </c>
      <c r="F13" s="23">
        <f>CONCAT(",",C13,"   ",E13,"   COMMENT'", D13,"'" )</f>
      </c>
      <c r="G13" s="17"/>
      <c r="H13" s="17"/>
      <c r="I13" s="17"/>
      <c r="J13" s="17"/>
      <c r="K13" s="17"/>
      <c r="L13" s="17"/>
      <c r="M13" s="17"/>
      <c r="N13" s="17"/>
    </row>
    <row r="14">
      <c r="A14" s="23">
        <v>12</v>
      </c>
      <c r="B14" s="15" t="str">
        <v>营销费用源表-抖音-千川-直播自投</v>
      </c>
      <c r="C14" s="17" t="str">
        <v>actual_cost</v>
      </c>
      <c r="D14" s="26" t="str">
        <v>实际花费</v>
      </c>
      <c r="E14" s="17" t="str">
        <v>DECIMAL(30, 8)</v>
      </c>
      <c r="F14" s="23">
        <f>CONCAT(",",C14,"   ",E14,"   COMMENT'", D14,"'" )</f>
      </c>
      <c r="G14" s="17"/>
      <c r="H14" s="17"/>
      <c r="I14" s="17"/>
      <c r="J14" s="17"/>
      <c r="K14" s="17"/>
      <c r="L14" s="17"/>
      <c r="M14" s="17"/>
      <c r="N14" s="17"/>
    </row>
    <row r="15">
      <c r="A15" s="23">
        <v>13</v>
      </c>
      <c r="B15" s="15" t="str">
        <v>营销费用源表-抖音-千川-直播自投</v>
      </c>
      <c r="C15" s="17" t="str">
        <v>ad_type</v>
      </c>
      <c r="D15" s="53" t="str">
        <v>广告类型</v>
      </c>
      <c r="E15" s="23" t="str">
        <v>STRING</v>
      </c>
      <c r="F15" s="23">
        <f>CONCAT(",",C15,"   ",E15,"   COMMENT'", D15,"'" )</f>
      </c>
      <c r="G15" s="52"/>
      <c r="H15" s="52"/>
      <c r="I15" s="52"/>
      <c r="J15" s="52"/>
      <c r="K15" s="52"/>
      <c r="L15" s="52"/>
      <c r="M15" s="52"/>
      <c r="N15" s="52"/>
    </row>
    <row r="16">
      <c r="A16" s="23">
        <v>14</v>
      </c>
      <c r="B16" s="15" t="str">
        <v>营销费用源表-抖音-千川-直播自投</v>
      </c>
      <c r="C16" s="17" t="str">
        <v>data_source</v>
      </c>
      <c r="D16" s="51" t="str">
        <v>数据来源</v>
      </c>
      <c r="E16" s="23" t="str">
        <v>STRING</v>
      </c>
      <c r="F16" s="23">
        <f>CONCAT(",",C16,"   ",E16,"   COMMENT'", D16,"'" )</f>
      </c>
      <c r="G16" s="17"/>
      <c r="H16" s="17" t="str">
        <v>新增，用于标记不同的来源账号</v>
      </c>
      <c r="I16" s="17"/>
      <c r="J16" s="17"/>
      <c r="K16" s="17"/>
      <c r="L16" s="17"/>
      <c r="M16" s="17"/>
      <c r="N16" s="17"/>
    </row>
    <row r="17"/>
    <row r="18">
      <c r="A18" t="str">
        <v>日期</v>
      </c>
      <c r="B18" t="str">
        <v>date</v>
      </c>
      <c r="C18" t="str">
        <v>date</v>
      </c>
      <c r="D18" t="str">
        <v>日期格式（yyyy-mm-dd）</v>
      </c>
    </row>
    <row r="19">
      <c r="A19" t="str">
        <v>消返红包消耗</v>
      </c>
      <c r="B19" t="str">
        <v>cashback_expense</v>
      </c>
      <c r="C19" t="str">
        <v>numeric</v>
      </c>
      <c r="D19" t="str">
        <v>最多两位小数的数值型</v>
      </c>
    </row>
    <row r="20">
      <c r="A20" t="str">
        <v>共享赠款支出</v>
      </c>
      <c r="B20" t="str">
        <v>shared_gift_expense</v>
      </c>
      <c r="C20" t="str">
        <v>numeric</v>
      </c>
      <c r="D20" t="str">
        <v>最多两位小数的数值型</v>
      </c>
    </row>
    <row r="21">
      <c r="A21" t="str">
        <v>总支出</v>
      </c>
      <c r="B21" t="str">
        <v>total_expense</v>
      </c>
      <c r="C21" t="str">
        <v>numeric</v>
      </c>
      <c r="D21" t="str">
        <v>最多两位小数的数值型</v>
      </c>
    </row>
    <row r="22">
      <c r="A22" t="str">
        <v>现金支出</v>
      </c>
      <c r="B22" t="str">
        <v>cash_expense</v>
      </c>
      <c r="C22" t="str">
        <v>numeric</v>
      </c>
      <c r="D22" t="str">
        <v>最多两位小数的数值型</v>
      </c>
    </row>
    <row r="23">
      <c r="A23" t="str">
        <v>赠款支出</v>
      </c>
      <c r="B23" t="str">
        <v>gift_expense</v>
      </c>
      <c r="C23" t="str">
        <v>numeric</v>
      </c>
      <c r="D23" t="str">
        <v>最多两位小数的数值型</v>
      </c>
    </row>
    <row r="24">
      <c r="A24" t="str">
        <v>总存入</v>
      </c>
      <c r="B24" t="str">
        <v>total_deposit</v>
      </c>
      <c r="C24" t="str">
        <v>numeric</v>
      </c>
      <c r="D24" t="str">
        <v>最多两位小数的数值型</v>
      </c>
    </row>
    <row r="25">
      <c r="A25" t="str">
        <v>总转入</v>
      </c>
      <c r="B25" t="str">
        <v>total_transfer_in</v>
      </c>
      <c r="C25" t="str">
        <v>numeric</v>
      </c>
      <c r="D25" t="str">
        <v>最多两位小数的数值型</v>
      </c>
    </row>
    <row r="26">
      <c r="A26" t="str">
        <v>总转出</v>
      </c>
      <c r="B26" t="str">
        <v>total_transfer_out</v>
      </c>
      <c r="C26" t="str">
        <v>numeric</v>
      </c>
      <c r="D26" t="str">
        <v>最多两位小数的数值型</v>
      </c>
    </row>
    <row r="27">
      <c r="A27" t="str">
        <v>日终结余</v>
      </c>
      <c r="B27" t="str">
        <v>end_of_day_balance</v>
      </c>
      <c r="C27" t="str">
        <v>numeric</v>
      </c>
      <c r="D27" t="str">
        <v>最多两位小数的数值型</v>
      </c>
    </row>
    <row r="28">
      <c r="A28" t="str">
        <v>冻结</v>
      </c>
      <c r="B28" t="str">
        <v>freeze</v>
      </c>
      <c r="C28" t="str">
        <v>numeric</v>
      </c>
      <c r="D28" t="str">
        <v>最多两位小数的数值型</v>
      </c>
    </row>
    <row r="29">
      <c r="A29" t="str">
        <v>实际花费</v>
      </c>
      <c r="B29" t="str">
        <v>actual_cost</v>
      </c>
      <c r="C29" t="str">
        <v>numeric</v>
      </c>
      <c r="D29" t="str">
        <v>最多两位小数的数值型</v>
      </c>
    </row>
    <row r="30">
      <c r="A30" t="str">
        <v>广告类型</v>
      </c>
      <c r="B30" t="str">
        <v>ad_type</v>
      </c>
      <c r="C30" t="str">
        <v>varchar</v>
      </c>
      <c r="D30" t="str">
        <v>最多20个字符</v>
      </c>
    </row>
    <row r="31">
      <c r="A31" t="str">
        <v>数据来源</v>
      </c>
      <c r="B31" t="str">
        <v>data_source</v>
      </c>
      <c r="C31" t="str">
        <v>varchar</v>
      </c>
      <c r="D31" t="str">
        <v>最多50个字符</v>
      </c>
    </row>
  </sheetData>
  <mergeCells>
    <mergeCell ref="I1:N1"/>
    <mergeCell ref="A1:H1"/>
  </mergeCells>
  <picture r:id="rId1"/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3"/>
    <col collapsed="false" customWidth="true" hidden="false" max="3" min="3" style="0" width="35"/>
    <col collapsed="false" customWidth="true" hidden="false" max="4" min="4" style="0" width="14"/>
    <col collapsed="false" customWidth="true" hidden="false" max="5" min="5" style="0" width="10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2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2"/>
    <col collapsed="false" customWidth="true" hidden="false" max="14" min="14" style="0" width="5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58" t="str">
        <v>系统溯源分析</v>
      </c>
      <c r="J1" s="8"/>
      <c r="K1" s="8"/>
      <c r="L1" s="8"/>
      <c r="M1" s="8"/>
      <c r="N1" s="8"/>
    </row>
    <row r="2">
      <c r="A2" s="19" t="str">
        <v>序号</v>
      </c>
      <c r="B2" s="19" t="str">
        <v>模型名称</v>
      </c>
      <c r="C2" s="19" t="str">
        <v>字段</v>
      </c>
      <c r="D2" s="19" t="str">
        <v>字段描述</v>
      </c>
      <c r="E2" s="19" t="str">
        <v>字段类型</v>
      </c>
      <c r="F2" s="19" t="str">
        <v>字段长度</v>
      </c>
      <c r="G2" s="19" t="str">
        <v>是否主键</v>
      </c>
      <c r="H2" s="19" t="str">
        <v>字段备注</v>
      </c>
      <c r="I2" s="57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23" t="str">
        <v>营销费用源表-抖音-精选联盟</v>
      </c>
      <c r="C3" s="25" t="str">
        <v>order_id</v>
      </c>
      <c r="D3" s="23" t="str">
        <v>订单id</v>
      </c>
      <c r="E3" s="25" t="str">
        <v>INT</v>
      </c>
      <c r="F3" s="54">
        <v>11</v>
      </c>
      <c r="G3" s="23"/>
      <c r="H3" s="23"/>
      <c r="I3" s="55"/>
      <c r="J3" s="24"/>
      <c r="K3" s="14"/>
      <c r="L3" s="14"/>
      <c r="M3" s="14"/>
      <c r="N3" s="14"/>
    </row>
    <row r="4">
      <c r="A4" s="23">
        <v>2</v>
      </c>
      <c r="B4" s="23" t="str">
        <v>营销费用源表-抖音-精选联盟</v>
      </c>
      <c r="C4" s="25" t="str">
        <v>product_id</v>
      </c>
      <c r="D4" s="23" t="str">
        <v>商品id</v>
      </c>
      <c r="E4" s="25" t="str">
        <v>INT</v>
      </c>
      <c r="F4" s="54">
        <v>11</v>
      </c>
      <c r="G4" s="23"/>
      <c r="H4" s="17"/>
      <c r="I4" s="55"/>
      <c r="J4" s="24"/>
      <c r="K4" s="24"/>
      <c r="L4" s="24"/>
      <c r="M4" s="24"/>
      <c r="N4" s="24"/>
    </row>
    <row r="5">
      <c r="A5" s="23">
        <v>3</v>
      </c>
      <c r="B5" s="23" t="str">
        <v>营销费用源表-抖音-精选联盟</v>
      </c>
      <c r="C5" s="25" t="str">
        <v>product_name</v>
      </c>
      <c r="D5" s="23" t="str">
        <v>商品名称</v>
      </c>
      <c r="E5" s="25" t="str">
        <v>VARCHAR</v>
      </c>
      <c r="F5" s="54">
        <v>255</v>
      </c>
      <c r="G5" s="23"/>
      <c r="H5" s="17"/>
      <c r="I5" s="55"/>
      <c r="J5" s="24"/>
      <c r="K5" s="24"/>
      <c r="L5" s="24"/>
      <c r="M5" s="24"/>
      <c r="N5" s="24"/>
    </row>
    <row r="6">
      <c r="A6" s="23">
        <v>4</v>
      </c>
      <c r="B6" s="23" t="str">
        <v>营销费用源表-抖音-精选联盟</v>
      </c>
      <c r="C6" s="25" t="str">
        <v>author_account</v>
      </c>
      <c r="D6" s="23" t="str">
        <v>作者账号</v>
      </c>
      <c r="E6" s="25" t="str">
        <v>VARCHAR</v>
      </c>
      <c r="F6" s="54">
        <v>255</v>
      </c>
      <c r="G6" s="23"/>
      <c r="H6" s="17"/>
      <c r="I6" s="55"/>
      <c r="J6" s="24"/>
      <c r="K6" s="24"/>
      <c r="L6" s="24"/>
      <c r="M6" s="24"/>
      <c r="N6" s="24"/>
    </row>
    <row customHeight="true" ht="20" r="7">
      <c r="A7" s="23">
        <v>5</v>
      </c>
      <c r="B7" s="23" t="str">
        <v>营销费用源表-抖音-精选联盟</v>
      </c>
      <c r="C7" s="25" t="str">
        <v>douyin_volcano_account</v>
      </c>
      <c r="D7" s="23" t="str">
        <v>抖音/火山号</v>
      </c>
      <c r="E7" s="25" t="str">
        <v>VARCHAR</v>
      </c>
      <c r="F7" s="54">
        <v>255</v>
      </c>
      <c r="G7" s="23"/>
      <c r="H7" s="17"/>
      <c r="I7" s="55"/>
      <c r="J7" s="24"/>
      <c r="K7" s="24"/>
      <c r="L7" s="24"/>
      <c r="M7" s="24"/>
      <c r="N7" s="24"/>
    </row>
    <row r="8">
      <c r="A8" s="23">
        <v>6</v>
      </c>
      <c r="B8" s="23" t="str">
        <v>营销费用源表-抖音-精选联盟</v>
      </c>
      <c r="C8" s="25" t="str">
        <v>payment_amount</v>
      </c>
      <c r="D8" s="23" t="str">
        <v>支付金额</v>
      </c>
      <c r="E8" s="25" t="str">
        <v>DECIMAL</v>
      </c>
      <c r="F8" s="54" t="str">
        <v>10, 2</v>
      </c>
      <c r="G8" s="23"/>
      <c r="H8" s="17"/>
      <c r="I8" s="55"/>
      <c r="J8" s="24"/>
      <c r="K8" s="24"/>
      <c r="L8" s="24"/>
      <c r="M8" s="24"/>
      <c r="N8" s="24"/>
    </row>
    <row r="9">
      <c r="A9" s="23">
        <v>7</v>
      </c>
      <c r="B9" s="23" t="str">
        <v>营销费用源表-抖音-精选联盟</v>
      </c>
      <c r="C9" s="25" t="str">
        <v>commission_rate</v>
      </c>
      <c r="D9" s="23" t="str">
        <v>佣金率</v>
      </c>
      <c r="E9" s="25" t="str">
        <v>DECIMAL</v>
      </c>
      <c r="F9" s="54" t="str">
        <v>5, 2</v>
      </c>
      <c r="G9" s="23"/>
      <c r="H9" s="17"/>
      <c r="I9" s="55"/>
      <c r="J9" s="24"/>
      <c r="K9" s="24"/>
      <c r="L9" s="24"/>
      <c r="M9" s="24"/>
      <c r="N9" s="24"/>
    </row>
    <row r="10">
      <c r="A10" s="23">
        <v>8</v>
      </c>
      <c r="B10" s="23" t="str">
        <v>营销费用源表-抖音-精选联盟</v>
      </c>
      <c r="C10" s="25" t="str">
        <v>estimated_commission_expense</v>
      </c>
      <c r="D10" s="23" t="str">
        <v>预估佣金支出</v>
      </c>
      <c r="E10" s="25" t="str">
        <v>DECIMAL</v>
      </c>
      <c r="F10" s="54" t="str">
        <v>10, 2</v>
      </c>
      <c r="G10" s="23"/>
      <c r="H10" s="17"/>
      <c r="I10" s="55"/>
      <c r="J10" s="24"/>
      <c r="K10" s="24"/>
      <c r="L10" s="24"/>
      <c r="M10" s="24"/>
      <c r="N10" s="24"/>
    </row>
    <row r="11">
      <c r="A11" s="23">
        <v>9</v>
      </c>
      <c r="B11" s="23" t="str">
        <v>营销费用源表-抖音-精选联盟</v>
      </c>
      <c r="C11" s="25" t="str">
        <v>settlement_amount</v>
      </c>
      <c r="D11" s="23" t="str">
        <v>结算金额</v>
      </c>
      <c r="E11" s="25" t="str">
        <v>DECIMAL</v>
      </c>
      <c r="F11" s="54" t="str">
        <v>10, 2</v>
      </c>
      <c r="G11" s="23"/>
      <c r="H11" s="17"/>
      <c r="I11" s="55"/>
      <c r="J11" s="24"/>
      <c r="K11" s="24"/>
      <c r="L11" s="24"/>
      <c r="M11" s="24"/>
      <c r="N11" s="24"/>
    </row>
    <row r="12">
      <c r="A12" s="23">
        <v>10</v>
      </c>
      <c r="B12" s="23" t="str">
        <v>营销费用源表-抖音-精选联盟</v>
      </c>
      <c r="C12" s="25" t="str">
        <v>actual_commission_expense</v>
      </c>
      <c r="D12" s="23" t="str">
        <v>实际佣金支出</v>
      </c>
      <c r="E12" s="25" t="str">
        <v>DECIMAL</v>
      </c>
      <c r="F12" s="54" t="str">
        <v>10, 2</v>
      </c>
      <c r="G12" s="23"/>
      <c r="H12" s="17"/>
      <c r="I12" s="55"/>
      <c r="J12" s="24"/>
      <c r="K12" s="24"/>
      <c r="L12" s="24"/>
      <c r="M12" s="24"/>
      <c r="N12" s="24"/>
    </row>
    <row r="13">
      <c r="A13" s="23">
        <v>11</v>
      </c>
      <c r="B13" s="23" t="str">
        <v>营销费用源表-抖音-精选联盟</v>
      </c>
      <c r="C13" s="25" t="str">
        <v>order_status</v>
      </c>
      <c r="D13" s="23" t="str">
        <v>订单状态</v>
      </c>
      <c r="E13" s="25" t="str">
        <v>VARCHAR</v>
      </c>
      <c r="F13" s="54">
        <v>255</v>
      </c>
      <c r="G13" s="23"/>
      <c r="H13" s="17"/>
      <c r="I13" s="55"/>
      <c r="J13" s="24"/>
      <c r="K13" s="24"/>
      <c r="L13" s="24"/>
      <c r="M13" s="24"/>
      <c r="N13" s="24"/>
    </row>
    <row r="14">
      <c r="A14" s="23">
        <v>12</v>
      </c>
      <c r="B14" s="23" t="str">
        <v>营销费用源表-抖音-精选联盟</v>
      </c>
      <c r="C14" s="25" t="str">
        <v>unsettled_reason</v>
      </c>
      <c r="D14" s="23" t="str">
        <v>超时未结算原因</v>
      </c>
      <c r="E14" s="25" t="str">
        <v>VARCHAR</v>
      </c>
      <c r="F14" s="54">
        <v>255</v>
      </c>
      <c r="G14" s="23"/>
      <c r="H14" s="17"/>
      <c r="I14" s="55"/>
      <c r="J14" s="24"/>
      <c r="K14" s="24"/>
      <c r="L14" s="24"/>
      <c r="M14" s="24"/>
      <c r="N14" s="24"/>
    </row>
    <row r="15">
      <c r="A15" s="23">
        <v>13</v>
      </c>
      <c r="B15" s="23" t="str">
        <v>营销费用源表-抖音-精选联盟</v>
      </c>
      <c r="C15" s="25" t="str">
        <v>payment_time</v>
      </c>
      <c r="D15" s="23" t="str">
        <v>付款时间</v>
      </c>
      <c r="E15" s="25" t="str">
        <v>DATETIME</v>
      </c>
      <c r="F15" s="54"/>
      <c r="G15" s="23"/>
      <c r="H15" s="17"/>
      <c r="I15" s="55"/>
      <c r="J15" s="24"/>
      <c r="K15" s="24"/>
      <c r="L15" s="24"/>
      <c r="M15" s="24"/>
      <c r="N15" s="24"/>
    </row>
    <row r="16">
      <c r="A16" s="23">
        <v>14</v>
      </c>
      <c r="B16" s="23" t="str">
        <v>营销费用源表-抖音-精选联盟</v>
      </c>
      <c r="C16" s="25" t="str">
        <v>receipt_time</v>
      </c>
      <c r="D16" s="23" t="str">
        <v>收货时间</v>
      </c>
      <c r="E16" s="25" t="str">
        <v>DATETIME</v>
      </c>
      <c r="F16" s="54"/>
      <c r="G16" s="23"/>
      <c r="H16" s="17"/>
      <c r="I16" s="55"/>
      <c r="J16" s="24"/>
      <c r="K16" s="24"/>
      <c r="L16" s="24"/>
      <c r="M16" s="24"/>
      <c r="N16" s="24"/>
    </row>
    <row r="17">
      <c r="A17" s="23">
        <v>15</v>
      </c>
      <c r="B17" s="23" t="str">
        <v>营销费用源表-抖音-精选联盟</v>
      </c>
      <c r="C17" s="25" t="str">
        <v>order_settlement_time</v>
      </c>
      <c r="D17" s="23" t="str">
        <v>订单结算时间</v>
      </c>
      <c r="E17" s="25" t="str">
        <v>DATETIME</v>
      </c>
      <c r="F17" s="54"/>
      <c r="G17" s="23"/>
      <c r="H17" s="17"/>
      <c r="I17" s="55"/>
      <c r="J17" s="24"/>
      <c r="K17" s="24"/>
      <c r="L17" s="24"/>
      <c r="M17" s="24"/>
      <c r="N17" s="24"/>
    </row>
    <row r="18">
      <c r="A18" s="23">
        <v>16</v>
      </c>
      <c r="B18" s="23" t="str">
        <v>营销费用源表-抖音-精选联盟</v>
      </c>
      <c r="C18" s="25" t="str">
        <v>product_source</v>
      </c>
      <c r="D18" s="23" t="str">
        <v>商品来源</v>
      </c>
      <c r="E18" s="25" t="str">
        <v>VARCHAR</v>
      </c>
      <c r="F18" s="54">
        <v>255</v>
      </c>
      <c r="G18" s="23"/>
      <c r="H18" s="17"/>
      <c r="I18" s="55"/>
      <c r="J18" s="24"/>
      <c r="K18" s="24"/>
      <c r="L18" s="24"/>
      <c r="M18" s="24"/>
      <c r="N18" s="24"/>
    </row>
    <row r="19">
      <c r="A19" s="23">
        <v>17</v>
      </c>
      <c r="B19" s="23" t="str">
        <v>营销费用源表-抖音-精选联盟</v>
      </c>
      <c r="C19" s="25" t="str">
        <v>final_payment_time</v>
      </c>
      <c r="D19" s="23" t="str">
        <v>尾款支付时间</v>
      </c>
      <c r="E19" s="25" t="str">
        <v>DATETIME</v>
      </c>
      <c r="F19" s="54"/>
      <c r="G19" s="23"/>
      <c r="H19" s="17"/>
      <c r="I19" s="55"/>
      <c r="J19" s="24"/>
      <c r="K19" s="24"/>
      <c r="L19" s="24"/>
      <c r="M19" s="24"/>
      <c r="N19" s="24"/>
    </row>
    <row r="20">
      <c r="A20" s="23">
        <v>18</v>
      </c>
      <c r="B20" s="23" t="str">
        <v>营销费用源表-抖音-精选联盟</v>
      </c>
      <c r="C20" s="25" t="str">
        <v>deposit_amount</v>
      </c>
      <c r="D20" s="23" t="str">
        <v>定金金额</v>
      </c>
      <c r="E20" s="25" t="str">
        <v>DECIMAL</v>
      </c>
      <c r="F20" s="54" t="str">
        <v>10, 2</v>
      </c>
      <c r="G20" s="23"/>
      <c r="H20" s="17"/>
      <c r="I20" s="55"/>
      <c r="J20" s="24"/>
      <c r="K20" s="24"/>
      <c r="L20" s="24"/>
      <c r="M20" s="24"/>
      <c r="N20" s="24"/>
    </row>
    <row r="21">
      <c r="A21" s="23">
        <v>19</v>
      </c>
      <c r="B21" s="23" t="str">
        <v>营销费用源表-抖音-精选联盟</v>
      </c>
      <c r="C21" s="25" t="str">
        <v>shop_id</v>
      </c>
      <c r="D21" s="23" t="str">
        <v>店铺id</v>
      </c>
      <c r="E21" s="25" t="str">
        <v>INT</v>
      </c>
      <c r="F21" s="54">
        <v>11</v>
      </c>
      <c r="G21" s="23"/>
      <c r="H21" s="17"/>
      <c r="I21" s="55"/>
      <c r="J21" s="24"/>
      <c r="K21" s="24"/>
      <c r="L21" s="24"/>
      <c r="M21" s="24"/>
      <c r="N21" s="24"/>
    </row>
    <row r="22">
      <c r="A22" s="23">
        <v>20</v>
      </c>
      <c r="B22" s="23" t="str">
        <v>营销费用源表-抖音-精选联盟</v>
      </c>
      <c r="C22" s="25" t="str">
        <v>shop_name</v>
      </c>
      <c r="D22" s="23" t="str">
        <v>店铺名称</v>
      </c>
      <c r="E22" s="25" t="str">
        <v>VARCHAR</v>
      </c>
      <c r="F22" s="54">
        <v>255</v>
      </c>
      <c r="G22" s="23"/>
      <c r="H22" s="17"/>
      <c r="I22" s="55"/>
      <c r="J22" s="24"/>
      <c r="K22" s="24"/>
      <c r="L22" s="24"/>
      <c r="M22" s="24"/>
      <c r="N22" s="24"/>
    </row>
    <row r="23">
      <c r="A23" s="23">
        <v>21</v>
      </c>
      <c r="B23" s="23" t="str">
        <v>营销费用源表-抖音-精选联盟</v>
      </c>
      <c r="C23" s="25" t="str">
        <v>product_quantity</v>
      </c>
      <c r="D23" s="23" t="str">
        <v>商品数量</v>
      </c>
      <c r="E23" s="25" t="str">
        <v>INT</v>
      </c>
      <c r="F23" s="54">
        <v>11</v>
      </c>
      <c r="G23" s="23"/>
      <c r="H23" s="17"/>
      <c r="I23" s="55"/>
      <c r="J23" s="24"/>
      <c r="K23" s="24"/>
      <c r="L23" s="24"/>
      <c r="M23" s="24"/>
      <c r="N23" s="24"/>
    </row>
    <row r="24">
      <c r="A24" s="23">
        <v>22</v>
      </c>
      <c r="B24" s="23" t="str">
        <v>营销费用源表-抖音-精选联盟</v>
      </c>
      <c r="C24" s="25" t="str">
        <v>commission_invoice</v>
      </c>
      <c r="D24" s="23" t="str">
        <v>佣金发票</v>
      </c>
      <c r="E24" s="25" t="str">
        <v>VARCHAR</v>
      </c>
      <c r="F24" s="54">
        <v>255</v>
      </c>
      <c r="G24" s="23"/>
      <c r="H24" s="17"/>
      <c r="I24" s="55"/>
      <c r="J24" s="24"/>
      <c r="K24" s="24"/>
      <c r="L24" s="24"/>
      <c r="M24" s="24"/>
      <c r="N24" s="24"/>
    </row>
    <row r="25">
      <c r="A25" s="23">
        <v>23</v>
      </c>
      <c r="B25" s="23" t="str">
        <v>营销费用源表-抖音-精选联盟</v>
      </c>
      <c r="C25" s="25" t="str">
        <v>freeze_ratio</v>
      </c>
      <c r="D25" s="23" t="str">
        <v>冻结比例</v>
      </c>
      <c r="E25" s="25" t="str">
        <v>DECIMAL</v>
      </c>
      <c r="F25" s="54" t="str">
        <v>5, 2</v>
      </c>
      <c r="G25" s="23"/>
      <c r="H25" s="17"/>
      <c r="I25" s="55"/>
      <c r="J25" s="24"/>
      <c r="K25" s="24"/>
      <c r="L25" s="24"/>
      <c r="M25" s="24"/>
      <c r="N25" s="24"/>
    </row>
    <row customHeight="true" ht="20" r="26">
      <c r="A26" s="23">
        <v>24</v>
      </c>
      <c r="B26" s="23" t="str">
        <v>营销费用源表-抖音-精选联盟</v>
      </c>
      <c r="C26" s="25" t="str">
        <v>is_step_commission</v>
      </c>
      <c r="D26" s="23" t="str">
        <v>是否阶梯佣金</v>
      </c>
      <c r="E26" s="25" t="str">
        <v>VARCHAR</v>
      </c>
      <c r="F26" s="54">
        <v>255</v>
      </c>
      <c r="G26" s="23"/>
      <c r="H26" s="17"/>
      <c r="I26" s="55"/>
      <c r="J26" s="24"/>
      <c r="K26" s="24"/>
      <c r="L26" s="24"/>
      <c r="M26" s="24"/>
      <c r="N26" s="24"/>
    </row>
    <row r="27">
      <c r="A27" s="23">
        <v>25</v>
      </c>
      <c r="B27" s="23" t="str">
        <v>营销费用源表-抖音-精选联盟</v>
      </c>
      <c r="C27" s="25" t="str">
        <v>threshold_sales</v>
      </c>
      <c r="D27" s="23" t="str">
        <v>门槛销量</v>
      </c>
      <c r="E27" s="25" t="str">
        <v>INT</v>
      </c>
      <c r="F27" s="54">
        <v>11</v>
      </c>
      <c r="G27" s="23"/>
      <c r="H27" s="17"/>
      <c r="I27" s="55"/>
      <c r="J27" s="24"/>
      <c r="K27" s="24"/>
      <c r="L27" s="24"/>
      <c r="M27" s="24"/>
      <c r="N27" s="24"/>
    </row>
    <row r="28">
      <c r="A28" s="23">
        <v>26</v>
      </c>
      <c r="B28" s="23" t="str">
        <v>营销费用源表-抖音-精选联盟</v>
      </c>
      <c r="C28" s="25" t="str">
        <v>base_commission_rate</v>
      </c>
      <c r="D28" s="23" t="str">
        <v>基础佣金率</v>
      </c>
      <c r="E28" s="25" t="str">
        <v>DECIMAL</v>
      </c>
      <c r="F28" s="54" t="str">
        <v>5, 2</v>
      </c>
      <c r="G28" s="23"/>
      <c r="H28" s="17"/>
      <c r="I28" s="55"/>
      <c r="J28" s="24"/>
      <c r="K28" s="24"/>
      <c r="L28" s="24"/>
      <c r="M28" s="24"/>
      <c r="N28" s="24"/>
    </row>
    <row r="29">
      <c r="A29" s="23">
        <v>27</v>
      </c>
      <c r="B29" s="23" t="str">
        <v>营销费用源表-抖音-精选联盟</v>
      </c>
      <c r="C29" s="25" t="str">
        <v>upgraded_commission_rate</v>
      </c>
      <c r="D29" s="23" t="str">
        <v>升佣佣金率</v>
      </c>
      <c r="E29" s="25" t="str">
        <v>DECIMAL</v>
      </c>
      <c r="F29" s="54" t="str">
        <v>5, 2</v>
      </c>
      <c r="G29" s="23"/>
      <c r="H29" s="17"/>
      <c r="I29" s="55"/>
      <c r="J29" s="24"/>
      <c r="K29" s="24"/>
      <c r="L29" s="24"/>
      <c r="M29" s="24"/>
      <c r="N29" s="24"/>
    </row>
    <row r="30">
      <c r="A30" s="23">
        <v>28</v>
      </c>
      <c r="B30" s="23" t="str">
        <v>营销费用源表-抖音-精选联盟</v>
      </c>
      <c r="C30" s="25" t="str">
        <v>estimated_reward_commission</v>
      </c>
      <c r="D30" s="23" t="str">
        <v>预估奖励佣金支出</v>
      </c>
      <c r="E30" s="25" t="str">
        <v>DECIMAL</v>
      </c>
      <c r="F30" s="54" t="str">
        <v>10, 2</v>
      </c>
      <c r="G30" s="23"/>
      <c r="H30" s="17"/>
      <c r="I30" s="55"/>
      <c r="J30" s="24"/>
      <c r="K30" s="24"/>
      <c r="L30" s="24"/>
      <c r="M30" s="24"/>
      <c r="N30" s="24"/>
    </row>
    <row r="31">
      <c r="A31" s="23">
        <v>29</v>
      </c>
      <c r="B31" s="23" t="str">
        <v>营销费用源表-抖音-精选联盟</v>
      </c>
      <c r="C31" s="25" t="str">
        <v>settlement_reward_commission</v>
      </c>
      <c r="D31" s="23" t="str">
        <v>结算奖励佣金支出</v>
      </c>
      <c r="E31" s="25" t="str">
        <v>DECIMAL</v>
      </c>
      <c r="F31" s="54" t="str">
        <v>10, 2</v>
      </c>
      <c r="G31" s="23"/>
      <c r="H31" s="17"/>
      <c r="I31" s="55"/>
      <c r="J31" s="24"/>
      <c r="K31" s="24"/>
      <c r="L31" s="24"/>
      <c r="M31" s="24"/>
      <c r="N31" s="24"/>
    </row>
    <row r="32">
      <c r="A32" s="23">
        <v>30</v>
      </c>
      <c r="B32" s="23" t="str">
        <v>营销费用源表-抖音-精选联盟</v>
      </c>
      <c r="C32" s="25" t="str">
        <v>tier_plan_id</v>
      </c>
      <c r="D32" s="23" t="str">
        <v>阶梯计划ID</v>
      </c>
      <c r="E32" s="25" t="str">
        <v>INT</v>
      </c>
      <c r="F32" s="54">
        <v>11</v>
      </c>
      <c r="G32" s="23"/>
      <c r="H32" s="17"/>
      <c r="I32" s="55"/>
      <c r="J32" s="24"/>
      <c r="K32" s="24"/>
      <c r="L32" s="24"/>
      <c r="M32" s="24"/>
      <c r="N32" s="24"/>
    </row>
    <row r="33">
      <c r="A33" s="23">
        <v>31</v>
      </c>
      <c r="B33" s="23" t="str">
        <v>营销费用源表-抖音-精选联盟</v>
      </c>
      <c r="C33" s="25" t="str">
        <v>payment_subsidy</v>
      </c>
      <c r="D33" s="23" t="str">
        <v>支付补贴</v>
      </c>
      <c r="E33" s="25" t="str">
        <v>DECIMAL</v>
      </c>
      <c r="F33" s="54" t="str">
        <v>10, 2</v>
      </c>
      <c r="G33" s="23"/>
      <c r="H33" s="17"/>
      <c r="I33" s="55"/>
      <c r="J33" s="24"/>
      <c r="K33" s="24"/>
      <c r="L33" s="24"/>
      <c r="M33" s="24"/>
      <c r="N33" s="24"/>
    </row>
    <row r="34">
      <c r="A34" s="23">
        <v>32</v>
      </c>
      <c r="B34" s="23" t="str">
        <v>营销费用源表-抖音-精选联盟</v>
      </c>
      <c r="C34" s="25" t="str">
        <v>platform_subsidy</v>
      </c>
      <c r="D34" s="23" t="str">
        <v>平台补贴</v>
      </c>
      <c r="E34" s="25" t="str">
        <v>DECIMAL</v>
      </c>
      <c r="F34" s="54" t="str">
        <v>10, 2</v>
      </c>
      <c r="G34" s="23"/>
      <c r="H34" s="17"/>
      <c r="I34" s="55"/>
      <c r="J34" s="24"/>
      <c r="K34" s="24"/>
      <c r="L34" s="24"/>
      <c r="M34" s="24"/>
      <c r="N34" s="24"/>
    </row>
    <row r="35">
      <c r="A35" s="23">
        <v>33</v>
      </c>
      <c r="B35" s="23" t="str">
        <v>营销费用源表-抖音-精选联盟</v>
      </c>
      <c r="C35" s="25" t="str">
        <v>influencer_subsidy</v>
      </c>
      <c r="D35" s="23" t="str">
        <v>达人补贴</v>
      </c>
      <c r="E35" s="25" t="str">
        <v>DECIMAL</v>
      </c>
      <c r="F35" s="54" t="str">
        <v>10, 2</v>
      </c>
      <c r="G35" s="23"/>
      <c r="H35" s="17"/>
      <c r="I35" s="55"/>
      <c r="J35" s="24"/>
      <c r="K35" s="24"/>
      <c r="L35" s="24"/>
      <c r="M35" s="24"/>
      <c r="N35" s="24"/>
    </row>
    <row r="36">
      <c r="A36" s="23">
        <v>34</v>
      </c>
      <c r="B36" s="23" t="str">
        <v>营销费用源表-抖音-精选联盟</v>
      </c>
      <c r="C36" s="25" t="str">
        <v>shipping_fee</v>
      </c>
      <c r="D36" s="23" t="str">
        <v>运费</v>
      </c>
      <c r="E36" s="25" t="str">
        <v>DECIMAL</v>
      </c>
      <c r="F36" s="54" t="str">
        <v>10,2</v>
      </c>
      <c r="G36" s="23"/>
      <c r="H36" s="17"/>
      <c r="I36" s="55"/>
      <c r="J36" s="24"/>
      <c r="K36" s="24"/>
      <c r="L36" s="24"/>
      <c r="M36" s="24"/>
      <c r="N36" s="24"/>
    </row>
    <row r="37">
      <c r="A37" s="23">
        <v>35</v>
      </c>
      <c r="B37" s="23" t="str">
        <v>营销费用源表-抖音-精选联盟</v>
      </c>
      <c r="C37" s="25" t="str">
        <v>tax_fee</v>
      </c>
      <c r="D37" s="23" t="str">
        <v>税费</v>
      </c>
      <c r="E37" s="25" t="str">
        <v>DECIMAL</v>
      </c>
      <c r="F37" s="56" t="str">
        <v>10, 2</v>
      </c>
      <c r="G37" s="23"/>
      <c r="H37" s="17"/>
      <c r="I37" s="55"/>
      <c r="J37" s="24"/>
      <c r="K37" s="24"/>
      <c r="L37" s="24"/>
      <c r="M37" s="24"/>
      <c r="N37" s="24"/>
    </row>
    <row customHeight="true" ht="20" r="38">
      <c r="A38" s="23">
        <v>36</v>
      </c>
      <c r="B38" s="23" t="str">
        <v>营销费用源表-抖音-精选联盟</v>
      </c>
      <c r="C38" s="25" t="str">
        <v>primage</v>
      </c>
      <c r="D38" s="23" t="str">
        <v>运费补贴</v>
      </c>
      <c r="E38" s="25" t="str">
        <v>DECIMAL</v>
      </c>
      <c r="F38" s="56" t="str">
        <v>10, 2</v>
      </c>
      <c r="G38" s="23" t="str">
        <v>estimated_commission_expense</v>
      </c>
      <c r="H38" s="17"/>
      <c r="I38" s="55"/>
      <c r="J38" s="24"/>
      <c r="K38" s="24"/>
      <c r="L38" s="24"/>
      <c r="M38" s="24"/>
      <c r="N38" s="24"/>
    </row>
    <row r="39">
      <c r="A39" s="23">
        <v>37</v>
      </c>
      <c r="B39" s="23" t="str">
        <v>营销费用源表-抖音-精选联盟</v>
      </c>
      <c r="C39" s="25" t="str">
        <v>distribution_source</v>
      </c>
      <c r="D39" s="23" t="str">
        <v>分销来源</v>
      </c>
      <c r="E39" s="25" t="str">
        <v>VARCHAR</v>
      </c>
      <c r="F39" s="56">
        <v>255</v>
      </c>
      <c r="G39" s="23"/>
      <c r="H39" s="17"/>
      <c r="I39" s="55"/>
      <c r="J39" s="24"/>
      <c r="K39" s="24"/>
      <c r="L39" s="24"/>
      <c r="M39" s="24"/>
      <c r="N39" s="24"/>
    </row>
    <row r="40">
      <c r="A40" s="23">
        <v>38</v>
      </c>
      <c r="B40" s="23" t="str">
        <v>营销费用源表-抖音-精选联盟</v>
      </c>
      <c r="C40" s="25" t="str">
        <v>marketing_activity_id</v>
      </c>
      <c r="D40" s="23" t="str">
        <v>营销活动id</v>
      </c>
      <c r="E40" s="25" t="str">
        <v>INT</v>
      </c>
      <c r="F40" s="56">
        <v>11</v>
      </c>
      <c r="G40" s="23"/>
      <c r="H40" s="17"/>
      <c r="I40" s="55"/>
      <c r="J40" s="24"/>
      <c r="K40" s="24"/>
      <c r="L40" s="24"/>
      <c r="M40" s="24"/>
      <c r="N40" s="24"/>
    </row>
    <row r="41">
      <c r="A41" s="23">
        <v>39</v>
      </c>
      <c r="B41" s="23" t="str">
        <v>营销费用源表-抖音-精选联盟</v>
      </c>
      <c r="C41" s="25" t="str">
        <v>promotion_rate</v>
      </c>
      <c r="D41" s="23" t="str">
        <v>推广费率</v>
      </c>
      <c r="E41" s="25" t="str">
        <v>DECIMAL</v>
      </c>
      <c r="F41" s="56" t="str">
        <v>5, 2</v>
      </c>
      <c r="G41" s="23"/>
      <c r="H41" s="17"/>
      <c r="I41" s="55"/>
      <c r="J41" s="24"/>
      <c r="K41" s="24"/>
      <c r="L41" s="24"/>
      <c r="M41" s="24"/>
      <c r="N41" s="24"/>
    </row>
    <row r="42">
      <c r="A42" s="23">
        <v>40</v>
      </c>
      <c r="B42" s="23" t="str">
        <v>营销费用源表-抖音-精选联盟</v>
      </c>
      <c r="C42" s="25" t="str">
        <v>promotion_tech_service_fee</v>
      </c>
      <c r="D42" s="23" t="str">
        <v>推广技术服务费</v>
      </c>
      <c r="E42" s="25" t="str">
        <v>DECIMAL</v>
      </c>
      <c r="F42" s="56" t="str">
        <v>10, 2</v>
      </c>
      <c r="G42" s="23"/>
      <c r="H42" s="17"/>
      <c r="I42" s="55"/>
      <c r="J42" s="24"/>
      <c r="K42" s="24"/>
      <c r="L42" s="24"/>
      <c r="M42" s="24"/>
      <c r="N42" s="24"/>
    </row>
    <row r="43">
      <c r="A43" s="23">
        <v>41</v>
      </c>
      <c r="B43" s="23" t="str">
        <v>营销费用源表-抖音-精选联盟</v>
      </c>
      <c r="C43" s="25" t="str">
        <v>estimated_promotion_expense</v>
      </c>
      <c r="D43" s="23" t="str">
        <v>预估推广费支出</v>
      </c>
      <c r="E43" s="25" t="str">
        <v>DECIMAL</v>
      </c>
      <c r="F43" s="56" t="str">
        <v>10, 2</v>
      </c>
      <c r="G43" s="23"/>
      <c r="H43" s="17"/>
      <c r="I43" s="55"/>
      <c r="J43" s="24"/>
      <c r="K43" s="24"/>
      <c r="L43" s="24"/>
      <c r="M43" s="24"/>
      <c r="N43" s="24"/>
    </row>
    <row r="44">
      <c r="A44" s="23">
        <v>42</v>
      </c>
      <c r="B44" s="23" t="str">
        <v>营销费用源表-抖音-精选联盟</v>
      </c>
      <c r="C44" s="25" t="str">
        <v>settlement_promotion_expense</v>
      </c>
      <c r="D44" s="23" t="str">
        <v>结算推广费支出</v>
      </c>
      <c r="E44" s="25" t="str">
        <v>DECIMAL</v>
      </c>
      <c r="F44" s="56" t="str">
        <v>10, 2</v>
      </c>
      <c r="G44" s="23"/>
      <c r="H44" s="17"/>
      <c r="I44" s="55"/>
      <c r="J44" s="24"/>
      <c r="K44" s="24"/>
      <c r="L44" s="24"/>
      <c r="M44" s="24"/>
      <c r="N44" s="24"/>
    </row>
    <row r="45">
      <c r="A45" s="23">
        <v>43</v>
      </c>
      <c r="B45" s="23" t="str">
        <v>营销费用源表-抖音-精选联盟</v>
      </c>
      <c r="C45" s="25" t="str">
        <v>plan_type</v>
      </c>
      <c r="D45" s="23" t="str">
        <v>计划类型</v>
      </c>
      <c r="E45" s="25" t="str">
        <v>VARCHAR</v>
      </c>
      <c r="F45" s="56">
        <v>255</v>
      </c>
      <c r="G45" s="23"/>
      <c r="H45" s="17"/>
      <c r="I45" s="55"/>
      <c r="J45" s="24"/>
      <c r="K45" s="24"/>
      <c r="L45" s="24"/>
      <c r="M45" s="24"/>
      <c r="N45" s="24"/>
    </row>
    <row r="46">
      <c r="A46" s="23">
        <v>44</v>
      </c>
      <c r="B46" s="23" t="str">
        <v>营销费用源表-抖音-精选联盟</v>
      </c>
      <c r="C46" s="25" t="str">
        <v>order_source</v>
      </c>
      <c r="D46" s="23" t="str">
        <v>订单来源</v>
      </c>
      <c r="E46" s="25" t="str">
        <v>VARCHAR</v>
      </c>
      <c r="F46" s="56">
        <v>255</v>
      </c>
      <c r="G46" s="23"/>
      <c r="H46" s="17"/>
      <c r="I46" s="55"/>
      <c r="J46" s="24"/>
      <c r="K46" s="24"/>
      <c r="L46" s="24"/>
      <c r="M46" s="24"/>
      <c r="N46" s="24"/>
    </row>
    <row r="47">
      <c r="A47" s="23">
        <v>45</v>
      </c>
      <c r="B47" s="23" t="str">
        <v>营销费用源表-抖音-精选联盟</v>
      </c>
      <c r="C47" s="25" t="str">
        <v>traffic_source</v>
      </c>
      <c r="D47" s="23" t="str">
        <v>流量来源</v>
      </c>
      <c r="E47" s="25" t="str">
        <v>VARCHAR</v>
      </c>
      <c r="F47" s="56">
        <v>255</v>
      </c>
      <c r="G47" s="23"/>
      <c r="H47" s="17"/>
      <c r="I47" s="55"/>
      <c r="J47" s="24"/>
      <c r="K47" s="24"/>
      <c r="L47" s="24"/>
      <c r="M47" s="24"/>
      <c r="N47" s="24"/>
    </row>
    <row r="48">
      <c r="A48" s="23">
        <v>46</v>
      </c>
      <c r="B48" s="23" t="str">
        <v>营销费用源表-抖音-精选联盟</v>
      </c>
      <c r="C48" s="25" t="str">
        <v>order_type</v>
      </c>
      <c r="D48" s="23" t="str">
        <v>订单类型</v>
      </c>
      <c r="E48" s="25" t="str">
        <v>VARCHAR</v>
      </c>
      <c r="F48" s="56">
        <v>255</v>
      </c>
      <c r="G48" s="23"/>
      <c r="H48" s="17"/>
      <c r="I48" s="55"/>
      <c r="J48" s="24"/>
      <c r="K48" s="24"/>
      <c r="L48" s="24"/>
      <c r="M48" s="24"/>
      <c r="N48" s="24"/>
    </row>
    <row r="49">
      <c r="F49" s="1"/>
    </row>
    <row r="50">
      <c r="F50" s="1"/>
    </row>
    <row r="51">
      <c r="F51" s="1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</sheetData>
  <mergeCells>
    <mergeCell ref="I1:N1"/>
    <mergeCell ref="A1:H1"/>
  </mergeCells>
  <picture r:id="rId1"/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19" t="str">
        <v>序号</v>
      </c>
      <c r="B2" s="19" t="str">
        <v>模型名称</v>
      </c>
      <c r="C2" s="20" t="str">
        <v>字段</v>
      </c>
      <c r="D2" s="19" t="str">
        <v>字段描述</v>
      </c>
      <c r="E2" s="19" t="str">
        <v>字段类型</v>
      </c>
      <c r="F2" s="19" t="str">
        <v>字段长度</v>
      </c>
      <c r="G2" s="19" t="str">
        <v>是否主键</v>
      </c>
      <c r="H2" s="19" t="str">
        <v>字段备注</v>
      </c>
      <c r="I2" s="35" t="str">
        <v>数据来源系统</v>
      </c>
      <c r="J2" s="35" t="str">
        <v>数据来源表</v>
      </c>
      <c r="K2" s="35" t="str">
        <v>来源表描述</v>
      </c>
      <c r="L2" s="36" t="str">
        <v>来源字段</v>
      </c>
      <c r="M2" s="36" t="str">
        <v>来源字段描述</v>
      </c>
      <c r="N2" s="36" t="str">
        <v>备注</v>
      </c>
    </row>
    <row r="3">
      <c r="A3" s="23">
        <v>1</v>
      </c>
      <c r="B3" s="15" t="str">
        <v>营销费用源表-抖音-DOU+</v>
      </c>
      <c r="C3" s="25" t="str">
        <v>order_id</v>
      </c>
      <c r="D3" s="26" t="str">
        <v>订单号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23">
        <v>2</v>
      </c>
      <c r="B4" s="15" t="str">
        <v>营销费用源表-抖音-DOU+</v>
      </c>
      <c r="C4" s="25" t="str">
        <v>order_type</v>
      </c>
      <c r="D4" s="26" t="str">
        <v>订单类型</v>
      </c>
      <c r="E4" s="23" t="str">
        <v>STRING</v>
      </c>
      <c r="F4" s="23">
        <f>CONCAT(",",C4,"   ",E4,"   COMMENT'", D4,"'" )</f>
      </c>
      <c r="G4" s="17"/>
      <c r="H4" s="17"/>
      <c r="I4" s="24"/>
      <c r="J4" s="24"/>
      <c r="K4" s="24"/>
      <c r="L4" s="24"/>
      <c r="M4" s="24"/>
      <c r="N4" s="24"/>
    </row>
    <row r="5">
      <c r="A5" s="23">
        <v>3</v>
      </c>
      <c r="B5" s="15" t="str">
        <v>营销费用源表-抖音-DOU+</v>
      </c>
      <c r="C5" s="25" t="str">
        <v>author_name</v>
      </c>
      <c r="D5" s="26" t="str">
        <v>作者名称</v>
      </c>
      <c r="E5" s="23" t="str">
        <v>STRING</v>
      </c>
      <c r="F5" s="23">
        <f>CONCAT(",",C5,"   ",E5,"   COMMENT'", D5,"'" )</f>
      </c>
      <c r="G5" s="17"/>
      <c r="H5" s="17"/>
      <c r="I5" s="24"/>
      <c r="J5" s="24"/>
      <c r="K5" s="24"/>
      <c r="L5" s="24"/>
      <c r="M5" s="24"/>
      <c r="N5" s="24"/>
    </row>
    <row r="6">
      <c r="A6" s="23">
        <v>4</v>
      </c>
      <c r="B6" s="15" t="str">
        <v>营销费用源表-抖音-DOU+</v>
      </c>
      <c r="C6" s="25" t="str">
        <v>video_title</v>
      </c>
      <c r="D6" s="26" t="str">
        <v>视频标题</v>
      </c>
      <c r="E6" s="23" t="str">
        <v>STRING</v>
      </c>
      <c r="F6" s="23">
        <f>CONCAT(",",C6,"   ",E6,"   COMMENT'", D6,"'" )</f>
      </c>
      <c r="G6" s="17"/>
      <c r="H6" s="17"/>
      <c r="I6" s="24"/>
      <c r="J6" s="24"/>
      <c r="K6" s="24"/>
      <c r="L6" s="24"/>
      <c r="M6" s="24"/>
      <c r="N6" s="24"/>
    </row>
    <row r="7">
      <c r="A7" s="23">
        <v>5</v>
      </c>
      <c r="B7" s="15" t="str">
        <v>营销费用源表-抖音-DOU+</v>
      </c>
      <c r="C7" s="25" t="str">
        <v>video_url</v>
      </c>
      <c r="D7" s="26" t="str">
        <v>视频链接</v>
      </c>
      <c r="E7" s="23" t="str">
        <v>STRING</v>
      </c>
      <c r="F7" s="23">
        <f>CONCAT(",",C7,"   ",E7,"   COMMENT'", D7,"'" )</f>
      </c>
      <c r="G7" s="17"/>
      <c r="H7" s="17"/>
      <c r="I7" s="24"/>
      <c r="J7" s="24"/>
      <c r="K7" s="24"/>
      <c r="L7" s="24"/>
      <c r="M7" s="24"/>
      <c r="N7" s="24"/>
    </row>
    <row r="8">
      <c r="A8" s="23">
        <v>6</v>
      </c>
      <c r="B8" s="15" t="str">
        <v>营销费用源表-抖音-DOU+</v>
      </c>
      <c r="C8" s="25" t="str">
        <v>order_time</v>
      </c>
      <c r="D8" s="26" t="str">
        <v>下单时间</v>
      </c>
      <c r="E8" s="23" t="str">
        <v>STRING</v>
      </c>
      <c r="F8" s="23">
        <f>CONCAT(",",C8,"   ",E8,"   COMMENT'", D8,"'" )</f>
      </c>
      <c r="G8" s="17"/>
      <c r="H8" s="17"/>
      <c r="I8" s="24"/>
      <c r="J8" s="24"/>
      <c r="K8" s="24"/>
      <c r="L8" s="24"/>
      <c r="M8" s="24"/>
      <c r="N8" s="24"/>
    </row>
    <row r="9">
      <c r="A9" s="23">
        <v>7</v>
      </c>
      <c r="B9" s="15" t="str">
        <v>营销费用源表-抖音-DOU+</v>
      </c>
      <c r="C9" s="25" t="str">
        <v>status</v>
      </c>
      <c r="D9" s="26" t="str">
        <v>状态</v>
      </c>
      <c r="E9" s="23" t="str">
        <v>STRING</v>
      </c>
      <c r="F9" s="23">
        <f>CONCAT(",",C9,"   ",E9,"   COMMENT'", D9,"'" )</f>
      </c>
      <c r="G9" s="17"/>
      <c r="H9" s="17"/>
      <c r="I9" s="24"/>
      <c r="J9" s="24"/>
      <c r="K9" s="24"/>
      <c r="L9" s="24"/>
      <c r="M9" s="24"/>
      <c r="N9" s="24"/>
    </row>
    <row r="10">
      <c r="A10" s="23">
        <v>8</v>
      </c>
      <c r="B10" s="15" t="str">
        <v>营销费用源表-抖音-DOU+</v>
      </c>
      <c r="C10" s="25" t="str">
        <v>order_amount</v>
      </c>
      <c r="D10" s="26" t="str">
        <v>订单金额（元）</v>
      </c>
      <c r="E10" s="17" t="str">
        <v>DECIMAL(30, 8)</v>
      </c>
      <c r="F10" s="23">
        <f>CONCAT(",",C10,"   ",E10,"   COMMENT'", D10,"'" )</f>
      </c>
      <c r="G10" s="17"/>
      <c r="H10" s="17"/>
      <c r="I10" s="24"/>
      <c r="J10" s="24"/>
      <c r="K10" s="24"/>
      <c r="L10" s="24"/>
      <c r="M10" s="24"/>
      <c r="N10" s="24"/>
    </row>
    <row r="11">
      <c r="A11" s="23">
        <v>9</v>
      </c>
      <c r="B11" s="15" t="str">
        <v>营销费用源表-抖音-DOU+</v>
      </c>
      <c r="C11" s="25" t="str">
        <v>budget</v>
      </c>
      <c r="D11" s="26" t="str">
        <v>预算（元）</v>
      </c>
      <c r="E11" s="17" t="str">
        <v>DECIMAL(30, 8)</v>
      </c>
      <c r="F11" s="23">
        <f>CONCAT(",",C11,"   ",E11,"   COMMENT'", D11,"'" )</f>
      </c>
      <c r="G11" s="17"/>
      <c r="H11" s="17"/>
      <c r="I11" s="24"/>
      <c r="J11" s="24"/>
      <c r="K11" s="24"/>
      <c r="L11" s="24"/>
      <c r="M11" s="24"/>
      <c r="N11" s="24"/>
    </row>
    <row r="12">
      <c r="A12" s="23">
        <v>10</v>
      </c>
      <c r="B12" s="15" t="str">
        <v>营销费用源表-抖音-DOU+</v>
      </c>
      <c r="C12" s="25" t="str">
        <v>cost</v>
      </c>
      <c r="D12" s="26" t="str">
        <v>消耗（元）</v>
      </c>
      <c r="E12" s="17" t="str">
        <v>DECIMAL(30, 8)</v>
      </c>
      <c r="F12" s="23">
        <f>CONCAT(",",C12,"   ",E12,"   COMMENT'", D12,"'" )</f>
      </c>
      <c r="G12" s="17"/>
      <c r="H12" s="17"/>
      <c r="I12" s="24"/>
      <c r="J12" s="24"/>
      <c r="K12" s="24"/>
      <c r="L12" s="24"/>
      <c r="M12" s="24"/>
      <c r="N12" s="24"/>
    </row>
    <row r="13">
      <c r="A13" s="23">
        <v>11</v>
      </c>
      <c r="B13" s="15" t="str">
        <v>营销费用源表-抖音-DOU+</v>
      </c>
      <c r="C13" s="25" t="str">
        <v>target</v>
      </c>
      <c r="D13" s="26" t="str">
        <v>投放目标</v>
      </c>
      <c r="E13" s="23" t="str">
        <v>STRING</v>
      </c>
      <c r="F13" s="23">
        <f>CONCAT(",",C13,"   ",E13,"   COMMENT'", D13,"'" )</f>
      </c>
      <c r="G13" s="17"/>
      <c r="H13" s="17"/>
      <c r="I13" s="24"/>
      <c r="J13" s="24"/>
      <c r="K13" s="24"/>
      <c r="L13" s="24"/>
      <c r="M13" s="24"/>
      <c r="N13" s="24"/>
    </row>
    <row r="14">
      <c r="A14" s="23">
        <v>12</v>
      </c>
      <c r="B14" s="15" t="str">
        <v>营销费用源表-抖音-DOU+</v>
      </c>
      <c r="C14" s="25" t="str">
        <v>conversion</v>
      </c>
      <c r="D14" s="26" t="str">
        <v>转化量</v>
      </c>
      <c r="E14" s="23" t="str">
        <v>STRING</v>
      </c>
      <c r="F14" s="23">
        <f>CONCAT(",",C14,"   ",E14,"   COMMENT'", D14,"'" )</f>
      </c>
      <c r="G14" s="17"/>
      <c r="H14" s="17"/>
      <c r="I14" s="24"/>
      <c r="J14" s="24"/>
      <c r="K14" s="24"/>
      <c r="L14" s="24"/>
      <c r="M14" s="24"/>
      <c r="N14" s="24"/>
    </row>
    <row r="15">
      <c r="A15" s="23">
        <v>13</v>
      </c>
      <c r="B15" s="15" t="str">
        <v>营销费用源表-抖音-DOU+</v>
      </c>
      <c r="C15" s="25" t="str">
        <v>conversion_cost</v>
      </c>
      <c r="D15" s="26" t="str">
        <v>转化成本</v>
      </c>
      <c r="E15" s="17" t="str">
        <v>DECIMAL(30, 8)</v>
      </c>
      <c r="F15" s="23">
        <f>CONCAT(",",C15,"   ",E15,"   COMMENT'", D15,"'" )</f>
      </c>
      <c r="G15" s="17"/>
      <c r="H15" s="17"/>
      <c r="I15" s="24"/>
      <c r="J15" s="24"/>
      <c r="K15" s="24"/>
      <c r="L15" s="24"/>
      <c r="M15" s="24"/>
      <c r="N15" s="24"/>
    </row>
    <row r="16">
      <c r="A16" s="23">
        <v>14</v>
      </c>
      <c r="B16" s="15" t="str">
        <v>营销费用源表-抖音-DOU+</v>
      </c>
      <c r="C16" s="25" t="str">
        <v>room_exposure</v>
      </c>
      <c r="D16" s="26" t="str">
        <v>直播间展示量</v>
      </c>
      <c r="E16" s="23" t="str">
        <v>STRING</v>
      </c>
      <c r="F16" s="23">
        <f>CONCAT(",",C16,"   ",E16,"   COMMENT'", D16,"'" )</f>
      </c>
      <c r="G16" s="17"/>
      <c r="H16" s="17"/>
      <c r="I16" s="24"/>
      <c r="J16" s="24"/>
      <c r="K16" s="24"/>
      <c r="L16" s="24"/>
      <c r="M16" s="24"/>
      <c r="N16" s="24"/>
    </row>
    <row r="17">
      <c r="A17" s="23">
        <v>15</v>
      </c>
      <c r="B17" s="15" t="str">
        <v>营销费用源表-抖音-DOU+</v>
      </c>
      <c r="C17" s="25" t="str">
        <v>new_audience</v>
      </c>
      <c r="D17" s="26" t="str">
        <v>新增观众量</v>
      </c>
      <c r="E17" s="23" t="str">
        <v>STRING</v>
      </c>
      <c r="F17" s="23">
        <f>CONCAT(",",C17,"   ",E17,"   COMMENT'", D17,"'" )</f>
      </c>
      <c r="G17" s="17"/>
      <c r="H17" s="17"/>
      <c r="I17" s="24"/>
      <c r="J17" s="24"/>
      <c r="K17" s="24"/>
      <c r="L17" s="24"/>
      <c r="M17" s="24"/>
      <c r="N17" s="24"/>
    </row>
    <row r="18">
      <c r="A18" s="23">
        <v>16</v>
      </c>
      <c r="B18" s="15" t="str">
        <v>营销费用源表-抖音-DOU+</v>
      </c>
      <c r="C18" s="25" t="str">
        <v>new_fans</v>
      </c>
      <c r="D18" s="26" t="str">
        <v>新增粉丝量</v>
      </c>
      <c r="E18" s="23" t="str">
        <v>STRING</v>
      </c>
      <c r="F18" s="23">
        <f>CONCAT(",",C18,"   ",E18,"   COMMENT'", D18,"'" )</f>
      </c>
      <c r="G18" s="17"/>
      <c r="H18" s="17"/>
      <c r="I18" s="24"/>
      <c r="J18" s="24"/>
      <c r="K18" s="24"/>
      <c r="L18" s="24"/>
      <c r="M18" s="24"/>
      <c r="N18" s="24"/>
    </row>
    <row r="19">
      <c r="A19" s="23">
        <v>17</v>
      </c>
      <c r="B19" s="15" t="str">
        <v>营销费用源表-抖音-DOU+</v>
      </c>
      <c r="C19" s="25" t="str">
        <v>live_comments</v>
      </c>
      <c r="D19" s="26" t="str">
        <v>直播评论量</v>
      </c>
      <c r="E19" s="23" t="str">
        <v>STRING</v>
      </c>
      <c r="F19" s="23">
        <f>CONCAT(",",C19,"   ",E19,"   COMMENT'", D19,"'" )</f>
      </c>
      <c r="G19" s="17"/>
      <c r="H19" s="17"/>
      <c r="I19" s="24"/>
      <c r="J19" s="24"/>
      <c r="K19" s="24"/>
      <c r="L19" s="24"/>
      <c r="M19" s="24"/>
      <c r="N19" s="24"/>
    </row>
    <row r="20">
      <c r="A20" s="23">
        <v>18</v>
      </c>
      <c r="B20" s="15" t="str">
        <v>营销费用源表-抖音-DOU+</v>
      </c>
      <c r="C20" s="25" t="str">
        <v>video_play</v>
      </c>
      <c r="D20" s="26" t="str">
        <v>视频播放量</v>
      </c>
      <c r="E20" s="23" t="str">
        <v>STRING</v>
      </c>
      <c r="F20" s="23">
        <f>CONCAT(",",C20,"   ",E20,"   COMMENT'", D20,"'" )</f>
      </c>
      <c r="G20" s="17"/>
      <c r="H20" s="17"/>
      <c r="I20" s="24"/>
      <c r="J20" s="24"/>
      <c r="K20" s="24"/>
      <c r="L20" s="24"/>
      <c r="M20" s="24"/>
      <c r="N20" s="24"/>
    </row>
    <row r="21">
      <c r="A21" s="23">
        <v>19</v>
      </c>
      <c r="B21" s="15" t="str">
        <v>营销费用源表-抖音-DOU+</v>
      </c>
      <c r="C21" s="25" t="str">
        <v>complete_rate</v>
      </c>
      <c r="D21" s="26" t="str">
        <v>5秒完播率</v>
      </c>
      <c r="E21" s="23" t="str">
        <v>STRING</v>
      </c>
      <c r="F21" s="23">
        <f>CONCAT(",",C21,"   ",E21,"   COMMENT'", D21,"'" )</f>
      </c>
      <c r="G21" s="17"/>
      <c r="H21" s="17"/>
      <c r="I21" s="24"/>
      <c r="J21" s="24"/>
      <c r="K21" s="24"/>
      <c r="L21" s="24"/>
      <c r="M21" s="24"/>
      <c r="N21" s="24"/>
    </row>
    <row r="22">
      <c r="A22" s="23">
        <v>20</v>
      </c>
      <c r="B22" s="15" t="str">
        <v>营销费用源表-抖音-DOU+</v>
      </c>
      <c r="C22" s="25" t="str">
        <v>video_likes</v>
      </c>
      <c r="D22" s="26" t="str">
        <v>视频点赞量</v>
      </c>
      <c r="E22" s="23" t="str">
        <v>STRING</v>
      </c>
      <c r="F22" s="23">
        <f>CONCAT(",",C22,"   ",E22,"   COMMENT'", D22,"'" )</f>
      </c>
      <c r="G22" s="17"/>
      <c r="H22" s="17"/>
      <c r="I22" s="24"/>
      <c r="J22" s="24"/>
      <c r="K22" s="24"/>
      <c r="L22" s="24"/>
      <c r="M22" s="24"/>
      <c r="N22" s="24"/>
    </row>
    <row r="23">
      <c r="A23" s="23">
        <v>21</v>
      </c>
      <c r="B23" s="15" t="str">
        <v>营销费用源表-抖音-DOU+</v>
      </c>
      <c r="C23" s="25" t="str">
        <v>video_comments</v>
      </c>
      <c r="D23" s="26" t="str">
        <v>视频评论量</v>
      </c>
      <c r="E23" s="23" t="str">
        <v>STRING</v>
      </c>
      <c r="F23" s="23">
        <f>CONCAT(",",C23,"   ",E23,"   COMMENT'", D23,"'" )</f>
      </c>
      <c r="G23" s="52"/>
      <c r="H23" s="52"/>
      <c r="I23" s="24"/>
      <c r="J23" s="24"/>
      <c r="K23" s="24"/>
      <c r="L23" s="24"/>
      <c r="M23" s="24"/>
      <c r="N23" s="24"/>
    </row>
    <row r="24">
      <c r="A24" s="23">
        <v>22</v>
      </c>
      <c r="B24" s="15" t="str">
        <v>营销费用源表-抖音-DOU+</v>
      </c>
      <c r="C24" s="25" t="str">
        <v>video_shares</v>
      </c>
      <c r="D24" s="26" t="str">
        <v>视频分享量</v>
      </c>
      <c r="E24" s="23" t="str">
        <v>STRING</v>
      </c>
      <c r="F24" s="23">
        <f>CONCAT(",",C24,"   ",E24,"   COMMENT'", D24,"'" )</f>
      </c>
      <c r="G24" s="17"/>
      <c r="H24" s="17"/>
      <c r="I24" s="24"/>
      <c r="J24" s="24"/>
      <c r="K24" s="24"/>
      <c r="L24" s="24"/>
      <c r="M24" s="24"/>
      <c r="N24" s="24"/>
    </row>
    <row r="25">
      <c r="A25" s="23">
        <v>23</v>
      </c>
      <c r="B25" s="15" t="str">
        <v>营销费用源表-抖音-DOU+</v>
      </c>
      <c r="C25" s="25" t="str">
        <v>page_views</v>
      </c>
      <c r="D25" s="26" t="str">
        <v>主页浏览量</v>
      </c>
      <c r="E25" s="23" t="str">
        <v>STRING</v>
      </c>
      <c r="F25" s="23">
        <f>CONCAT(",",C25,"   ",E25,"   COMMENT'", D25,"'" )</f>
      </c>
      <c r="G25" s="17"/>
      <c r="H25" s="17"/>
      <c r="I25" s="24"/>
      <c r="J25" s="24"/>
      <c r="K25" s="24"/>
      <c r="L25" s="24"/>
      <c r="M25" s="24"/>
      <c r="N25" s="24"/>
    </row>
    <row r="26">
      <c r="A26" s="23">
        <v>24</v>
      </c>
      <c r="B26" s="15" t="str">
        <v>营销费用源表-抖音-DOU+</v>
      </c>
      <c r="C26" s="25" t="str">
        <v>fans</v>
      </c>
      <c r="D26" s="26" t="str">
        <v>粉丝量</v>
      </c>
      <c r="E26" s="23" t="str">
        <v>STRING</v>
      </c>
      <c r="F26" s="23">
        <f>CONCAT(",",C26,"   ",E26,"   COMMENT'", D26,"'" )</f>
      </c>
      <c r="G26" s="17"/>
      <c r="H26" s="17"/>
      <c r="I26" s="24"/>
      <c r="J26" s="24"/>
      <c r="K26" s="24"/>
      <c r="L26" s="24"/>
      <c r="M26" s="24"/>
      <c r="N26" s="24"/>
    </row>
    <row r="27">
      <c r="A27" s="23">
        <v>25</v>
      </c>
      <c r="B27" s="15" t="str">
        <v>营销费用源表-抖音-DOU+</v>
      </c>
      <c r="C27" s="25" t="str">
        <v>expect_duration</v>
      </c>
      <c r="D27" s="26" t="str">
        <v>预计投放时长</v>
      </c>
      <c r="E27" s="23" t="str">
        <v>STRING</v>
      </c>
      <c r="F27" s="23">
        <f>CONCAT(",",C27,"   ",E27,"   COMMENT'", D27,"'" )</f>
      </c>
      <c r="G27" s="17"/>
      <c r="H27" s="17"/>
      <c r="I27" s="24"/>
      <c r="J27" s="24"/>
      <c r="K27" s="24"/>
      <c r="L27" s="24"/>
      <c r="M27" s="24"/>
      <c r="N27" s="24"/>
    </row>
    <row r="28">
      <c r="A28" s="23">
        <v>26</v>
      </c>
      <c r="B28" s="15" t="str">
        <v>营销费用源表-抖音-DOU+</v>
      </c>
      <c r="C28" s="25" t="str">
        <v>targeting_details</v>
      </c>
      <c r="D28" s="26" t="str">
        <v>定向详情</v>
      </c>
      <c r="E28" s="23" t="str">
        <v>STRING</v>
      </c>
      <c r="F28" s="23">
        <f>CONCAT(",",C28,"   ",E28,"   COMMENT'", D28,"'" )</f>
      </c>
      <c r="G28" s="17"/>
      <c r="H28" s="17"/>
      <c r="I28" s="24"/>
      <c r="J28" s="24"/>
      <c r="K28" s="24"/>
      <c r="L28" s="24"/>
      <c r="M28" s="24"/>
      <c r="N28" s="24"/>
    </row>
    <row r="29"/>
    <row r="30"/>
    <row r="31">
      <c r="A31" s="27" t="str">
        <v>订单号</v>
      </c>
      <c r="B31" s="27" t="str">
        <v>order_id</v>
      </c>
      <c r="C31" s="27" t="str">
        <v>字符串</v>
      </c>
      <c r="D31" s="28" t="str">
        <v>不超过100</v>
      </c>
    </row>
    <row r="32">
      <c r="A32" s="27" t="str">
        <v>订单类型</v>
      </c>
      <c r="B32" s="27" t="str">
        <v>order_type</v>
      </c>
      <c r="C32" s="27" t="str">
        <v>字符串</v>
      </c>
      <c r="D32" s="28" t="str">
        <v>不超过50</v>
      </c>
    </row>
    <row r="33">
      <c r="A33" s="27" t="str">
        <v>作者名称</v>
      </c>
      <c r="B33" s="27" t="str">
        <v>author_name</v>
      </c>
      <c r="C33" s="27" t="str">
        <v>字符串</v>
      </c>
      <c r="D33" s="28" t="str">
        <v>不超过100</v>
      </c>
    </row>
    <row r="34">
      <c r="A34" s="27" t="str">
        <v>视频标题</v>
      </c>
      <c r="B34" s="27" t="str">
        <v>video_title</v>
      </c>
      <c r="C34" s="27" t="str">
        <v>字符串</v>
      </c>
      <c r="D34" s="28" t="str">
        <v>不超过100</v>
      </c>
    </row>
    <row r="35">
      <c r="A35" s="27" t="str">
        <v>视频链接</v>
      </c>
      <c r="B35" s="27" t="str">
        <v>video_url</v>
      </c>
      <c r="C35" s="27" t="str">
        <v>字符串</v>
      </c>
      <c r="D35" s="28" t="str">
        <v>不超过200</v>
      </c>
    </row>
    <row r="36">
      <c r="A36" s="27" t="str">
        <v>下单时间</v>
      </c>
      <c r="B36" s="27" t="str">
        <v>order_time</v>
      </c>
      <c r="C36" s="27" t="str">
        <v>日期时间</v>
      </c>
      <c r="D36" s="28" t="str">
        <v>-</v>
      </c>
    </row>
    <row r="37">
      <c r="A37" s="27" t="str">
        <v>状态</v>
      </c>
      <c r="B37" s="27" t="str">
        <v>status</v>
      </c>
      <c r="C37" s="27" t="str">
        <v>字符串</v>
      </c>
      <c r="D37" s="28" t="str">
        <v>不超过50</v>
      </c>
    </row>
    <row r="38">
      <c r="A38" s="27" t="str">
        <v>订单金额（元）</v>
      </c>
      <c r="B38" s="27" t="str">
        <v>order_amount</v>
      </c>
      <c r="C38" s="27" t="str">
        <v>浮点数</v>
      </c>
      <c r="D38" s="28" t="str">
        <v>-</v>
      </c>
    </row>
    <row r="39">
      <c r="A39" s="27" t="str">
        <v>预算（元）</v>
      </c>
      <c r="B39" s="27" t="str">
        <v>budget</v>
      </c>
      <c r="C39" s="27" t="str">
        <v>浮点数</v>
      </c>
      <c r="D39" s="28" t="str">
        <v>-</v>
      </c>
    </row>
    <row r="40">
      <c r="A40" s="27" t="str">
        <v>消耗（元）</v>
      </c>
      <c r="B40" s="27" t="str">
        <v>cost</v>
      </c>
      <c r="C40" s="27" t="str">
        <v>浮点数</v>
      </c>
      <c r="D40" s="28" t="str">
        <v>-</v>
      </c>
    </row>
    <row r="41">
      <c r="A41" s="27" t="str">
        <v>投放目标</v>
      </c>
      <c r="B41" s="27" t="str">
        <v>target</v>
      </c>
      <c r="C41" s="27" t="str">
        <v>字符串</v>
      </c>
      <c r="D41" s="28" t="str">
        <v>不超过100</v>
      </c>
    </row>
    <row r="42">
      <c r="A42" s="27" t="str">
        <v>转化量</v>
      </c>
      <c r="B42" s="27" t="str">
        <v>conversion</v>
      </c>
      <c r="C42" s="27" t="str">
        <v>整数</v>
      </c>
      <c r="D42" s="28" t="str">
        <v>-</v>
      </c>
    </row>
    <row r="43">
      <c r="A43" s="27" t="str">
        <v>转化成本</v>
      </c>
      <c r="B43" s="27" t="str">
        <v>conversion_cost</v>
      </c>
      <c r="C43" s="27" t="str">
        <v>浮点数</v>
      </c>
      <c r="D43" s="28" t="str">
        <v>-</v>
      </c>
    </row>
    <row r="44">
      <c r="A44" s="27" t="str">
        <v>直播间展示量</v>
      </c>
      <c r="B44" s="27" t="str">
        <v>room_exposure</v>
      </c>
      <c r="C44" s="27" t="str">
        <v>整数</v>
      </c>
      <c r="D44" s="28" t="str">
        <v>-</v>
      </c>
    </row>
    <row r="45">
      <c r="A45" s="27" t="str">
        <v>新增观众量</v>
      </c>
      <c r="B45" s="27" t="str">
        <v>new_audience</v>
      </c>
      <c r="C45" s="27" t="str">
        <v>整数</v>
      </c>
      <c r="D45" s="28" t="str">
        <v>-</v>
      </c>
    </row>
    <row r="46">
      <c r="A46" s="27" t="str">
        <v>新增粉丝量</v>
      </c>
      <c r="B46" s="27" t="str">
        <v>new_fans</v>
      </c>
      <c r="C46" s="27" t="str">
        <v>整数</v>
      </c>
      <c r="D46" s="28" t="str">
        <v>-</v>
      </c>
    </row>
    <row r="47">
      <c r="A47" s="27" t="str">
        <v>直播评论量</v>
      </c>
      <c r="B47" s="27" t="str">
        <v>live_comments</v>
      </c>
      <c r="C47" s="27" t="str">
        <v>整数</v>
      </c>
      <c r="D47" s="28" t="str">
        <v>-</v>
      </c>
    </row>
    <row r="48">
      <c r="A48" s="27" t="str">
        <v>视频播放量</v>
      </c>
      <c r="B48" s="27" t="str">
        <v>video_play</v>
      </c>
      <c r="C48" s="27" t="str">
        <v>整数</v>
      </c>
      <c r="D48" s="28" t="str">
        <v>-</v>
      </c>
    </row>
    <row r="49">
      <c r="A49" s="27" t="str">
        <v>5秒完播率</v>
      </c>
      <c r="B49" s="27" t="str">
        <v>complete_rate</v>
      </c>
      <c r="C49" s="27" t="str">
        <v>浮点数</v>
      </c>
      <c r="D49" s="28" t="str">
        <v>-</v>
      </c>
    </row>
    <row r="50">
      <c r="A50" s="27" t="str">
        <v>视频点赞量</v>
      </c>
      <c r="B50" s="27" t="str">
        <v>video_likes</v>
      </c>
      <c r="C50" s="27" t="str">
        <v>整数</v>
      </c>
      <c r="D50" s="28" t="str">
        <v>-</v>
      </c>
    </row>
    <row r="51">
      <c r="A51" s="27" t="str">
        <v>视频评论量</v>
      </c>
      <c r="B51" s="27" t="str">
        <v>video_comments</v>
      </c>
      <c r="C51" s="27" t="str">
        <v>整数</v>
      </c>
      <c r="D51" s="28" t="str">
        <v>-</v>
      </c>
    </row>
    <row r="52">
      <c r="A52" s="27" t="str">
        <v>视频分享量</v>
      </c>
      <c r="B52" s="27" t="str">
        <v>video_shares</v>
      </c>
      <c r="C52" s="27" t="str">
        <v>整数</v>
      </c>
      <c r="D52" s="28" t="str">
        <v>-</v>
      </c>
    </row>
    <row r="53">
      <c r="A53" s="27" t="str">
        <v>主页浏览量</v>
      </c>
      <c r="B53" s="27" t="str">
        <v>page_views</v>
      </c>
      <c r="C53" s="27" t="str">
        <v>整数</v>
      </c>
      <c r="D53" s="28" t="str">
        <v>-</v>
      </c>
    </row>
    <row r="54">
      <c r="A54" s="27" t="str">
        <v>粉丝量</v>
      </c>
      <c r="B54" s="27" t="str">
        <v>fans</v>
      </c>
      <c r="C54" s="27" t="str">
        <v>整数</v>
      </c>
      <c r="D54" s="28" t="str">
        <v>-</v>
      </c>
    </row>
    <row r="55">
      <c r="A55" s="27" t="str">
        <v>预计投放时长</v>
      </c>
      <c r="B55" s="27" t="str">
        <v>expect_duration</v>
      </c>
      <c r="C55" s="27" t="str">
        <v>整数</v>
      </c>
      <c r="D55" s="28" t="str">
        <v>-</v>
      </c>
    </row>
    <row r="56">
      <c r="A56" s="27" t="str">
        <v>定向详情</v>
      </c>
      <c r="B56" s="27" t="str">
        <v>targeting_details</v>
      </c>
      <c r="C56" s="27" t="str">
        <v>字符串</v>
      </c>
      <c r="D56" s="28" t="str">
        <v>不超过500</v>
      </c>
    </row>
  </sheetData>
  <mergeCells>
    <mergeCell ref="I1:N1"/>
    <mergeCell ref="A1:H1"/>
  </mergeCells>
  <picture r:id="rId1"/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15" t="str">
        <v>营销费用源表-抖音-矩阵号DOU+</v>
      </c>
      <c r="C3" s="25" t="str">
        <v>order_id</v>
      </c>
      <c r="D3" s="26" t="str">
        <v>订单号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23">
        <v>2</v>
      </c>
      <c r="B4" s="15" t="str">
        <v>营销费用源表-抖音-矩阵号DOU+</v>
      </c>
      <c r="C4" s="25" t="str">
        <v>order_type</v>
      </c>
      <c r="D4" s="26" t="str">
        <v>订单类型</v>
      </c>
      <c r="E4" s="23" t="str">
        <v>STRING</v>
      </c>
      <c r="F4" s="23">
        <f>CONCAT(",",C4,"   ",E4,"   COMMENT'", D4,"'" )</f>
      </c>
      <c r="G4" s="17"/>
      <c r="H4" s="17"/>
      <c r="I4" s="17"/>
      <c r="J4" s="17"/>
      <c r="K4" s="17"/>
      <c r="L4" s="17"/>
      <c r="M4" s="17"/>
      <c r="N4" s="17"/>
    </row>
    <row r="5">
      <c r="A5" s="23">
        <v>3</v>
      </c>
      <c r="B5" s="15" t="str">
        <v>营销费用源表-抖音-矩阵号DOU+</v>
      </c>
      <c r="C5" s="25" t="str">
        <v>author_name</v>
      </c>
      <c r="D5" s="26" t="str">
        <v>作者名称</v>
      </c>
      <c r="E5" s="23" t="str">
        <v>STRING</v>
      </c>
      <c r="F5" s="23">
        <f>CONCAT(",",C5,"   ",E5,"   COMMENT'", D5,"'" )</f>
      </c>
      <c r="G5" s="17"/>
      <c r="H5" s="17"/>
      <c r="I5" s="17"/>
      <c r="J5" s="17"/>
      <c r="K5" s="17"/>
      <c r="L5" s="17"/>
      <c r="M5" s="17"/>
      <c r="N5" s="17"/>
    </row>
    <row r="6">
      <c r="A6" s="23">
        <v>4</v>
      </c>
      <c r="B6" s="15" t="str">
        <v>营销费用源表-抖音-矩阵号DOU+</v>
      </c>
      <c r="C6" s="25" t="str">
        <v>video_title</v>
      </c>
      <c r="D6" s="26" t="str">
        <v>视频标题</v>
      </c>
      <c r="E6" s="23" t="str">
        <v>STRING</v>
      </c>
      <c r="F6" s="23">
        <f>CONCAT(",",C6,"   ",E6,"   COMMENT'", D6,"'" )</f>
      </c>
      <c r="G6" s="17"/>
      <c r="H6" s="17"/>
      <c r="I6" s="17"/>
      <c r="J6" s="17"/>
      <c r="K6" s="17"/>
      <c r="L6" s="17"/>
      <c r="M6" s="17"/>
      <c r="N6" s="17"/>
    </row>
    <row r="7">
      <c r="A7" s="23">
        <v>5</v>
      </c>
      <c r="B7" s="15" t="str">
        <v>营销费用源表-抖音-矩阵号DOU+</v>
      </c>
      <c r="C7" s="25" t="str">
        <v>video_link</v>
      </c>
      <c r="D7" s="26" t="str">
        <v>视频链接</v>
      </c>
      <c r="E7" s="23" t="str">
        <v>STRING</v>
      </c>
      <c r="F7" s="23">
        <f>CONCAT(",",C7,"   ",E7,"   COMMENT'", D7,"'" )</f>
      </c>
      <c r="G7" s="17"/>
      <c r="H7" s="17"/>
      <c r="I7" s="17"/>
      <c r="J7" s="17"/>
      <c r="K7" s="17"/>
      <c r="L7" s="17"/>
      <c r="M7" s="17"/>
      <c r="N7" s="17"/>
    </row>
    <row r="8">
      <c r="A8" s="23">
        <v>6</v>
      </c>
      <c r="B8" s="15" t="str">
        <v>营销费用源表-抖音-矩阵号DOU+</v>
      </c>
      <c r="C8" s="25" t="str">
        <v>order_time</v>
      </c>
      <c r="D8" s="26" t="str">
        <v>下单时间</v>
      </c>
      <c r="E8" s="23" t="str">
        <v>STRING</v>
      </c>
      <c r="F8" s="23">
        <f>CONCAT(",",C8,"   ",E8,"   COMMENT'", D8,"'" )</f>
      </c>
      <c r="G8" s="17"/>
      <c r="H8" s="17"/>
      <c r="I8" s="17"/>
      <c r="J8" s="17"/>
      <c r="K8" s="17"/>
      <c r="L8" s="17"/>
      <c r="M8" s="17"/>
      <c r="N8" s="17"/>
    </row>
    <row r="9">
      <c r="A9" s="23">
        <v>7</v>
      </c>
      <c r="B9" s="15" t="str">
        <v>营销费用源表-抖音-矩阵号DOU+</v>
      </c>
      <c r="C9" s="25" t="str">
        <v>status</v>
      </c>
      <c r="D9" s="26" t="str">
        <v>状态</v>
      </c>
      <c r="E9" s="23" t="str">
        <v>STRING</v>
      </c>
      <c r="F9" s="23">
        <f>CONCAT(",",C9,"   ",E9,"   COMMENT'", D9,"'" )</f>
      </c>
      <c r="G9" s="17"/>
      <c r="H9" s="17"/>
      <c r="I9" s="17"/>
      <c r="J9" s="17"/>
      <c r="K9" s="17"/>
      <c r="L9" s="17"/>
      <c r="M9" s="17"/>
      <c r="N9" s="17"/>
    </row>
    <row r="10">
      <c r="A10" s="23">
        <v>8</v>
      </c>
      <c r="B10" s="15" t="str">
        <v>营销费用源表-抖音-矩阵号DOU+</v>
      </c>
      <c r="C10" s="25" t="str">
        <v>order_amount</v>
      </c>
      <c r="D10" s="26" t="str">
        <v>订单金额（元）</v>
      </c>
      <c r="E10" s="17" t="str">
        <v>DECIMAL(30, 8)</v>
      </c>
      <c r="F10" s="23">
        <f>CONCAT(",",C10,"   ",E10,"   COMMENT'", D10,"'" )</f>
      </c>
      <c r="G10" s="17"/>
      <c r="H10" s="17"/>
      <c r="I10" s="17"/>
      <c r="J10" s="17"/>
      <c r="K10" s="17"/>
      <c r="L10" s="17"/>
      <c r="M10" s="17"/>
      <c r="N10" s="17"/>
    </row>
    <row r="11">
      <c r="A11" s="23">
        <v>9</v>
      </c>
      <c r="B11" s="15" t="str">
        <v>营销费用源表-抖音-矩阵号DOU+</v>
      </c>
      <c r="C11" s="25" t="str">
        <v>budget</v>
      </c>
      <c r="D11" s="26" t="str">
        <v>预算（元）</v>
      </c>
      <c r="E11" s="17" t="str">
        <v>DECIMAL(30, 8)</v>
      </c>
      <c r="F11" s="23">
        <f>CONCAT(",",C11,"   ",E11,"   COMMENT'", D11,"'" )</f>
      </c>
      <c r="G11" s="17"/>
      <c r="H11" s="17"/>
      <c r="I11" s="17"/>
      <c r="J11" s="17"/>
      <c r="K11" s="17"/>
      <c r="L11" s="17"/>
      <c r="M11" s="17"/>
      <c r="N11" s="17"/>
    </row>
    <row r="12">
      <c r="A12" s="23">
        <v>10</v>
      </c>
      <c r="B12" s="15" t="str">
        <v>营销费用源表-抖音-矩阵号DOU+</v>
      </c>
      <c r="C12" s="25" t="str">
        <v>cost</v>
      </c>
      <c r="D12" s="26" t="str">
        <v>消耗（元）</v>
      </c>
      <c r="E12" s="17" t="str">
        <v>DECIMAL(30, 8)</v>
      </c>
      <c r="F12" s="23">
        <f>CONCAT(",",C12,"   ",E12,"   COMMENT'", D12,"'" )</f>
      </c>
      <c r="G12" s="17"/>
      <c r="H12" s="17"/>
      <c r="I12" s="17"/>
      <c r="J12" s="17"/>
      <c r="K12" s="17"/>
      <c r="L12" s="17"/>
      <c r="M12" s="17"/>
      <c r="N12" s="17"/>
    </row>
    <row r="13">
      <c r="A13" s="23">
        <v>11</v>
      </c>
      <c r="B13" s="15" t="str">
        <v>营销费用源表-抖音-矩阵号DOU+</v>
      </c>
      <c r="C13" s="25" t="str">
        <v>target</v>
      </c>
      <c r="D13" s="26" t="str">
        <v>投放目标</v>
      </c>
      <c r="E13" s="23" t="str">
        <v>STRING</v>
      </c>
      <c r="F13" s="23">
        <f>CONCAT(",",C13,"   ",E13,"   COMMENT'", D13,"'" )</f>
      </c>
      <c r="G13" s="17"/>
      <c r="H13" s="17"/>
      <c r="I13" s="17"/>
      <c r="J13" s="17"/>
      <c r="K13" s="17"/>
      <c r="L13" s="17"/>
      <c r="M13" s="17"/>
      <c r="N13" s="17"/>
    </row>
    <row r="14">
      <c r="A14" s="23">
        <v>12</v>
      </c>
      <c r="B14" s="15" t="str">
        <v>营销费用源表-抖音-矩阵号DOU+</v>
      </c>
      <c r="C14" s="25" t="str">
        <v>conversion</v>
      </c>
      <c r="D14" s="26" t="str">
        <v>转化量</v>
      </c>
      <c r="E14" s="23" t="str">
        <v>STRING</v>
      </c>
      <c r="F14" s="23">
        <f>CONCAT(",",C14,"   ",E14,"   COMMENT'", D14,"'" )</f>
      </c>
      <c r="G14" s="17"/>
      <c r="H14" s="17"/>
      <c r="I14" s="17"/>
      <c r="J14" s="17"/>
      <c r="K14" s="17"/>
      <c r="L14" s="17"/>
      <c r="M14" s="17"/>
      <c r="N14" s="17"/>
    </row>
    <row r="15">
      <c r="A15" s="23">
        <v>13</v>
      </c>
      <c r="B15" s="15" t="str">
        <v>营销费用源表-抖音-矩阵号DOU+</v>
      </c>
      <c r="C15" s="25" t="str">
        <v>conversion_cost</v>
      </c>
      <c r="D15" s="26" t="str">
        <v>转化成本</v>
      </c>
      <c r="E15" s="17" t="str">
        <v>DECIMAL(30, 8)</v>
      </c>
      <c r="F15" s="23">
        <f>CONCAT(",",C15,"   ",E15,"   COMMENT'", D15,"'" )</f>
      </c>
      <c r="G15" s="17"/>
      <c r="H15" s="17"/>
      <c r="I15" s="17"/>
      <c r="J15" s="17"/>
      <c r="K15" s="17"/>
      <c r="L15" s="17"/>
      <c r="M15" s="17"/>
      <c r="N15" s="17"/>
    </row>
    <row r="16">
      <c r="A16" s="23">
        <v>14</v>
      </c>
      <c r="B16" s="15" t="str">
        <v>营销费用源表-抖音-矩阵号DOU+</v>
      </c>
      <c r="C16" s="25" t="str">
        <v>live_show</v>
      </c>
      <c r="D16" s="26" t="str">
        <v>直播间展示量</v>
      </c>
      <c r="E16" s="23" t="str">
        <v>STRING</v>
      </c>
      <c r="F16" s="23">
        <f>CONCAT(",",C16,"   ",E16,"   COMMENT'", D16,"'" )</f>
      </c>
      <c r="G16" s="17"/>
      <c r="H16" s="17"/>
      <c r="I16" s="17"/>
      <c r="J16" s="17"/>
      <c r="K16" s="17"/>
      <c r="L16" s="17"/>
      <c r="M16" s="17"/>
      <c r="N16" s="17"/>
    </row>
    <row r="17">
      <c r="A17" s="23">
        <v>15</v>
      </c>
      <c r="B17" s="15" t="str">
        <v>营销费用源表-抖音-矩阵号DOU+</v>
      </c>
      <c r="C17" s="25" t="str">
        <v>new_audience</v>
      </c>
      <c r="D17" s="26" t="str">
        <v>新增观众量</v>
      </c>
      <c r="E17" s="23" t="str">
        <v>STRING</v>
      </c>
      <c r="F17" s="23">
        <f>CONCAT(",",C17,"   ",E17,"   COMMENT'", D17,"'" )</f>
      </c>
      <c r="G17" s="17"/>
      <c r="H17" s="17"/>
      <c r="I17" s="17"/>
      <c r="J17" s="17"/>
      <c r="K17" s="17"/>
      <c r="L17" s="17"/>
      <c r="M17" s="17"/>
      <c r="N17" s="17"/>
    </row>
    <row r="18">
      <c r="A18" s="23">
        <v>16</v>
      </c>
      <c r="B18" s="15" t="str">
        <v>营销费用源表-抖音-矩阵号DOU+</v>
      </c>
      <c r="C18" s="25" t="str">
        <v>new_fans</v>
      </c>
      <c r="D18" s="26" t="str">
        <v>新增粉丝量</v>
      </c>
      <c r="E18" s="23" t="str">
        <v>STRING</v>
      </c>
      <c r="F18" s="23">
        <f>CONCAT(",",C18,"   ",E18,"   COMMENT'", D18,"'" )</f>
      </c>
      <c r="G18" s="17"/>
      <c r="H18" s="17"/>
      <c r="I18" s="17"/>
      <c r="J18" s="17"/>
      <c r="K18" s="17"/>
      <c r="L18" s="17"/>
      <c r="M18" s="17"/>
      <c r="N18" s="17"/>
    </row>
    <row r="19">
      <c r="A19" s="23">
        <v>17</v>
      </c>
      <c r="B19" s="15" t="str">
        <v>营销费用源表-抖音-矩阵号DOU+</v>
      </c>
      <c r="C19" s="25" t="str">
        <v>live_comments</v>
      </c>
      <c r="D19" s="26" t="str">
        <v>直播评论量</v>
      </c>
      <c r="E19" s="23" t="str">
        <v>STRING</v>
      </c>
      <c r="F19" s="23">
        <f>CONCAT(",",C19,"   ",E19,"   COMMENT'", D19,"'" )</f>
      </c>
      <c r="G19" s="17"/>
      <c r="H19" s="17"/>
      <c r="I19" s="17"/>
      <c r="J19" s="17"/>
      <c r="K19" s="17"/>
      <c r="L19" s="17"/>
      <c r="M19" s="17"/>
      <c r="N19" s="17"/>
    </row>
    <row r="20">
      <c r="A20" s="23">
        <v>18</v>
      </c>
      <c r="B20" s="15" t="str">
        <v>营销费用源表-抖音-矩阵号DOU+</v>
      </c>
      <c r="C20" s="25" t="str">
        <v>video_play</v>
      </c>
      <c r="D20" s="26" t="str">
        <v>视频播放量</v>
      </c>
      <c r="E20" s="23" t="str">
        <v>STRING</v>
      </c>
      <c r="F20" s="23">
        <f>CONCAT(",",C20,"   ",E20,"   COMMENT'", D20,"'" )</f>
      </c>
      <c r="G20" s="17"/>
      <c r="H20" s="17"/>
      <c r="I20" s="17"/>
      <c r="J20" s="17"/>
      <c r="K20" s="17"/>
      <c r="L20" s="17"/>
      <c r="M20" s="17"/>
      <c r="N20" s="17"/>
    </row>
    <row r="21">
      <c r="A21" s="23">
        <v>19</v>
      </c>
      <c r="B21" s="15" t="str">
        <v>营销费用源表-抖音-矩阵号DOU+</v>
      </c>
      <c r="C21" s="25" t="str">
        <v>play_completion_rate</v>
      </c>
      <c r="D21" s="26" t="str">
        <v>5秒完播率</v>
      </c>
      <c r="E21" s="23" t="str">
        <v>STRING</v>
      </c>
      <c r="F21" s="23">
        <f>CONCAT(",",C21,"   ",E21,"   COMMENT'", D21,"'" )</f>
      </c>
      <c r="G21" s="17"/>
      <c r="H21" s="17"/>
      <c r="I21" s="17"/>
      <c r="J21" s="17"/>
      <c r="K21" s="17"/>
      <c r="L21" s="17"/>
      <c r="M21" s="17"/>
      <c r="N21" s="17"/>
    </row>
    <row r="22">
      <c r="A22" s="23">
        <v>20</v>
      </c>
      <c r="B22" s="15" t="str">
        <v>营销费用源表-抖音-矩阵号DOU+</v>
      </c>
      <c r="C22" s="25" t="str">
        <v>video_likes</v>
      </c>
      <c r="D22" s="26" t="str">
        <v>视频点赞量</v>
      </c>
      <c r="E22" s="23" t="str">
        <v>STRING</v>
      </c>
      <c r="F22" s="23">
        <f>CONCAT(",",C22,"   ",E22,"   COMMENT'", D22,"'" )</f>
      </c>
      <c r="G22" s="17"/>
      <c r="H22" s="17"/>
      <c r="I22" s="17"/>
      <c r="J22" s="17"/>
      <c r="K22" s="17"/>
      <c r="L22" s="17"/>
      <c r="M22" s="17"/>
      <c r="N22" s="17"/>
    </row>
    <row r="23">
      <c r="A23" s="23">
        <v>21</v>
      </c>
      <c r="B23" s="15" t="str">
        <v>营销费用源表-抖音-矩阵号DOU+</v>
      </c>
      <c r="C23" s="25" t="str">
        <v>video_comments</v>
      </c>
      <c r="D23" s="26" t="str">
        <v>视频评论量</v>
      </c>
      <c r="E23" s="23" t="str">
        <v>STRING</v>
      </c>
      <c r="F23" s="23">
        <f>CONCAT(",",C23,"   ",E23,"   COMMENT'", D23,"'" )</f>
      </c>
      <c r="G23" s="17"/>
      <c r="H23" s="17"/>
      <c r="I23" s="17"/>
      <c r="J23" s="17"/>
      <c r="K23" s="17"/>
      <c r="L23" s="17"/>
      <c r="M23" s="17"/>
      <c r="N23" s="17"/>
    </row>
    <row r="24">
      <c r="A24" s="23">
        <v>22</v>
      </c>
      <c r="B24" s="15" t="str">
        <v>营销费用源表-抖音-矩阵号DOU+</v>
      </c>
      <c r="C24" s="25" t="str">
        <v>video_shares</v>
      </c>
      <c r="D24" s="26" t="str">
        <v>视频分享量</v>
      </c>
      <c r="E24" s="23" t="str">
        <v>STRING</v>
      </c>
      <c r="F24" s="23">
        <f>CONCAT(",",C24,"   ",E24,"   COMMENT'", D24,"'" )</f>
      </c>
      <c r="G24" s="17"/>
      <c r="H24" s="17"/>
      <c r="I24" s="17"/>
      <c r="J24" s="17"/>
      <c r="K24" s="17"/>
      <c r="L24" s="17"/>
      <c r="M24" s="17"/>
      <c r="N24" s="17"/>
    </row>
    <row r="25">
      <c r="A25" s="23">
        <v>23</v>
      </c>
      <c r="B25" s="15" t="str">
        <v>营销费用源表-抖音-矩阵号DOU+</v>
      </c>
      <c r="C25" s="25" t="str">
        <v>home_page_views</v>
      </c>
      <c r="D25" s="26" t="str">
        <v>主页浏览量</v>
      </c>
      <c r="E25" s="23" t="str">
        <v>STRING</v>
      </c>
      <c r="F25" s="23">
        <f>CONCAT(",",C25,"   ",E25,"   COMMENT'", D25,"'" )</f>
      </c>
      <c r="G25" s="17"/>
      <c r="H25" s="17"/>
      <c r="I25" s="17"/>
      <c r="J25" s="17"/>
      <c r="K25" s="17"/>
      <c r="L25" s="17"/>
      <c r="M25" s="17"/>
      <c r="N25" s="17"/>
    </row>
    <row r="26">
      <c r="A26" s="23">
        <v>24</v>
      </c>
      <c r="B26" s="15" t="str">
        <v>营销费用源表-抖音-矩阵号DOU+</v>
      </c>
      <c r="C26" s="25" t="str">
        <v>fans</v>
      </c>
      <c r="D26" s="26" t="str">
        <v>粉丝量</v>
      </c>
      <c r="E26" s="23" t="str">
        <v>STRING</v>
      </c>
      <c r="F26" s="23">
        <f>CONCAT(",",C26,"   ",E26,"   COMMENT'", D26,"'" )</f>
      </c>
      <c r="G26" s="17"/>
      <c r="H26" s="17"/>
      <c r="I26" s="17"/>
      <c r="J26" s="17"/>
      <c r="K26" s="17"/>
      <c r="L26" s="17"/>
      <c r="M26" s="17"/>
      <c r="N26" s="17"/>
    </row>
    <row r="27">
      <c r="A27" s="23">
        <v>25</v>
      </c>
      <c r="B27" s="15" t="str">
        <v>营销费用源表-抖音-矩阵号DOU+</v>
      </c>
      <c r="C27" s="25" t="str">
        <v>expected_duration</v>
      </c>
      <c r="D27" s="26" t="str">
        <v>预计投放时长</v>
      </c>
      <c r="E27" s="23" t="str">
        <v>STRING</v>
      </c>
      <c r="F27" s="23">
        <f>CONCAT(",",C27,"   ",E27,"   COMMENT'", D27,"'" )</f>
      </c>
      <c r="G27" s="17"/>
      <c r="H27" s="17"/>
      <c r="I27" s="17"/>
      <c r="J27" s="17"/>
      <c r="K27" s="17"/>
      <c r="L27" s="17"/>
      <c r="M27" s="17"/>
      <c r="N27" s="17"/>
    </row>
    <row r="28">
      <c r="A28" s="23">
        <v>26</v>
      </c>
      <c r="B28" s="15" t="str">
        <v>营销费用源表-抖音-矩阵号DOU+</v>
      </c>
      <c r="C28" s="25" t="str">
        <v>targeting_details</v>
      </c>
      <c r="D28" s="26" t="str">
        <v>定向详情</v>
      </c>
      <c r="E28" s="23" t="str">
        <v>STRING</v>
      </c>
      <c r="F28" s="23">
        <f>CONCAT(",",C28,"   ",E28,"   COMMENT'", D28,"'" )</f>
      </c>
      <c r="G28" s="17"/>
      <c r="H28" s="17"/>
      <c r="I28" s="17"/>
      <c r="J28" s="17"/>
      <c r="K28" s="17"/>
      <c r="L28" s="17"/>
      <c r="M28" s="17"/>
      <c r="N28" s="17"/>
    </row>
    <row r="29"/>
    <row r="30">
      <c r="A30" s="27" t="str">
        <v>订单号</v>
      </c>
      <c r="B30" s="27" t="str">
        <v>order_id</v>
      </c>
      <c r="C30" s="27" t="str">
        <v>字符串</v>
      </c>
      <c r="D30" s="28" t="str">
        <v>无限制</v>
      </c>
    </row>
    <row r="31">
      <c r="A31" s="27" t="str">
        <v>订单类型</v>
      </c>
      <c r="B31" s="27" t="str">
        <v>order_type</v>
      </c>
      <c r="C31" s="27" t="str">
        <v>字符串</v>
      </c>
      <c r="D31" s="28" t="str">
        <v>无限制</v>
      </c>
    </row>
    <row r="32">
      <c r="A32" s="27" t="str">
        <v>作者名称</v>
      </c>
      <c r="B32" s="27" t="str">
        <v>author_name</v>
      </c>
      <c r="C32" s="27" t="str">
        <v>字符串</v>
      </c>
      <c r="D32" s="28" t="str">
        <v>无限制</v>
      </c>
    </row>
    <row r="33">
      <c r="A33" s="27" t="str">
        <v>视频标题</v>
      </c>
      <c r="B33" s="27" t="str">
        <v>video_title</v>
      </c>
      <c r="C33" s="27" t="str">
        <v>字符串</v>
      </c>
      <c r="D33" s="28" t="str">
        <v>无限制</v>
      </c>
    </row>
    <row r="34">
      <c r="A34" s="27" t="str">
        <v>视频链接</v>
      </c>
      <c r="B34" s="27" t="str">
        <v>video_link</v>
      </c>
      <c r="C34" s="27" t="str">
        <v>字符串</v>
      </c>
      <c r="D34" s="28" t="str">
        <v>无限制</v>
      </c>
    </row>
    <row r="35">
      <c r="A35" s="27" t="str">
        <v>下单时间</v>
      </c>
      <c r="B35" s="27" t="str">
        <v>order_time</v>
      </c>
      <c r="C35" s="27" t="str">
        <v>时间戳</v>
      </c>
      <c r="D35" s="28" t="str">
        <v>无限制</v>
      </c>
    </row>
    <row r="36">
      <c r="A36" s="27" t="str">
        <v>状态</v>
      </c>
      <c r="B36" s="27" t="str">
        <v>status</v>
      </c>
      <c r="C36" s="27" t="str">
        <v>字符串</v>
      </c>
      <c r="D36" s="28" t="str">
        <v>无限制</v>
      </c>
    </row>
    <row r="37">
      <c r="A37" s="27" t="str">
        <v>订单金额（元）</v>
      </c>
      <c r="B37" s="27" t="str">
        <v>order_amount</v>
      </c>
      <c r="C37" s="27" t="str">
        <v>浮点数</v>
      </c>
      <c r="D37" s="28" t="str">
        <v>无限制</v>
      </c>
    </row>
    <row r="38">
      <c r="A38" s="27" t="str">
        <v>预算（元）</v>
      </c>
      <c r="B38" s="27" t="str">
        <v>budget</v>
      </c>
      <c r="C38" s="27" t="str">
        <v>浮点数</v>
      </c>
      <c r="D38" s="28" t="str">
        <v>无限制</v>
      </c>
    </row>
    <row r="39">
      <c r="A39" s="27" t="str">
        <v>消耗（元）</v>
      </c>
      <c r="B39" s="27" t="str">
        <v>cost</v>
      </c>
      <c r="C39" s="27" t="str">
        <v>浮点数</v>
      </c>
      <c r="D39" s="28" t="str">
        <v>无限制</v>
      </c>
    </row>
    <row r="40">
      <c r="A40" s="27" t="str">
        <v>投放目标</v>
      </c>
      <c r="B40" s="27" t="str">
        <v>target</v>
      </c>
      <c r="C40" s="27" t="str">
        <v>字符串</v>
      </c>
      <c r="D40" s="28" t="str">
        <v>无限制</v>
      </c>
    </row>
    <row r="41">
      <c r="A41" s="27" t="str">
        <v>转化量</v>
      </c>
      <c r="B41" s="27" t="str">
        <v>conversion</v>
      </c>
      <c r="C41" s="27" t="str">
        <v>整数</v>
      </c>
      <c r="D41" s="28" t="str">
        <v>无限制</v>
      </c>
    </row>
    <row r="42">
      <c r="A42" s="27" t="str">
        <v>转化成本</v>
      </c>
      <c r="B42" s="27" t="str">
        <v>conversion_cost</v>
      </c>
      <c r="C42" s="27" t="str">
        <v>浮点数</v>
      </c>
      <c r="D42" s="28" t="str">
        <v>无限制</v>
      </c>
    </row>
    <row r="43">
      <c r="A43" s="27" t="str">
        <v>直播间展示量</v>
      </c>
      <c r="B43" s="27" t="str">
        <v>live_show</v>
      </c>
      <c r="C43" s="27" t="str">
        <v>整数</v>
      </c>
      <c r="D43" s="28" t="str">
        <v>无限制</v>
      </c>
    </row>
    <row r="44">
      <c r="A44" s="27" t="str">
        <v>新增观众量</v>
      </c>
      <c r="B44" s="27" t="str">
        <v>new_audience</v>
      </c>
      <c r="C44" s="27" t="str">
        <v>整数</v>
      </c>
      <c r="D44" s="28" t="str">
        <v>无限制</v>
      </c>
    </row>
    <row r="45">
      <c r="A45" s="27" t="str">
        <v>新增粉丝量</v>
      </c>
      <c r="B45" s="27" t="str">
        <v>new_fans</v>
      </c>
      <c r="C45" s="27" t="str">
        <v>整数</v>
      </c>
      <c r="D45" s="28" t="str">
        <v>无限制</v>
      </c>
    </row>
    <row r="46">
      <c r="A46" s="27" t="str">
        <v>直播评论量</v>
      </c>
      <c r="B46" s="27" t="str">
        <v>live_comments</v>
      </c>
      <c r="C46" s="27" t="str">
        <v>整数</v>
      </c>
      <c r="D46" s="28" t="str">
        <v>无限制</v>
      </c>
    </row>
    <row r="47">
      <c r="A47" s="27" t="str">
        <v>视频播放量</v>
      </c>
      <c r="B47" s="27" t="str">
        <v>video_play</v>
      </c>
      <c r="C47" s="27" t="str">
        <v>整数</v>
      </c>
      <c r="D47" s="28" t="str">
        <v>无限制</v>
      </c>
    </row>
    <row r="48">
      <c r="A48" s="27" t="str">
        <v>5秒完播率</v>
      </c>
      <c r="B48" s="27" t="str">
        <v>play_completion_rate</v>
      </c>
      <c r="C48" s="27" t="str">
        <v>浮点数</v>
      </c>
      <c r="D48" s="28" t="str">
        <v>无限制</v>
      </c>
    </row>
    <row r="49">
      <c r="A49" s="27" t="str">
        <v>视频点赞量</v>
      </c>
      <c r="B49" s="27" t="str">
        <v>video_likes</v>
      </c>
      <c r="C49" s="27" t="str">
        <v>整数</v>
      </c>
      <c r="D49" s="28" t="str">
        <v>无限制</v>
      </c>
    </row>
    <row r="50">
      <c r="A50" s="27" t="str">
        <v>视频评论量</v>
      </c>
      <c r="B50" s="27" t="str">
        <v>video_comments</v>
      </c>
      <c r="C50" s="27" t="str">
        <v>整数</v>
      </c>
      <c r="D50" s="28" t="str">
        <v>无限制</v>
      </c>
    </row>
    <row r="51">
      <c r="A51" s="27" t="str">
        <v>视频分享量</v>
      </c>
      <c r="B51" s="27" t="str">
        <v>video_shares</v>
      </c>
      <c r="C51" s="27" t="str">
        <v>整数</v>
      </c>
      <c r="D51" s="28" t="str">
        <v>无限制</v>
      </c>
    </row>
    <row r="52">
      <c r="A52" s="27" t="str">
        <v>主页浏览量</v>
      </c>
      <c r="B52" s="27" t="str">
        <v>home_page_views</v>
      </c>
      <c r="C52" s="27" t="str">
        <v>整数</v>
      </c>
      <c r="D52" s="28" t="str">
        <v>无限制</v>
      </c>
    </row>
    <row r="53">
      <c r="A53" s="27" t="str">
        <v>粉丝量</v>
      </c>
      <c r="B53" s="27" t="str">
        <v>fans</v>
      </c>
      <c r="C53" s="27" t="str">
        <v>整数</v>
      </c>
      <c r="D53" s="28" t="str">
        <v>无限制</v>
      </c>
    </row>
    <row r="54">
      <c r="A54" s="27" t="str">
        <v>预计投放时长</v>
      </c>
      <c r="B54" s="27" t="str">
        <v>expected_duration</v>
      </c>
      <c r="C54" s="27" t="str">
        <v>整数</v>
      </c>
      <c r="D54" s="28" t="str">
        <v>无限制</v>
      </c>
    </row>
    <row r="55">
      <c r="A55" s="27" t="str">
        <v>定向详情</v>
      </c>
      <c r="B55" s="27" t="str">
        <v>targeting_details</v>
      </c>
      <c r="C55" s="27" t="str">
        <v>字符串</v>
      </c>
      <c r="D55" s="28" t="str">
        <v>无限制</v>
      </c>
    </row>
  </sheetData>
  <mergeCells>
    <mergeCell ref="I1:N1"/>
    <mergeCell ref="A1:H1"/>
  </mergeCells>
  <picture r:id="rId1"/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15" t="str">
        <v>营销费用源表-抖音-品牌DOU+</v>
      </c>
      <c r="C3" s="25" t="str">
        <v>order_id</v>
      </c>
      <c r="D3" s="26" t="str">
        <v>订单号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23">
        <v>2</v>
      </c>
      <c r="B4" s="15" t="str">
        <v>营销费用源表-抖音-品牌DOU+</v>
      </c>
      <c r="C4" s="25" t="str">
        <v>order_type</v>
      </c>
      <c r="D4" s="26" t="str">
        <v>订单类型</v>
      </c>
      <c r="E4" s="23" t="str">
        <v>STRING</v>
      </c>
      <c r="F4" s="23">
        <f>CONCAT(",",C4,"   ",E4,"   COMMENT'", D4,"'" )</f>
      </c>
      <c r="G4" s="17"/>
      <c r="H4" s="17"/>
      <c r="I4" s="17"/>
      <c r="J4" s="17"/>
      <c r="K4" s="17"/>
      <c r="L4" s="17"/>
      <c r="M4" s="17"/>
      <c r="N4" s="17"/>
    </row>
    <row r="5">
      <c r="A5" s="23">
        <v>3</v>
      </c>
      <c r="B5" s="15" t="str">
        <v>营销费用源表-抖音-品牌DOU+</v>
      </c>
      <c r="C5" s="25" t="str">
        <v>author_name</v>
      </c>
      <c r="D5" s="26" t="str">
        <v>作者名称</v>
      </c>
      <c r="E5" s="23" t="str">
        <v>STRING</v>
      </c>
      <c r="F5" s="23">
        <f>CONCAT(",",C5,"   ",E5,"   COMMENT'", D5,"'" )</f>
      </c>
      <c r="G5" s="17"/>
      <c r="H5" s="17"/>
      <c r="I5" s="17"/>
      <c r="J5" s="17"/>
      <c r="K5" s="17"/>
      <c r="L5" s="17"/>
      <c r="M5" s="17"/>
      <c r="N5" s="17"/>
    </row>
    <row r="6">
      <c r="A6" s="23">
        <v>4</v>
      </c>
      <c r="B6" s="15" t="str">
        <v>营销费用源表-抖音-品牌DOU+</v>
      </c>
      <c r="C6" s="25" t="str">
        <v>video_title</v>
      </c>
      <c r="D6" s="26" t="str">
        <v>视频标题</v>
      </c>
      <c r="E6" s="23" t="str">
        <v>STRING</v>
      </c>
      <c r="F6" s="23">
        <f>CONCAT(",",C6,"   ",E6,"   COMMENT'", D6,"'" )</f>
      </c>
      <c r="G6" s="17"/>
      <c r="H6" s="17"/>
      <c r="I6" s="17"/>
      <c r="J6" s="17"/>
      <c r="K6" s="17"/>
      <c r="L6" s="17"/>
      <c r="M6" s="17"/>
      <c r="N6" s="17"/>
    </row>
    <row r="7">
      <c r="A7" s="23">
        <v>5</v>
      </c>
      <c r="B7" s="15" t="str">
        <v>营销费用源表-抖音-品牌DOU+</v>
      </c>
      <c r="C7" s="25" t="str">
        <v>video_link</v>
      </c>
      <c r="D7" s="26" t="str">
        <v>视频链接</v>
      </c>
      <c r="E7" s="23" t="str">
        <v>STRING</v>
      </c>
      <c r="F7" s="23">
        <f>CONCAT(",",C7,"   ",E7,"   COMMENT'", D7,"'" )</f>
      </c>
      <c r="G7" s="17"/>
      <c r="H7" s="17"/>
      <c r="I7" s="17"/>
      <c r="J7" s="17"/>
      <c r="K7" s="17"/>
      <c r="L7" s="17"/>
      <c r="M7" s="17"/>
      <c r="N7" s="17"/>
    </row>
    <row r="8">
      <c r="A8" s="23">
        <v>6</v>
      </c>
      <c r="B8" s="15" t="str">
        <v>营销费用源表-抖音-品牌DOU+</v>
      </c>
      <c r="C8" s="25" t="str">
        <v>order_time</v>
      </c>
      <c r="D8" s="26" t="str">
        <v>下单时间</v>
      </c>
      <c r="E8" s="23" t="str">
        <v>STRING</v>
      </c>
      <c r="F8" s="23">
        <f>CONCAT(",",C8,"   ",E8,"   COMMENT'", D8,"'" )</f>
      </c>
      <c r="G8" s="17"/>
      <c r="H8" s="17"/>
      <c r="I8" s="17"/>
      <c r="J8" s="17"/>
      <c r="K8" s="17"/>
      <c r="L8" s="17"/>
      <c r="M8" s="17"/>
      <c r="N8" s="17"/>
    </row>
    <row r="9">
      <c r="A9" s="23">
        <v>7</v>
      </c>
      <c r="B9" s="15" t="str">
        <v>营销费用源表-抖音-品牌DOU+</v>
      </c>
      <c r="C9" s="25" t="str">
        <v>status</v>
      </c>
      <c r="D9" s="26" t="str">
        <v>状态</v>
      </c>
      <c r="E9" s="23" t="str">
        <v>STRING</v>
      </c>
      <c r="F9" s="23">
        <f>CONCAT(",",C9,"   ",E9,"   COMMENT'", D9,"'" )</f>
      </c>
      <c r="G9" s="17"/>
      <c r="H9" s="17"/>
      <c r="I9" s="17"/>
      <c r="J9" s="17"/>
      <c r="K9" s="17"/>
      <c r="L9" s="17"/>
      <c r="M9" s="17"/>
      <c r="N9" s="17"/>
    </row>
    <row r="10">
      <c r="A10" s="23">
        <v>8</v>
      </c>
      <c r="B10" s="15" t="str">
        <v>营销费用源表-抖音-品牌DOU+</v>
      </c>
      <c r="C10" s="25" t="str">
        <v>order_amount</v>
      </c>
      <c r="D10" s="26" t="str">
        <v>订单金额（元）</v>
      </c>
      <c r="E10" s="17" t="str">
        <v>DECIMAL(30, 8)</v>
      </c>
      <c r="F10" s="23">
        <f>CONCAT(",",C10,"   ",E10,"   COMMENT'", D10,"'" )</f>
      </c>
      <c r="G10" s="17"/>
      <c r="H10" s="17"/>
      <c r="I10" s="17"/>
      <c r="J10" s="17"/>
      <c r="K10" s="17"/>
      <c r="L10" s="17"/>
      <c r="M10" s="17"/>
      <c r="N10" s="17"/>
    </row>
    <row r="11">
      <c r="A11" s="23">
        <v>9</v>
      </c>
      <c r="B11" s="15" t="str">
        <v>营销费用源表-抖音-品牌DOU+</v>
      </c>
      <c r="C11" s="25" t="str">
        <v>budget</v>
      </c>
      <c r="D11" s="26" t="str">
        <v>预算（元）</v>
      </c>
      <c r="E11" s="17" t="str">
        <v>DECIMAL(30, 8)</v>
      </c>
      <c r="F11" s="23">
        <f>CONCAT(",",C11,"   ",E11,"   COMMENT'", D11,"'" )</f>
      </c>
      <c r="G11" s="17"/>
      <c r="H11" s="17"/>
      <c r="I11" s="17"/>
      <c r="J11" s="17"/>
      <c r="K11" s="17"/>
      <c r="L11" s="17"/>
      <c r="M11" s="17"/>
      <c r="N11" s="17"/>
    </row>
    <row r="12">
      <c r="A12" s="23">
        <v>10</v>
      </c>
      <c r="B12" s="15" t="str">
        <v>营销费用源表-抖音-品牌DOU+</v>
      </c>
      <c r="C12" s="25" t="str">
        <v>consumption</v>
      </c>
      <c r="D12" s="26" t="str">
        <v>消耗（元）</v>
      </c>
      <c r="E12" s="17" t="str">
        <v>DECIMAL(30, 8)</v>
      </c>
      <c r="F12" s="23">
        <f>CONCAT(",",C12,"   ",E12,"   COMMENT'", D12,"'" )</f>
      </c>
      <c r="G12" s="17"/>
      <c r="H12" s="17"/>
      <c r="I12" s="17"/>
      <c r="J12" s="17"/>
      <c r="K12" s="17"/>
      <c r="L12" s="17"/>
      <c r="M12" s="17"/>
      <c r="N12" s="17"/>
    </row>
    <row r="13">
      <c r="A13" s="23">
        <v>11</v>
      </c>
      <c r="B13" s="15" t="str">
        <v>营销费用源表-抖音-品牌DOU+</v>
      </c>
      <c r="C13" s="25" t="str">
        <v>advertising_objective</v>
      </c>
      <c r="D13" s="26" t="str">
        <v>投放目标</v>
      </c>
      <c r="E13" s="23" t="str">
        <v>STRING</v>
      </c>
      <c r="F13" s="23">
        <f>CONCAT(",",C13,"   ",E13,"   COMMENT'", D13,"'" )</f>
      </c>
      <c r="G13" s="17"/>
      <c r="H13" s="17"/>
      <c r="I13" s="17"/>
      <c r="J13" s="17"/>
      <c r="K13" s="17"/>
      <c r="L13" s="17"/>
      <c r="M13" s="17"/>
      <c r="N13" s="17"/>
    </row>
    <row r="14">
      <c r="A14" s="23">
        <v>12</v>
      </c>
      <c r="B14" s="15" t="str">
        <v>营销费用源表-抖音-品牌DOU+</v>
      </c>
      <c r="C14" s="25" t="str">
        <v>conversion_volume</v>
      </c>
      <c r="D14" s="26" t="str">
        <v>转化量</v>
      </c>
      <c r="E14" s="23" t="str">
        <v>STRING</v>
      </c>
      <c r="F14" s="23">
        <f>CONCAT(",",C14,"   ",E14,"   COMMENT'", D14,"'" )</f>
      </c>
      <c r="G14" s="17"/>
      <c r="H14" s="17"/>
      <c r="I14" s="17"/>
      <c r="J14" s="17"/>
      <c r="K14" s="17"/>
      <c r="L14" s="17"/>
      <c r="M14" s="17"/>
      <c r="N14" s="17"/>
    </row>
    <row r="15">
      <c r="A15" s="23">
        <v>13</v>
      </c>
      <c r="B15" s="15" t="str">
        <v>营销费用源表-抖音-品牌DOU+</v>
      </c>
      <c r="C15" s="25" t="str">
        <v>conversion_cost</v>
      </c>
      <c r="D15" s="26" t="str">
        <v>转化成本</v>
      </c>
      <c r="E15" s="17" t="str">
        <v>DECIMAL(30, 8)</v>
      </c>
      <c r="F15" s="23">
        <f>CONCAT(",",C15,"   ",E15,"   COMMENT'", D15,"'" )</f>
      </c>
      <c r="G15" s="17"/>
      <c r="H15" s="17"/>
      <c r="I15" s="17"/>
      <c r="J15" s="17"/>
      <c r="K15" s="17"/>
      <c r="L15" s="17"/>
      <c r="M15" s="17"/>
      <c r="N15" s="17"/>
    </row>
    <row r="16">
      <c r="A16" s="23">
        <v>14</v>
      </c>
      <c r="B16" s="15" t="str">
        <v>营销费用源表-抖音-品牌DOU+</v>
      </c>
      <c r="C16" s="25" t="str">
        <v>live_show_impression</v>
      </c>
      <c r="D16" s="26" t="str">
        <v>直播间展示量</v>
      </c>
      <c r="E16" s="23" t="str">
        <v>STRING</v>
      </c>
      <c r="F16" s="23">
        <f>CONCAT(",",C16,"   ",E16,"   COMMENT'", D16,"'" )</f>
      </c>
      <c r="G16" s="17"/>
      <c r="H16" s="17"/>
      <c r="I16" s="17"/>
      <c r="J16" s="17"/>
      <c r="K16" s="17"/>
      <c r="L16" s="17"/>
      <c r="M16" s="17"/>
      <c r="N16" s="17"/>
    </row>
    <row r="17">
      <c r="A17" s="23">
        <v>15</v>
      </c>
      <c r="B17" s="15" t="str">
        <v>营销费用源表-抖音-品牌DOU+</v>
      </c>
      <c r="C17" s="25" t="str">
        <v>new_audience</v>
      </c>
      <c r="D17" s="26" t="str">
        <v>新增观众量</v>
      </c>
      <c r="E17" s="23" t="str">
        <v>STRING</v>
      </c>
      <c r="F17" s="23">
        <f>CONCAT(",",C17,"   ",E17,"   COMMENT'", D17,"'" )</f>
      </c>
      <c r="G17" s="17"/>
      <c r="H17" s="17"/>
      <c r="I17" s="17"/>
      <c r="J17" s="17"/>
      <c r="K17" s="17"/>
      <c r="L17" s="17"/>
      <c r="M17" s="17"/>
      <c r="N17" s="17"/>
    </row>
    <row r="18">
      <c r="A18" s="23">
        <v>16</v>
      </c>
      <c r="B18" s="15" t="str">
        <v>营销费用源表-抖音-品牌DOU+</v>
      </c>
      <c r="C18" s="25" t="str">
        <v>new_fans</v>
      </c>
      <c r="D18" s="26" t="str">
        <v>新增粉丝量</v>
      </c>
      <c r="E18" s="23" t="str">
        <v>STRING</v>
      </c>
      <c r="F18" s="23">
        <f>CONCAT(",",C18,"   ",E18,"   COMMENT'", D18,"'" )</f>
      </c>
      <c r="G18" s="17"/>
      <c r="H18" s="17"/>
      <c r="I18" s="17"/>
      <c r="J18" s="17"/>
      <c r="K18" s="17"/>
      <c r="L18" s="17"/>
      <c r="M18" s="17"/>
      <c r="N18" s="17"/>
    </row>
    <row r="19">
      <c r="A19" s="23">
        <v>17</v>
      </c>
      <c r="B19" s="15" t="str">
        <v>营销费用源表-抖音-品牌DOU+</v>
      </c>
      <c r="C19" s="25" t="str">
        <v>live_comments</v>
      </c>
      <c r="D19" s="26" t="str">
        <v>直播评论量</v>
      </c>
      <c r="E19" s="23" t="str">
        <v>STRING</v>
      </c>
      <c r="F19" s="23">
        <f>CONCAT(",",C19,"   ",E19,"   COMMENT'", D19,"'" )</f>
      </c>
      <c r="G19" s="17"/>
      <c r="H19" s="17"/>
      <c r="I19" s="17"/>
      <c r="J19" s="17"/>
      <c r="K19" s="17"/>
      <c r="L19" s="17"/>
      <c r="M19" s="17"/>
      <c r="N19" s="17"/>
    </row>
    <row r="20">
      <c r="A20" s="23">
        <v>18</v>
      </c>
      <c r="B20" s="15" t="str">
        <v>营销费用源表-抖音-品牌DOU+</v>
      </c>
      <c r="C20" s="25" t="str">
        <v>video_views</v>
      </c>
      <c r="D20" s="26" t="str">
        <v>视频播放量</v>
      </c>
      <c r="E20" s="23" t="str">
        <v>STRING</v>
      </c>
      <c r="F20" s="23">
        <f>CONCAT(",",C20,"   ",E20,"   COMMENT'", D20,"'" )</f>
      </c>
      <c r="G20" s="17"/>
      <c r="H20" s="17"/>
      <c r="I20" s="17"/>
      <c r="J20" s="17"/>
      <c r="K20" s="17"/>
      <c r="L20" s="17"/>
      <c r="M20" s="17"/>
      <c r="N20" s="17"/>
    </row>
    <row r="21">
      <c r="A21" s="23">
        <v>19</v>
      </c>
      <c r="B21" s="15" t="str">
        <v>营销费用源表-抖音-品牌DOU+</v>
      </c>
      <c r="C21" s="25" t="str">
        <v>five_second_play_rate</v>
      </c>
      <c r="D21" s="26" t="str">
        <v>5秒完播率</v>
      </c>
      <c r="E21" s="23" t="str">
        <v>STRING</v>
      </c>
      <c r="F21" s="23">
        <f>CONCAT(",",C21,"   ",E21,"   COMMENT'", D21,"'" )</f>
      </c>
      <c r="G21" s="17"/>
      <c r="H21" s="17"/>
      <c r="I21" s="17"/>
      <c r="J21" s="17"/>
      <c r="K21" s="17"/>
      <c r="L21" s="17"/>
      <c r="M21" s="17"/>
      <c r="N21" s="17"/>
    </row>
    <row r="22">
      <c r="A22" s="23">
        <v>20</v>
      </c>
      <c r="B22" s="15" t="str">
        <v>营销费用源表-抖音-品牌DOU+</v>
      </c>
      <c r="C22" s="25" t="str">
        <v>video_likes</v>
      </c>
      <c r="D22" s="26" t="str">
        <v>视频点赞量</v>
      </c>
      <c r="E22" s="23" t="str">
        <v>STRING</v>
      </c>
      <c r="F22" s="23">
        <f>CONCAT(",",C22,"   ",E22,"   COMMENT'", D22,"'" )</f>
      </c>
      <c r="G22" s="17"/>
      <c r="H22" s="17"/>
      <c r="I22" s="17"/>
      <c r="J22" s="17"/>
      <c r="K22" s="17"/>
      <c r="L22" s="17"/>
      <c r="M22" s="17"/>
      <c r="N22" s="17"/>
    </row>
    <row r="23">
      <c r="A23" s="23">
        <v>21</v>
      </c>
      <c r="B23" s="15" t="str">
        <v>营销费用源表-抖音-品牌DOU+</v>
      </c>
      <c r="C23" s="25" t="str">
        <v>video_comments</v>
      </c>
      <c r="D23" s="26" t="str">
        <v>视频评论量</v>
      </c>
      <c r="E23" s="23" t="str">
        <v>STRING</v>
      </c>
      <c r="F23" s="23">
        <f>CONCAT(",",C23,"   ",E23,"   COMMENT'", D23,"'" )</f>
      </c>
      <c r="G23" s="17"/>
      <c r="H23" s="17"/>
      <c r="I23" s="17"/>
      <c r="J23" s="17"/>
      <c r="K23" s="17"/>
      <c r="L23" s="17"/>
      <c r="M23" s="17"/>
      <c r="N23" s="17"/>
    </row>
    <row r="24">
      <c r="A24" s="23">
        <v>22</v>
      </c>
      <c r="B24" s="15" t="str">
        <v>营销费用源表-抖音-品牌DOU+</v>
      </c>
      <c r="C24" s="25" t="str">
        <v>video_shares</v>
      </c>
      <c r="D24" s="26" t="str">
        <v>视频分享量</v>
      </c>
      <c r="E24" s="23" t="str">
        <v>STRING</v>
      </c>
      <c r="F24" s="23">
        <f>CONCAT(",",C24,"   ",E24,"   COMMENT'", D24,"'" )</f>
      </c>
      <c r="G24" s="17"/>
      <c r="H24" s="17"/>
      <c r="I24" s="17"/>
      <c r="J24" s="17"/>
      <c r="K24" s="17"/>
      <c r="L24" s="17"/>
      <c r="M24" s="17"/>
      <c r="N24" s="17"/>
    </row>
    <row r="25">
      <c r="A25" s="23">
        <v>23</v>
      </c>
      <c r="B25" s="15" t="str">
        <v>营销费用源表-抖音-品牌DOU+</v>
      </c>
      <c r="C25" s="25" t="str">
        <v>page_views</v>
      </c>
      <c r="D25" s="26" t="str">
        <v>主页浏览量</v>
      </c>
      <c r="E25" s="23" t="str">
        <v>STRING</v>
      </c>
      <c r="F25" s="23">
        <f>CONCAT(",",C25,"   ",E25,"   COMMENT'", D25,"'" )</f>
      </c>
      <c r="G25" s="17"/>
      <c r="H25" s="17"/>
      <c r="I25" s="17"/>
      <c r="J25" s="17"/>
      <c r="K25" s="17"/>
      <c r="L25" s="17"/>
      <c r="M25" s="17"/>
      <c r="N25" s="17"/>
    </row>
    <row r="26">
      <c r="A26" s="23">
        <v>24</v>
      </c>
      <c r="B26" s="15" t="str">
        <v>营销费用源表-抖音-品牌DOU+</v>
      </c>
      <c r="C26" s="25" t="str">
        <v>fans</v>
      </c>
      <c r="D26" s="26" t="str">
        <v>粉丝量</v>
      </c>
      <c r="E26" s="23" t="str">
        <v>STRING</v>
      </c>
      <c r="F26" s="23">
        <f>CONCAT(",",C26,"   ",E26,"   COMMENT'", D26,"'" )</f>
      </c>
      <c r="G26" s="17"/>
      <c r="H26" s="17"/>
      <c r="I26" s="17"/>
      <c r="J26" s="17"/>
      <c r="K26" s="17"/>
      <c r="L26" s="17"/>
      <c r="M26" s="17"/>
      <c r="N26" s="17"/>
    </row>
    <row r="27">
      <c r="A27" s="23">
        <v>25</v>
      </c>
      <c r="B27" s="15" t="str">
        <v>营销费用源表-抖音-品牌DOU+</v>
      </c>
      <c r="C27" s="25" t="str">
        <v>estimated_duration</v>
      </c>
      <c r="D27" s="26" t="str">
        <v>预计投放时长</v>
      </c>
      <c r="E27" s="23" t="str">
        <v>STRING</v>
      </c>
      <c r="F27" s="23">
        <f>CONCAT(",",C27,"   ",E27,"   COMMENT'", D27,"'" )</f>
      </c>
      <c r="G27" s="17"/>
      <c r="H27" s="17"/>
      <c r="I27" s="17"/>
      <c r="J27" s="17"/>
      <c r="K27" s="17"/>
      <c r="L27" s="17"/>
      <c r="M27" s="17"/>
      <c r="N27" s="17"/>
    </row>
    <row r="28">
      <c r="A28" s="23">
        <v>26</v>
      </c>
      <c r="B28" s="15" t="str">
        <v>营销费用源表-抖音-品牌DOU+</v>
      </c>
      <c r="C28" s="25" t="str">
        <v>targeting_details</v>
      </c>
      <c r="D28" s="26" t="str">
        <v>定向详情</v>
      </c>
      <c r="E28" s="23" t="str">
        <v>STRING</v>
      </c>
      <c r="F28" s="23">
        <f>CONCAT(",",C28,"   ",E28,"   COMMENT'", D28,"'" )</f>
      </c>
      <c r="G28" s="17"/>
      <c r="H28" s="17"/>
      <c r="I28" s="17"/>
      <c r="J28" s="17"/>
      <c r="K28" s="17"/>
      <c r="L28" s="17"/>
      <c r="M28" s="17"/>
      <c r="N28" s="17"/>
    </row>
    <row r="29"/>
    <row r="30"/>
    <row r="31">
      <c r="A31" s="27" t="str">
        <v>订单号</v>
      </c>
      <c r="B31" s="27" t="str">
        <v>order_number</v>
      </c>
      <c r="C31" s="27" t="str">
        <v>varchar</v>
      </c>
      <c r="D31" s="28">
        <v>50</v>
      </c>
    </row>
    <row r="32">
      <c r="A32" s="27" t="str">
        <v>订单类型</v>
      </c>
      <c r="B32" s="27" t="str">
        <v>order_type</v>
      </c>
      <c r="C32" s="27" t="str">
        <v>varchar</v>
      </c>
      <c r="D32" s="28">
        <v>20</v>
      </c>
    </row>
    <row r="33">
      <c r="A33" s="27" t="str">
        <v>作者名称</v>
      </c>
      <c r="B33" s="27" t="str">
        <v>author_name</v>
      </c>
      <c r="C33" s="27" t="str">
        <v>varchar</v>
      </c>
      <c r="D33" s="28">
        <v>50</v>
      </c>
    </row>
    <row r="34">
      <c r="A34" s="27" t="str">
        <v>视频标题</v>
      </c>
      <c r="B34" s="27" t="str">
        <v>video_title</v>
      </c>
      <c r="C34" s="27" t="str">
        <v>varchar</v>
      </c>
      <c r="D34" s="28">
        <v>100</v>
      </c>
    </row>
    <row r="35">
      <c r="A35" s="27" t="str">
        <v>视频链接</v>
      </c>
      <c r="B35" s="27" t="str">
        <v>video_link</v>
      </c>
      <c r="C35" s="27" t="str">
        <v>varchar</v>
      </c>
      <c r="D35" s="28">
        <v>200</v>
      </c>
    </row>
    <row r="36">
      <c r="A36" s="27" t="str">
        <v>下单时间</v>
      </c>
      <c r="B36" s="27" t="str">
        <v>order_time</v>
      </c>
      <c r="C36" s="27" t="str">
        <v>datetime</v>
      </c>
      <c r="D36" s="28" t="str">
        <v>-</v>
      </c>
    </row>
    <row r="37">
      <c r="A37" s="27" t="str">
        <v>状态</v>
      </c>
      <c r="B37" s="27" t="str">
        <v>status</v>
      </c>
      <c r="C37" s="27" t="str">
        <v>varchar</v>
      </c>
      <c r="D37" s="28">
        <v>20</v>
      </c>
    </row>
    <row r="38">
      <c r="A38" s="27" t="str">
        <v>订单金额（元）</v>
      </c>
      <c r="B38" s="27" t="str">
        <v>order_amount</v>
      </c>
      <c r="C38" s="27" t="str">
        <v>float</v>
      </c>
      <c r="D38" s="28" t="str">
        <v>-</v>
      </c>
    </row>
    <row r="39">
      <c r="A39" s="27" t="str">
        <v>预算（元）</v>
      </c>
      <c r="B39" s="27" t="str">
        <v>budget</v>
      </c>
      <c r="C39" s="27" t="str">
        <v>float</v>
      </c>
      <c r="D39" s="28" t="str">
        <v>-</v>
      </c>
    </row>
    <row r="40">
      <c r="A40" s="27" t="str">
        <v>消耗（元）</v>
      </c>
      <c r="B40" s="27" t="str">
        <v>consumption</v>
      </c>
      <c r="C40" s="27" t="str">
        <v>float</v>
      </c>
      <c r="D40" s="28" t="str">
        <v>-</v>
      </c>
    </row>
    <row r="41">
      <c r="A41" s="27" t="str">
        <v>投放目标</v>
      </c>
      <c r="B41" s="27" t="str">
        <v>advertising_objective</v>
      </c>
      <c r="C41" s="27" t="str">
        <v>varchar</v>
      </c>
      <c r="D41" s="28">
        <v>50</v>
      </c>
    </row>
    <row r="42">
      <c r="A42" s="27" t="str">
        <v>转化量</v>
      </c>
      <c r="B42" s="27" t="str">
        <v>conversion_volume</v>
      </c>
      <c r="C42" s="27" t="str">
        <v>int</v>
      </c>
      <c r="D42" s="28" t="str">
        <v>-</v>
      </c>
    </row>
    <row r="43">
      <c r="A43" s="27" t="str">
        <v>转化成本</v>
      </c>
      <c r="B43" s="27" t="str">
        <v>conversion_cost</v>
      </c>
      <c r="C43" s="27" t="str">
        <v>float</v>
      </c>
      <c r="D43" s="28" t="str">
        <v>-</v>
      </c>
    </row>
    <row r="44">
      <c r="A44" s="27" t="str">
        <v>直播间展示量</v>
      </c>
      <c r="B44" s="27" t="str">
        <v>live_show_impression</v>
      </c>
      <c r="C44" s="27" t="str">
        <v>int</v>
      </c>
      <c r="D44" s="28" t="str">
        <v>-</v>
      </c>
    </row>
    <row r="45">
      <c r="A45" s="27" t="str">
        <v>新增观众量</v>
      </c>
      <c r="B45" s="27" t="str">
        <v>new_audience</v>
      </c>
      <c r="C45" s="27" t="str">
        <v>int</v>
      </c>
      <c r="D45" s="28" t="str">
        <v>-</v>
      </c>
    </row>
    <row r="46">
      <c r="A46" s="27" t="str">
        <v>新增粉丝量</v>
      </c>
      <c r="B46" s="27" t="str">
        <v>new_fans</v>
      </c>
      <c r="C46" s="27" t="str">
        <v>int</v>
      </c>
      <c r="D46" s="28" t="str">
        <v>-</v>
      </c>
    </row>
    <row r="47">
      <c r="A47" s="27" t="str">
        <v>直播评论量</v>
      </c>
      <c r="B47" s="27" t="str">
        <v>live_comments</v>
      </c>
      <c r="C47" s="27" t="str">
        <v>int</v>
      </c>
      <c r="D47" s="28" t="str">
        <v>-</v>
      </c>
    </row>
    <row r="48">
      <c r="A48" s="27" t="str">
        <v>视频播放量</v>
      </c>
      <c r="B48" s="27" t="str">
        <v>video_views</v>
      </c>
      <c r="C48" s="27" t="str">
        <v>int</v>
      </c>
      <c r="D48" s="28" t="str">
        <v>-</v>
      </c>
    </row>
    <row r="49">
      <c r="A49" s="27" t="str">
        <v>5秒完播率</v>
      </c>
      <c r="B49" s="27" t="str">
        <v>five_second_play_rate</v>
      </c>
      <c r="C49" s="27" t="str">
        <v>float</v>
      </c>
      <c r="D49" s="28" t="str">
        <v>-</v>
      </c>
    </row>
    <row r="50">
      <c r="A50" s="27" t="str">
        <v>视频点赞量</v>
      </c>
      <c r="B50" s="27" t="str">
        <v>video_likes</v>
      </c>
      <c r="C50" s="27" t="str">
        <v>int</v>
      </c>
      <c r="D50" s="28" t="str">
        <v>-</v>
      </c>
    </row>
    <row r="51">
      <c r="A51" s="27" t="str">
        <v>视频评论量</v>
      </c>
      <c r="B51" s="27" t="str">
        <v>video_comments</v>
      </c>
      <c r="C51" s="27" t="str">
        <v>int</v>
      </c>
      <c r="D51" s="28" t="str">
        <v>-</v>
      </c>
    </row>
    <row r="52">
      <c r="A52" s="27" t="str">
        <v>视频分享量</v>
      </c>
      <c r="B52" s="27" t="str">
        <v>video_shares</v>
      </c>
      <c r="C52" s="27" t="str">
        <v>int</v>
      </c>
      <c r="D52" s="28" t="str">
        <v>-</v>
      </c>
    </row>
    <row r="53">
      <c r="A53" s="27" t="str">
        <v>主页浏览量</v>
      </c>
      <c r="B53" s="27" t="str">
        <v>page_views</v>
      </c>
      <c r="C53" s="27" t="str">
        <v>int</v>
      </c>
      <c r="D53" s="28" t="str">
        <v>-</v>
      </c>
    </row>
    <row r="54">
      <c r="A54" s="27" t="str">
        <v>粉丝量</v>
      </c>
      <c r="B54" s="27" t="str">
        <v>fans</v>
      </c>
      <c r="C54" s="27" t="str">
        <v>int</v>
      </c>
      <c r="D54" s="28" t="str">
        <v>-</v>
      </c>
    </row>
    <row r="55">
      <c r="A55" s="27" t="str">
        <v>预计投放时长</v>
      </c>
      <c r="B55" s="27" t="str">
        <v>estimated_duration</v>
      </c>
      <c r="C55" s="27" t="str">
        <v>int</v>
      </c>
      <c r="D55" s="28" t="str">
        <v>-</v>
      </c>
    </row>
    <row r="56">
      <c r="A56" s="27" t="str">
        <v>定向详情</v>
      </c>
      <c r="B56" s="27" t="str">
        <v>targeting_details</v>
      </c>
      <c r="C56" s="27" t="str">
        <v>varchar</v>
      </c>
      <c r="D56" s="28">
        <v>200</v>
      </c>
    </row>
  </sheetData>
  <mergeCells>
    <mergeCell ref="I1:N1"/>
    <mergeCell ref="A1:H1"/>
  </mergeCells>
  <picture r:id="rId1"/>
</worksheet>
</file>

<file path=xl/worksheets/sheet2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5"/>
    <col collapsed="false" customWidth="true" hidden="false" max="3" min="3" style="0" width="2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15" t="str">
        <v>营销费用源表-小红书-省广美妆-业务计划</v>
      </c>
      <c r="C3" s="25" t="str">
        <v>cost_date</v>
      </c>
      <c r="D3" s="26" t="str">
        <v>时间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23">
        <v>2</v>
      </c>
      <c r="B4" s="15" t="str">
        <v>营销费用源表-小红书-省广美妆-业务计划</v>
      </c>
      <c r="C4" s="25" t="str">
        <v>campaign_name</v>
      </c>
      <c r="D4" s="26" t="str">
        <v>计划名称</v>
      </c>
      <c r="E4" s="23" t="str">
        <v>STRING</v>
      </c>
      <c r="F4" s="23">
        <f>CONCAT(",",C4,"   ",E4,"   COMMENT'", D4,"'" )</f>
      </c>
      <c r="G4" s="17"/>
      <c r="H4" s="17"/>
      <c r="I4" s="24"/>
      <c r="J4" s="24"/>
      <c r="K4" s="24"/>
      <c r="L4" s="24"/>
      <c r="M4" s="24"/>
      <c r="N4" s="24"/>
    </row>
    <row r="5">
      <c r="A5" s="23">
        <v>3</v>
      </c>
      <c r="B5" s="15" t="str">
        <v>营销费用源表-小红书-省广美妆-业务计划</v>
      </c>
      <c r="C5" s="25" t="str">
        <v>campaign_id</v>
      </c>
      <c r="D5" s="26" t="str">
        <v>计划ID</v>
      </c>
      <c r="E5" s="23" t="str">
        <v>STRING</v>
      </c>
      <c r="F5" s="23">
        <f>CONCAT(",",C5,"   ",E5,"   COMMENT'", D5,"'" )</f>
      </c>
      <c r="G5" s="17"/>
      <c r="H5" s="17"/>
      <c r="I5" s="24"/>
      <c r="J5" s="24"/>
      <c r="K5" s="24"/>
      <c r="L5" s="24"/>
      <c r="M5" s="24"/>
      <c r="N5" s="24"/>
    </row>
    <row r="6">
      <c r="A6" s="23">
        <v>4</v>
      </c>
      <c r="B6" s="15" t="str">
        <v>营销费用源表-小红书-省广美妆-业务计划</v>
      </c>
      <c r="C6" s="25" t="str">
        <v>cost_amount</v>
      </c>
      <c r="D6" s="26" t="str">
        <v>消费</v>
      </c>
      <c r="E6" s="17" t="str">
        <v>DECIMAL(30, 8)</v>
      </c>
      <c r="F6" s="23">
        <f>CONCAT(",",C6,"   ",E6,"   COMMENT'", D6,"'" )</f>
      </c>
      <c r="G6" s="17"/>
      <c r="H6" s="17"/>
      <c r="I6" s="24"/>
      <c r="J6" s="24"/>
      <c r="K6" s="24"/>
      <c r="L6" s="24"/>
      <c r="M6" s="24"/>
      <c r="N6" s="24"/>
    </row>
    <row r="7">
      <c r="A7" s="23">
        <v>5</v>
      </c>
      <c r="B7" s="15" t="str">
        <v>营销费用源表-小红书-省广美妆-业务计划</v>
      </c>
      <c r="C7" s="25" t="str">
        <v>impressions</v>
      </c>
      <c r="D7" s="26" t="str">
        <v>展现量</v>
      </c>
      <c r="E7" s="23" t="str">
        <v>STRING</v>
      </c>
      <c r="F7" s="23">
        <f>CONCAT(",",C7,"   ",E7,"   COMMENT'", D7,"'" )</f>
      </c>
      <c r="G7" s="17"/>
      <c r="H7" s="17"/>
      <c r="I7" s="24"/>
      <c r="J7" s="24"/>
      <c r="K7" s="24"/>
      <c r="L7" s="24"/>
      <c r="M7" s="24"/>
      <c r="N7" s="24"/>
    </row>
    <row r="8">
      <c r="A8" s="23">
        <v>6</v>
      </c>
      <c r="B8" s="15" t="str">
        <v>营销费用源表-小红书-省广美妆-业务计划</v>
      </c>
      <c r="C8" s="25" t="str">
        <v>clicks</v>
      </c>
      <c r="D8" s="26" t="str">
        <v>点击量</v>
      </c>
      <c r="E8" s="23" t="str">
        <v>STRING</v>
      </c>
      <c r="F8" s="23">
        <f>CONCAT(",",C8,"   ",E8,"   COMMENT'", D8,"'" )</f>
      </c>
      <c r="G8" s="17"/>
      <c r="H8" s="17"/>
      <c r="I8" s="24"/>
      <c r="J8" s="24"/>
      <c r="K8" s="24"/>
      <c r="L8" s="24"/>
      <c r="M8" s="24"/>
      <c r="N8" s="24"/>
    </row>
    <row r="9">
      <c r="A9" s="23">
        <v>7</v>
      </c>
      <c r="B9" s="15" t="str">
        <v>营销费用源表-小红书-省广美妆-业务计划</v>
      </c>
      <c r="C9" s="25" t="str">
        <v>ctr</v>
      </c>
      <c r="D9" s="26" t="str">
        <v>点击率</v>
      </c>
      <c r="E9" s="23" t="str">
        <v>STRING</v>
      </c>
      <c r="F9" s="23">
        <f>CONCAT(",",C9,"   ",E9,"   COMMENT'", D9,"'" )</f>
      </c>
      <c r="G9" s="17"/>
      <c r="H9" s="17"/>
      <c r="I9" s="24"/>
      <c r="J9" s="24"/>
      <c r="K9" s="24"/>
      <c r="L9" s="24"/>
      <c r="M9" s="24"/>
      <c r="N9" s="24"/>
    </row>
    <row r="10">
      <c r="A10" s="23">
        <v>8</v>
      </c>
      <c r="B10" s="15" t="str">
        <v>营销费用源表-小红书-省广美妆-业务计划</v>
      </c>
      <c r="C10" s="25" t="str">
        <v>cpc</v>
      </c>
      <c r="D10" s="26" t="str">
        <v>平均点击成本</v>
      </c>
      <c r="E10" s="17" t="str">
        <v>DECIMAL(30, 8)</v>
      </c>
      <c r="F10" s="23">
        <f>CONCAT(",",C10,"   ",E10,"   COMMENT'", D10,"'" )</f>
      </c>
      <c r="G10" s="17"/>
      <c r="H10" s="17"/>
      <c r="I10" s="17"/>
      <c r="J10" s="17"/>
      <c r="K10" s="17"/>
      <c r="L10" s="17"/>
      <c r="M10" s="17"/>
      <c r="N10" s="17"/>
    </row>
    <row r="11">
      <c r="A11" s="23">
        <v>9</v>
      </c>
      <c r="B11" s="15" t="str">
        <v>营销费用源表-小红书-省广美妆-业务计划</v>
      </c>
      <c r="C11" s="25" t="str">
        <v>rgmv</v>
      </c>
      <c r="D11" s="26" t="str">
        <v>rGMV</v>
      </c>
      <c r="E11" s="23" t="str">
        <v>STRING</v>
      </c>
      <c r="F11" s="23">
        <f>CONCAT(",",C11,"   ",E11,"   COMMENT'", D11,"'" )</f>
      </c>
      <c r="G11" s="17"/>
      <c r="H11" s="17"/>
      <c r="I11" s="17"/>
      <c r="J11" s="17"/>
      <c r="K11" s="17"/>
      <c r="L11" s="17"/>
      <c r="M11" s="17"/>
      <c r="N11" s="17"/>
    </row>
    <row r="12">
      <c r="A12" s="23">
        <v>10</v>
      </c>
      <c r="B12" s="15" t="str">
        <v>营销费用源表-小红书-省广美妆-业务计划</v>
      </c>
      <c r="C12" s="25" t="str">
        <v>roi</v>
      </c>
      <c r="D12" s="26" t="str">
        <v>投入产出比</v>
      </c>
      <c r="E12" s="23" t="str">
        <v>STRING</v>
      </c>
      <c r="F12" s="23">
        <f>CONCAT(",",C12,"   ",E12,"   COMMENT'", D12,"'" )</f>
      </c>
      <c r="G12" s="17"/>
      <c r="H12" s="17"/>
      <c r="I12" s="17"/>
      <c r="J12" s="17"/>
      <c r="K12" s="17"/>
      <c r="L12" s="17"/>
      <c r="M12" s="17"/>
      <c r="N12" s="17"/>
    </row>
    <row r="13">
      <c r="A13" s="23">
        <v>11</v>
      </c>
      <c r="B13" s="15" t="str">
        <v>营销费用源表-小红书-省广美妆-业务计划</v>
      </c>
      <c r="C13" s="25" t="str">
        <v>cpi</v>
      </c>
      <c r="D13" s="26" t="str">
        <v>平均互动成本</v>
      </c>
      <c r="E13" s="23" t="str">
        <v>STRING</v>
      </c>
      <c r="F13" s="23">
        <f>CONCAT(",",C13,"   ",E13,"   COMMENT'", D13,"'" )</f>
      </c>
      <c r="G13" s="17"/>
      <c r="H13" s="17"/>
      <c r="I13" s="17"/>
      <c r="J13" s="17"/>
      <c r="K13" s="17"/>
      <c r="L13" s="17"/>
      <c r="M13" s="17"/>
      <c r="N13" s="17"/>
    </row>
    <row r="14"/>
    <row r="15"/>
    <row r="16"/>
    <row r="17"/>
    <row r="18">
      <c r="A18" s="27" t="str">
        <v>时间</v>
      </c>
      <c r="B18" s="27" t="str">
        <v>time</v>
      </c>
      <c r="C18" s="27" t="str">
        <v>datetime</v>
      </c>
      <c r="D18" s="28" t="str">
        <v>-</v>
      </c>
    </row>
    <row r="19">
      <c r="A19" s="27" t="str">
        <v>计划名称</v>
      </c>
      <c r="B19" s="27" t="str">
        <v>campaign_name</v>
      </c>
      <c r="C19" s="27" t="str">
        <v>varchar</v>
      </c>
      <c r="D19" s="28">
        <v>255</v>
      </c>
    </row>
    <row r="20">
      <c r="A20" s="27" t="str">
        <v>计划ID</v>
      </c>
      <c r="B20" s="27" t="str">
        <v>campaign_id</v>
      </c>
      <c r="C20" s="27" t="str">
        <v>varchar</v>
      </c>
      <c r="D20" s="28">
        <v>50</v>
      </c>
    </row>
    <row r="21">
      <c r="A21" s="27" t="str">
        <v>消费</v>
      </c>
      <c r="B21" s="27" t="str">
        <v>cost</v>
      </c>
      <c r="C21" s="27" t="str">
        <v>decimal</v>
      </c>
      <c r="D21" s="28" t="str">
        <v>-</v>
      </c>
    </row>
    <row r="22">
      <c r="A22" s="27" t="str">
        <v>展现量</v>
      </c>
      <c r="B22" s="27" t="str">
        <v>impressions</v>
      </c>
      <c r="C22" s="27" t="str">
        <v>int</v>
      </c>
      <c r="D22" s="28" t="str">
        <v>-</v>
      </c>
    </row>
    <row r="23">
      <c r="A23" s="27" t="str">
        <v>点击量</v>
      </c>
      <c r="B23" s="27" t="str">
        <v>clicks</v>
      </c>
      <c r="C23" s="27" t="str">
        <v>int</v>
      </c>
      <c r="D23" s="28" t="str">
        <v>-</v>
      </c>
    </row>
    <row r="24">
      <c r="A24" s="27" t="str">
        <v>点击率</v>
      </c>
      <c r="B24" s="27" t="str">
        <v>ctr</v>
      </c>
      <c r="C24" s="27" t="str">
        <v>decimal</v>
      </c>
      <c r="D24" s="28" t="str">
        <v>-</v>
      </c>
    </row>
    <row r="25">
      <c r="A25" s="27" t="str">
        <v>平均点击成本</v>
      </c>
      <c r="B25" s="27" t="str">
        <v>cpc</v>
      </c>
      <c r="C25" s="27" t="str">
        <v>decimal</v>
      </c>
      <c r="D25" s="28" t="str">
        <v>-</v>
      </c>
    </row>
    <row r="26">
      <c r="A26" s="27" t="str">
        <v>rGMV</v>
      </c>
      <c r="B26" s="27" t="str">
        <v>rgmv</v>
      </c>
      <c r="C26" s="27" t="str">
        <v>decimal</v>
      </c>
      <c r="D26" s="28" t="str">
        <v>-</v>
      </c>
    </row>
    <row r="27">
      <c r="A27" s="27" t="str">
        <v>投入产出比</v>
      </c>
      <c r="B27" s="27" t="str">
        <v>roi</v>
      </c>
      <c r="C27" s="27" t="str">
        <v>decimal</v>
      </c>
      <c r="D27" s="28" t="str">
        <v>-</v>
      </c>
    </row>
    <row r="28">
      <c r="A28" s="27" t="str">
        <v>平均互动成本</v>
      </c>
      <c r="B28" s="27" t="str">
        <v>cpi</v>
      </c>
      <c r="C28" s="27" t="str">
        <v>decimal</v>
      </c>
      <c r="D28" s="28" t="str">
        <v>-</v>
      </c>
    </row>
  </sheetData>
  <mergeCells>
    <mergeCell ref="I1:N1"/>
    <mergeCell ref="A1:H1"/>
  </mergeCells>
  <picture r:id="rId1"/>
</worksheet>
</file>

<file path=xl/worksheets/sheet2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5"/>
    <col collapsed="false" customWidth="true" hidden="false" max="3" min="3" style="0" width="35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15" t="str">
        <v>营销费用源表-小红书-省广美妆-资金流水</v>
      </c>
      <c r="C3" s="25" t="str">
        <v>put_date</v>
      </c>
      <c r="D3" s="26" t="str">
        <v>投放日期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23">
        <v>2</v>
      </c>
      <c r="B4" s="15" t="str">
        <v>营销费用源表-小红书-省广美妆-资金流水</v>
      </c>
      <c r="C4" s="25" t="str">
        <v>action_type</v>
      </c>
      <c r="D4" s="26" t="str">
        <v>操作类型</v>
      </c>
      <c r="E4" s="23" t="str">
        <v>STRING</v>
      </c>
      <c r="F4" s="23">
        <f>CONCAT(",",C4,"   ",E4,"   COMMENT'", D4,"'" )</f>
      </c>
      <c r="G4" s="17"/>
      <c r="H4" s="17"/>
      <c r="I4" s="17"/>
      <c r="J4" s="17"/>
      <c r="K4" s="17"/>
      <c r="L4" s="17"/>
      <c r="M4" s="17"/>
      <c r="N4" s="17"/>
    </row>
    <row r="5">
      <c r="A5" s="23">
        <v>3</v>
      </c>
      <c r="B5" s="15" t="str">
        <v>营销费用源表-小红书-省广美妆-资金流水</v>
      </c>
      <c r="C5" s="25" t="str">
        <v>cash_amount</v>
      </c>
      <c r="D5" s="26" t="str">
        <v>现金金额(元)</v>
      </c>
      <c r="E5" s="17" t="str">
        <v>DECIMAL(30, 8)</v>
      </c>
      <c r="F5" s="23">
        <f>CONCAT(",",C5,"   ",E5,"   COMMENT'", D5,"'" )</f>
      </c>
      <c r="G5" s="17"/>
      <c r="H5" s="17"/>
      <c r="I5" s="17"/>
      <c r="J5" s="17"/>
      <c r="K5" s="17"/>
      <c r="L5" s="17"/>
      <c r="M5" s="17"/>
      <c r="N5" s="17"/>
    </row>
    <row r="6">
      <c r="A6" s="23">
        <v>4</v>
      </c>
      <c r="B6" s="15" t="str">
        <v>营销费用源表-小红书-省广美妆-资金流水</v>
      </c>
      <c r="C6" s="25" t="str">
        <v>return_amount</v>
      </c>
      <c r="D6" s="26" t="str">
        <v>返货金额(元)</v>
      </c>
      <c r="E6" s="17" t="str">
        <v>DECIMAL(30, 8)</v>
      </c>
      <c r="F6" s="23">
        <f>CONCAT(",",C6,"   ",E6,"   COMMENT'", D6,"'" )</f>
      </c>
      <c r="G6" s="17"/>
      <c r="H6" s="17"/>
      <c r="I6" s="17"/>
      <c r="J6" s="17"/>
      <c r="K6" s="17"/>
      <c r="L6" s="17"/>
      <c r="M6" s="17"/>
      <c r="N6" s="17"/>
    </row>
    <row r="7">
      <c r="A7" s="23">
        <v>5</v>
      </c>
      <c r="B7" s="15" t="str">
        <v>营销费用源表-小红书-省广美妆-资金流水</v>
      </c>
      <c r="C7" s="25" t="str">
        <v>cash_balance</v>
      </c>
      <c r="D7" s="26" t="str">
        <v>现金余额(元)</v>
      </c>
      <c r="E7" s="17" t="str">
        <v>DECIMAL(30, 8)</v>
      </c>
      <c r="F7" s="23">
        <f>CONCAT(",",C7,"   ",E7,"   COMMENT'", D7,"'" )</f>
      </c>
      <c r="G7" s="17"/>
      <c r="H7" s="17"/>
      <c r="I7" s="17"/>
      <c r="J7" s="17"/>
      <c r="K7" s="17"/>
      <c r="L7" s="17"/>
      <c r="M7" s="17"/>
      <c r="N7" s="17"/>
    </row>
    <row r="8">
      <c r="A8" s="23">
        <v>6</v>
      </c>
      <c r="B8" s="15" t="str">
        <v>营销费用源表-小红书-省广美妆-资金流水</v>
      </c>
      <c r="C8" s="25" t="str">
        <v>return_balance</v>
      </c>
      <c r="D8" s="26" t="str">
        <v>返货余额(元)</v>
      </c>
      <c r="E8" s="17" t="str">
        <v>DECIMAL(30, 8)</v>
      </c>
      <c r="F8" s="23">
        <f>CONCAT(",",C8,"   ",E8,"   COMMENT'", D8,"'" )</f>
      </c>
      <c r="G8" s="17"/>
      <c r="H8" s="17"/>
      <c r="I8" s="17"/>
      <c r="J8" s="17"/>
      <c r="K8" s="17"/>
      <c r="L8" s="17"/>
      <c r="M8" s="17"/>
      <c r="N8" s="17"/>
    </row>
    <row r="9">
      <c r="A9" s="23">
        <v>7</v>
      </c>
      <c r="B9" s="15" t="str">
        <v>营销费用源表-小红书-省广美妆-资金流水</v>
      </c>
      <c r="C9" s="25" t="str">
        <v>action_time</v>
      </c>
      <c r="D9" s="26" t="str">
        <v>操作时间</v>
      </c>
      <c r="E9" s="23" t="str">
        <v>STRING</v>
      </c>
      <c r="F9" s="23">
        <f>CONCAT(",",C9,"   ",E9,"   COMMENT'", D9,"'" )</f>
      </c>
      <c r="G9" s="17"/>
      <c r="H9" s="17"/>
      <c r="I9" s="17"/>
      <c r="J9" s="17"/>
      <c r="K9" s="17"/>
      <c r="L9" s="17"/>
      <c r="M9" s="17"/>
      <c r="N9" s="17"/>
    </row>
    <row r="10"/>
    <row r="11"/>
    <row r="12">
      <c r="A12" s="59" t="str">
        <v>字典名称</v>
      </c>
      <c r="B12" s="59" t="str">
        <v>英文名称</v>
      </c>
      <c r="C12" s="59" t="str">
        <v>字段类型</v>
      </c>
      <c r="D12" s="60" t="str">
        <v>长度</v>
      </c>
    </row>
    <row r="13">
      <c r="A13" s="27" t="str">
        <v>投放日期</v>
      </c>
      <c r="B13" s="27" t="str">
        <v>put_date</v>
      </c>
      <c r="C13" s="27" t="str">
        <v>日期</v>
      </c>
      <c r="D13" s="28" t="str">
        <v>-</v>
      </c>
    </row>
    <row r="14">
      <c r="A14" s="27" t="str">
        <v>操作类型</v>
      </c>
      <c r="B14" s="27" t="str">
        <v>action_type</v>
      </c>
      <c r="C14" s="27" t="str">
        <v>文本</v>
      </c>
      <c r="D14" s="28">
        <v>20</v>
      </c>
    </row>
    <row r="15">
      <c r="A15" s="27" t="str">
        <v>现金金额(元)</v>
      </c>
      <c r="B15" s="27" t="str">
        <v>cash_amount</v>
      </c>
      <c r="C15" s="27" t="str">
        <v>数字</v>
      </c>
      <c r="D15" s="28" t="str">
        <v>-</v>
      </c>
    </row>
    <row r="16">
      <c r="A16" s="27" t="str">
        <v>返货金额(元)</v>
      </c>
      <c r="B16" s="27" t="str">
        <v>return_amount</v>
      </c>
      <c r="C16" s="27" t="str">
        <v>数字</v>
      </c>
      <c r="D16" s="28" t="str">
        <v>-</v>
      </c>
    </row>
    <row r="17">
      <c r="A17" s="27" t="str">
        <v>现金余额(元)</v>
      </c>
      <c r="B17" s="27" t="str">
        <v>cash_balance</v>
      </c>
      <c r="C17" s="27" t="str">
        <v>数字</v>
      </c>
      <c r="D17" s="28" t="str">
        <v>-</v>
      </c>
    </row>
    <row r="18">
      <c r="A18" s="27" t="str">
        <v>返货余额(元)</v>
      </c>
      <c r="B18" s="27" t="str">
        <v>return_balance</v>
      </c>
      <c r="C18" s="27" t="str">
        <v>数字</v>
      </c>
      <c r="D18" s="28" t="str">
        <v>-</v>
      </c>
    </row>
    <row r="19">
      <c r="A19" s="27" t="str">
        <v>操作时间</v>
      </c>
      <c r="B19" s="27" t="str">
        <v>action_time</v>
      </c>
      <c r="C19" s="27" t="str">
        <v>日期时间</v>
      </c>
      <c r="D19" s="28" t="str">
        <v>-</v>
      </c>
    </row>
  </sheetData>
  <mergeCells>
    <mergeCell ref="I1:N1"/>
    <mergeCell ref="A1:H1"/>
  </mergeCells>
  <picture r:id="rId1"/>
</worksheet>
</file>

<file path=xl/worksheets/sheet2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5"/>
    <col collapsed="false" customWidth="true" hidden="false" max="3" min="3" style="0" width="35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7" t="str">
        <v>数据模型属性定义</v>
      </c>
      <c r="B1" s="7"/>
      <c r="C1" s="7"/>
      <c r="D1" s="7"/>
      <c r="E1" s="7"/>
      <c r="F1" s="7"/>
      <c r="G1" s="7"/>
      <c r="H1" s="7"/>
      <c r="I1" s="8" t="str">
        <v>系统溯源分析</v>
      </c>
      <c r="J1" s="8"/>
      <c r="K1" s="8"/>
      <c r="L1" s="8"/>
      <c r="M1" s="8"/>
      <c r="N1" s="8"/>
    </row>
    <row r="2">
      <c r="A2" s="19" t="str">
        <v>序号</v>
      </c>
      <c r="B2" s="19" t="str">
        <v>模型名称</v>
      </c>
      <c r="C2" s="20" t="str">
        <v>字段</v>
      </c>
      <c r="D2" s="19" t="str">
        <v>字段描述</v>
      </c>
      <c r="E2" s="19" t="str">
        <v>字段类型</v>
      </c>
      <c r="F2" s="19" t="str">
        <v>字段长度</v>
      </c>
      <c r="G2" s="19" t="str">
        <v>是否主键</v>
      </c>
      <c r="H2" s="19" t="str">
        <v>字段备注</v>
      </c>
      <c r="I2" s="35" t="str">
        <v>数据来源系统</v>
      </c>
      <c r="J2" s="35" t="str">
        <v>数据来源表</v>
      </c>
      <c r="K2" s="35" t="str">
        <v>来源表描述</v>
      </c>
      <c r="L2" s="36" t="str">
        <v>来源字段</v>
      </c>
      <c r="M2" s="36" t="str">
        <v>来源字段描述</v>
      </c>
      <c r="N2" s="36" t="str">
        <v>备注</v>
      </c>
    </row>
    <row r="3">
      <c r="A3" s="23">
        <v>1</v>
      </c>
      <c r="B3" s="15" t="str">
        <v>营销费用源表-小红书-拾光宝盒-资金流水</v>
      </c>
      <c r="C3" s="25" t="str">
        <v>cost_date</v>
      </c>
      <c r="D3" s="26" t="str">
        <v>投放日期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23">
        <v>2</v>
      </c>
      <c r="B4" s="15" t="str">
        <v>营销费用源表-小红书-拾光宝盒-资金流水</v>
      </c>
      <c r="C4" s="25" t="str">
        <v>operation_type</v>
      </c>
      <c r="D4" s="26" t="str">
        <v>操作类型</v>
      </c>
      <c r="E4" s="23" t="str">
        <v>STRING</v>
      </c>
      <c r="F4" s="23">
        <f>CONCAT(",",C4,"   ",E4,"   COMMENT'", D4,"'" )</f>
      </c>
      <c r="G4" s="17"/>
      <c r="H4" s="17"/>
      <c r="I4" s="17"/>
      <c r="J4" s="17"/>
      <c r="K4" s="17"/>
      <c r="L4" s="17"/>
      <c r="M4" s="17"/>
      <c r="N4" s="17"/>
    </row>
    <row r="5">
      <c r="A5" s="23">
        <v>3</v>
      </c>
      <c r="B5" s="15" t="str">
        <v>营销费用源表-小红书-拾光宝盒-资金流水</v>
      </c>
      <c r="C5" s="25" t="str">
        <v>cash_amount</v>
      </c>
      <c r="D5" s="26" t="str">
        <v>现金金额(元)</v>
      </c>
      <c r="E5" s="17" t="str">
        <v>DECIMAL(30, 8)</v>
      </c>
      <c r="F5" s="23">
        <f>CONCAT(",",C5,"   ",E5,"   COMMENT'", D5,"'" )</f>
      </c>
      <c r="G5" s="17"/>
      <c r="H5" s="17"/>
      <c r="I5" s="17"/>
      <c r="J5" s="17"/>
      <c r="K5" s="17"/>
      <c r="L5" s="17"/>
      <c r="M5" s="17"/>
      <c r="N5" s="17"/>
    </row>
    <row r="6">
      <c r="A6" s="23">
        <v>4</v>
      </c>
      <c r="B6" s="15" t="str">
        <v>营销费用源表-小红书-拾光宝盒-资金流水</v>
      </c>
      <c r="C6" s="25" t="str">
        <v>credit_amount</v>
      </c>
      <c r="D6" s="26" t="str">
        <v>授信金额(元)</v>
      </c>
      <c r="E6" s="17" t="str">
        <v>DECIMAL(30, 8)</v>
      </c>
      <c r="F6" s="23">
        <f>CONCAT(",",C6,"   ",E6,"   COMMENT'", D6,"'" )</f>
      </c>
      <c r="G6" s="17"/>
      <c r="H6" s="17"/>
      <c r="I6" s="17"/>
      <c r="J6" s="17"/>
      <c r="K6" s="17"/>
      <c r="L6" s="17"/>
      <c r="M6" s="17"/>
      <c r="N6" s="17"/>
    </row>
    <row r="7">
      <c r="A7" s="23">
        <v>5</v>
      </c>
      <c r="B7" s="15" t="str">
        <v>营销费用源表-小红书-拾光宝盒-资金流水</v>
      </c>
      <c r="C7" s="25" t="str">
        <v>return_amount</v>
      </c>
      <c r="D7" s="26" t="str">
        <v>返货金额(元)</v>
      </c>
      <c r="E7" s="17" t="str">
        <v>DECIMAL(30, 8)</v>
      </c>
      <c r="F7" s="23">
        <f>CONCAT(",",C7,"   ",E7,"   COMMENT'", D7,"'" )</f>
      </c>
      <c r="G7" s="17"/>
      <c r="H7" s="17"/>
      <c r="I7" s="17"/>
      <c r="J7" s="17"/>
      <c r="K7" s="17"/>
      <c r="L7" s="17"/>
      <c r="M7" s="17"/>
      <c r="N7" s="17"/>
    </row>
    <row r="8">
      <c r="A8" s="23">
        <v>6</v>
      </c>
      <c r="B8" s="15" t="str">
        <v>营销费用源表-小红书-拾光宝盒-资金流水</v>
      </c>
      <c r="C8" s="25" t="str">
        <v>cash_balance</v>
      </c>
      <c r="D8" s="26" t="str">
        <v>现金余额(元)</v>
      </c>
      <c r="E8" s="17" t="str">
        <v>DECIMAL(30, 8)</v>
      </c>
      <c r="F8" s="23">
        <f>CONCAT(",",C8,"   ",E8,"   COMMENT'", D8,"'" )</f>
      </c>
      <c r="G8" s="17"/>
      <c r="H8" s="17"/>
      <c r="I8" s="17"/>
      <c r="J8" s="17"/>
      <c r="K8" s="17"/>
      <c r="L8" s="17"/>
      <c r="M8" s="17"/>
      <c r="N8" s="17"/>
    </row>
    <row r="9">
      <c r="A9" s="23">
        <v>7</v>
      </c>
      <c r="B9" s="15" t="str">
        <v>营销费用源表-小红书-拾光宝盒-资金流水</v>
      </c>
      <c r="C9" s="25" t="str">
        <v>credit_balance</v>
      </c>
      <c r="D9" s="26" t="str">
        <v>授信余额(元)</v>
      </c>
      <c r="E9" s="17" t="str">
        <v>DECIMAL(30, 8)</v>
      </c>
      <c r="F9" s="23">
        <f>CONCAT(",",C9,"   ",E9,"   COMMENT'", D9,"'" )</f>
      </c>
      <c r="G9" s="17"/>
      <c r="H9" s="17"/>
      <c r="I9" s="17"/>
      <c r="J9" s="17"/>
      <c r="K9" s="17"/>
      <c r="L9" s="17"/>
      <c r="M9" s="17"/>
      <c r="N9" s="17"/>
    </row>
    <row r="10">
      <c r="A10" s="23">
        <v>8</v>
      </c>
      <c r="B10" s="15" t="str">
        <v>营销费用源表-小红书-拾光宝盒-资金流水</v>
      </c>
      <c r="C10" s="17" t="str">
        <v>return_balance</v>
      </c>
      <c r="D10" s="26" t="str">
        <v>返货余额(元)</v>
      </c>
      <c r="E10" s="17" t="str">
        <v>DECIMAL(30, 8)</v>
      </c>
      <c r="F10" s="23">
        <f>CONCAT(",",C10,"   ",E10,"   COMMENT'", D10,"'" )</f>
      </c>
      <c r="G10" s="17"/>
      <c r="H10" s="17"/>
      <c r="I10" s="17"/>
      <c r="J10" s="17"/>
      <c r="K10" s="17"/>
      <c r="L10" s="17"/>
      <c r="M10" s="17"/>
      <c r="N10" s="17"/>
    </row>
    <row r="11">
      <c r="A11" s="23">
        <v>9</v>
      </c>
      <c r="B11" s="15" t="str">
        <v>营销费用源表-小红书-拾光宝盒-资金流水</v>
      </c>
      <c r="C11" s="17" t="str">
        <v>operation_time</v>
      </c>
      <c r="D11" s="26" t="str">
        <v>操作时间</v>
      </c>
      <c r="E11" s="23" t="str">
        <v>STRING</v>
      </c>
      <c r="F11" s="23">
        <f>CONCAT(",",C11,"   ",E11,"   COMMENT'", D11,"'" )</f>
      </c>
      <c r="G11" s="17"/>
      <c r="H11" s="17"/>
      <c r="I11" s="17"/>
      <c r="J11" s="17"/>
      <c r="K11" s="17"/>
      <c r="L11" s="17"/>
      <c r="M11" s="17"/>
      <c r="N11" s="17"/>
    </row>
    <row r="12"/>
    <row r="13"/>
    <row r="14">
      <c r="A14" s="27" t="str">
        <v>投放日期</v>
      </c>
      <c r="B14" s="27" t="str">
        <v>date</v>
      </c>
      <c r="C14" s="27" t="str">
        <v>date</v>
      </c>
      <c r="D14" s="28" t="str">
        <v>-</v>
      </c>
    </row>
    <row r="15">
      <c r="A15" s="27" t="str">
        <v>操作类型</v>
      </c>
      <c r="B15" s="27" t="str">
        <v>operation_type</v>
      </c>
      <c r="C15" s="27" t="str">
        <v>string</v>
      </c>
      <c r="D15" s="28" t="str">
        <v>-</v>
      </c>
    </row>
    <row r="16">
      <c r="A16" s="27" t="str">
        <v>现金金额(元)</v>
      </c>
      <c r="B16" s="27" t="str">
        <v>cash_amount</v>
      </c>
      <c r="C16" s="27" t="str">
        <v>float</v>
      </c>
      <c r="D16" s="28" t="str">
        <v>-</v>
      </c>
    </row>
    <row r="17">
      <c r="A17" s="27" t="str">
        <v>授信金额(元)</v>
      </c>
      <c r="B17" s="27" t="str">
        <v>credit_amount</v>
      </c>
      <c r="C17" s="27" t="str">
        <v>float</v>
      </c>
      <c r="D17" s="28" t="str">
        <v>-</v>
      </c>
    </row>
    <row r="18">
      <c r="A18" s="27" t="str">
        <v>返货金额(元)</v>
      </c>
      <c r="B18" s="27" t="str">
        <v>return_amount</v>
      </c>
      <c r="C18" s="27" t="str">
        <v>float</v>
      </c>
      <c r="D18" s="28" t="str">
        <v>-</v>
      </c>
    </row>
    <row r="19">
      <c r="A19" s="27" t="str">
        <v>现金余额(元)</v>
      </c>
      <c r="B19" s="27" t="str">
        <v>cash_balance</v>
      </c>
      <c r="C19" s="27" t="str">
        <v>float</v>
      </c>
      <c r="D19" s="28" t="str">
        <v>-</v>
      </c>
    </row>
    <row r="20">
      <c r="A20" s="27" t="str">
        <v>授信余额(元)</v>
      </c>
      <c r="B20" s="27" t="str">
        <v>credit_balance</v>
      </c>
      <c r="C20" s="27" t="str">
        <v>float</v>
      </c>
      <c r="D20" s="28" t="str">
        <v>-</v>
      </c>
    </row>
    <row r="21">
      <c r="A21" t="str">
        <v>返货余额(元)</v>
      </c>
      <c r="B21" t="str">
        <v>return_balance</v>
      </c>
      <c r="C21" t="str">
        <v>float</v>
      </c>
      <c r="D21" t="str">
        <v>-</v>
      </c>
    </row>
    <row r="22">
      <c r="A22" t="str">
        <v>操作时间</v>
      </c>
      <c r="B22" t="str">
        <v>operation_time</v>
      </c>
      <c r="C22" t="str">
        <v>datetime</v>
      </c>
      <c r="D22" t="str">
        <v>-</v>
      </c>
    </row>
  </sheetData>
  <mergeCells>
    <mergeCell ref="I1:N1"/>
    <mergeCell ref="A1:H1"/>
  </mergeCells>
  <picture r:id="rId1"/>
</worksheet>
</file>

<file path=xl/worksheets/sheet2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30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15" t="str">
        <v>营销费用源表-B站-业务计划</v>
      </c>
      <c r="C3" s="25" t="str">
        <v>cost_date</v>
      </c>
      <c r="D3" s="26" t="str">
        <v>日期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23">
        <v>2</v>
      </c>
      <c r="B4" s="15" t="str">
        <v>营销费用源表-B站-业务计划</v>
      </c>
      <c r="C4" s="25" t="str">
        <v>content</v>
      </c>
      <c r="D4" s="26" t="str">
        <v>内容</v>
      </c>
      <c r="E4" s="23" t="str">
        <v>STRING</v>
      </c>
      <c r="F4" s="23">
        <f>CONCAT(",",C4,"   ",E4,"   COMMENT'", D4,"'" )</f>
      </c>
      <c r="G4" s="17"/>
      <c r="H4" s="17"/>
      <c r="I4" s="24"/>
      <c r="J4" s="24"/>
      <c r="K4" s="24"/>
      <c r="L4" s="24"/>
      <c r="M4" s="24"/>
      <c r="N4" s="24"/>
    </row>
    <row r="5">
      <c r="A5" s="23">
        <v>3</v>
      </c>
      <c r="B5" s="15" t="str">
        <v>营销费用源表-B站-业务计划</v>
      </c>
      <c r="C5" s="25" t="str">
        <v>product</v>
      </c>
      <c r="D5" s="26" t="str">
        <v>产品</v>
      </c>
      <c r="E5" s="23" t="str">
        <v>STRING</v>
      </c>
      <c r="F5" s="23">
        <f>CONCAT(",",C5,"   ",E5,"   COMMENT'", D5,"'" )</f>
      </c>
      <c r="G5" s="17"/>
      <c r="H5" s="17"/>
      <c r="I5" s="24"/>
      <c r="J5" s="24"/>
      <c r="K5" s="24"/>
      <c r="L5" s="24"/>
      <c r="M5" s="24"/>
      <c r="N5" s="24"/>
    </row>
    <row r="6">
      <c r="A6" s="23">
        <v>4</v>
      </c>
      <c r="B6" s="15" t="str">
        <v>营销费用源表-B站-业务计划</v>
      </c>
      <c r="C6" s="25" t="str">
        <v>channel</v>
      </c>
      <c r="D6" s="26" t="str">
        <v>渠道</v>
      </c>
      <c r="E6" s="23" t="str">
        <v>STRING</v>
      </c>
      <c r="F6" s="23">
        <f>CONCAT(",",C6,"   ",E6,"   COMMENT'", D6,"'" )</f>
      </c>
      <c r="G6" s="17"/>
      <c r="H6" s="17"/>
      <c r="I6" s="24"/>
      <c r="J6" s="24"/>
      <c r="K6" s="24"/>
      <c r="L6" s="24"/>
      <c r="M6" s="24"/>
      <c r="N6" s="24"/>
    </row>
    <row r="7">
      <c r="A7" s="23">
        <v>5</v>
      </c>
      <c r="B7" s="15" t="str">
        <v>营销费用源表-B站-业务计划</v>
      </c>
      <c r="C7" s="25" t="str">
        <v>content_type</v>
      </c>
      <c r="D7" s="26" t="str">
        <v>内容类型</v>
      </c>
      <c r="E7" s="23" t="str">
        <v>STRING</v>
      </c>
      <c r="F7" s="23">
        <f>CONCAT(",",C7,"   ",E7,"   COMMENT'", D7,"'" )</f>
      </c>
      <c r="G7" s="17"/>
      <c r="H7" s="17"/>
      <c r="I7" s="24"/>
      <c r="J7" s="24"/>
      <c r="K7" s="24"/>
      <c r="L7" s="24"/>
      <c r="M7" s="24"/>
      <c r="N7" s="24"/>
    </row>
    <row r="8">
      <c r="A8" s="23">
        <v>6</v>
      </c>
      <c r="B8" s="15" t="str">
        <v>营销费用源表-B站-业务计划</v>
      </c>
      <c r="C8" s="25" t="str">
        <v>core_audience</v>
      </c>
      <c r="D8" s="26" t="str">
        <v>核心人群</v>
      </c>
      <c r="E8" s="23" t="str">
        <v>STRING</v>
      </c>
      <c r="F8" s="23">
        <f>CONCAT(",",C8,"   ",E8,"   COMMENT'", D8,"'" )</f>
      </c>
      <c r="G8" s="17"/>
      <c r="H8" s="17"/>
      <c r="I8" s="24"/>
      <c r="J8" s="24"/>
      <c r="K8" s="24"/>
      <c r="L8" s="24"/>
      <c r="M8" s="24"/>
      <c r="N8" s="24"/>
    </row>
    <row r="9">
      <c r="A9" s="23">
        <v>7</v>
      </c>
      <c r="B9" s="15" t="str">
        <v>营销费用源表-B站-业务计划</v>
      </c>
      <c r="C9" s="25" t="str">
        <v>advertising_goal</v>
      </c>
      <c r="D9" s="26" t="str">
        <v>投放目的</v>
      </c>
      <c r="E9" s="23" t="str">
        <v>STRING</v>
      </c>
      <c r="F9" s="23">
        <f>CONCAT(",",C9,"   ",E9,"   COMMENT'", D9,"'" )</f>
      </c>
      <c r="G9" s="17"/>
      <c r="H9" s="17"/>
      <c r="I9" s="24"/>
      <c r="J9" s="24"/>
      <c r="K9" s="24"/>
      <c r="L9" s="24"/>
      <c r="M9" s="24"/>
      <c r="N9" s="24"/>
    </row>
    <row r="10">
      <c r="A10" s="23">
        <v>8</v>
      </c>
      <c r="B10" s="15" t="str">
        <v>营销费用源表-B站-业务计划</v>
      </c>
      <c r="C10" s="25" t="str">
        <v>cost_amount</v>
      </c>
      <c r="D10" s="26" t="str">
        <v>花费</v>
      </c>
      <c r="E10" s="17" t="str">
        <v>DECIMAL(30, 8)</v>
      </c>
      <c r="F10" s="23">
        <f>CONCAT(",",C10,"   ",E10,"   COMMENT'", D10,"'" )</f>
      </c>
      <c r="G10" s="17"/>
      <c r="H10" s="17"/>
      <c r="I10" s="24"/>
      <c r="J10" s="24"/>
      <c r="K10" s="24"/>
      <c r="L10" s="24"/>
      <c r="M10" s="24"/>
      <c r="N10" s="24"/>
    </row>
    <row r="11">
      <c r="A11" s="23">
        <v>9</v>
      </c>
      <c r="B11" s="15" t="str">
        <v>营销费用源表-B站-业务计划</v>
      </c>
      <c r="C11" s="25" t="str">
        <v>impression</v>
      </c>
      <c r="D11" s="26" t="str">
        <v>展现</v>
      </c>
      <c r="E11" s="23" t="str">
        <v>STRING</v>
      </c>
      <c r="F11" s="23">
        <f>CONCAT(",",C11,"   ",E11,"   COMMENT'", D11,"'" )</f>
      </c>
      <c r="G11" s="17"/>
      <c r="H11" s="17"/>
      <c r="I11" s="24"/>
      <c r="J11" s="24"/>
      <c r="K11" s="24"/>
      <c r="L11" s="24"/>
      <c r="M11" s="24"/>
      <c r="N11" s="24"/>
    </row>
    <row r="12">
      <c r="A12" s="23">
        <v>10</v>
      </c>
      <c r="B12" s="15" t="str">
        <v>营销费用源表-B站-业务计划</v>
      </c>
      <c r="C12" s="25" t="str">
        <v>action</v>
      </c>
      <c r="D12" s="26" t="str">
        <v>行为数</v>
      </c>
      <c r="E12" s="23" t="str">
        <v>STRING</v>
      </c>
      <c r="F12" s="23">
        <f>CONCAT(",",C12,"   ",E12,"   COMMENT'", D12,"'" )</f>
      </c>
      <c r="G12" s="17"/>
      <c r="H12" s="17"/>
      <c r="I12" s="43"/>
      <c r="J12" s="43"/>
      <c r="K12" s="43"/>
      <c r="L12" s="43"/>
      <c r="M12" s="43"/>
      <c r="N12" s="43"/>
    </row>
    <row r="13">
      <c r="A13" s="23">
        <v>11</v>
      </c>
      <c r="B13" s="15" t="str">
        <v>营销费用源表-B站-业务计划</v>
      </c>
      <c r="C13" s="25" t="str">
        <v>average_action_price</v>
      </c>
      <c r="D13" s="26" t="str">
        <v>平均行为单价(元)</v>
      </c>
      <c r="E13" s="23" t="str">
        <v>STRING</v>
      </c>
      <c r="F13" s="23">
        <f>CONCAT(",",C13,"   ",E13,"   COMMENT'", D13,"'" )</f>
      </c>
      <c r="G13" s="17"/>
      <c r="H13" s="33"/>
      <c r="I13" s="24"/>
      <c r="J13" s="24"/>
      <c r="K13" s="24"/>
      <c r="L13" s="24"/>
      <c r="M13" s="24"/>
      <c r="N13" s="24"/>
    </row>
    <row r="14">
      <c r="A14" s="23">
        <v>12</v>
      </c>
      <c r="B14" s="15" t="str">
        <v>营销费用源表-B站-业务计划</v>
      </c>
      <c r="C14" s="25" t="str">
        <v>average_cost_per_mille</v>
      </c>
      <c r="D14" s="26" t="str">
        <v>平均千次曝光花费(元)</v>
      </c>
      <c r="E14" s="23" t="str">
        <v>STRING</v>
      </c>
      <c r="F14" s="23">
        <f>CONCAT(",",C14,"   ",E14,"   COMMENT'", D14,"'" )</f>
      </c>
      <c r="G14" s="17"/>
      <c r="H14" s="33"/>
      <c r="I14" s="24"/>
      <c r="J14" s="24"/>
      <c r="K14" s="24"/>
      <c r="L14" s="24"/>
      <c r="M14" s="24"/>
      <c r="N14" s="24"/>
    </row>
    <row r="15">
      <c r="A15" s="23">
        <v>13</v>
      </c>
      <c r="B15" s="15" t="str">
        <v>营销费用源表-B站-业务计划</v>
      </c>
      <c r="C15" s="25" t="str">
        <v>actual_store_traffic</v>
      </c>
      <c r="D15" s="26" t="str">
        <v>实际入店流量</v>
      </c>
      <c r="E15" s="23" t="str">
        <v>STRING</v>
      </c>
      <c r="F15" s="23">
        <f>CONCAT(",",C15,"   ",E15,"   COMMENT'", D15,"'" )</f>
      </c>
      <c r="G15" s="17"/>
      <c r="H15" s="33"/>
      <c r="I15" s="24"/>
      <c r="J15" s="24"/>
      <c r="K15" s="24"/>
      <c r="L15" s="24"/>
      <c r="M15" s="24"/>
      <c r="N15" s="24"/>
    </row>
    <row r="16">
      <c r="A16" s="23">
        <v>14</v>
      </c>
      <c r="B16" s="15" t="str">
        <v>营销费用源表-B站-业务计划</v>
      </c>
      <c r="C16" s="25" t="str">
        <v>inflow_uv</v>
      </c>
      <c r="D16" s="26" t="str">
        <v>引流UV</v>
      </c>
      <c r="E16" s="23" t="str">
        <v>STRING</v>
      </c>
      <c r="F16" s="23">
        <f>CONCAT(",",C16,"   ",E16,"   COMMENT'", D16,"'" )</f>
      </c>
      <c r="G16" s="17"/>
      <c r="H16" s="33"/>
      <c r="I16" s="24"/>
      <c r="J16" s="24"/>
      <c r="K16" s="24"/>
      <c r="L16" s="24"/>
      <c r="M16" s="24"/>
      <c r="N16" s="24"/>
    </row>
    <row r="17">
      <c r="A17" s="23">
        <v>15</v>
      </c>
      <c r="B17" s="15" t="str">
        <v>营销费用源表-B站-业务计划</v>
      </c>
      <c r="C17" s="25" t="str">
        <v>actual_cpc</v>
      </c>
      <c r="D17" s="26" t="str">
        <v>实际cpc</v>
      </c>
      <c r="E17" s="23" t="str">
        <v>STRING</v>
      </c>
      <c r="F17" s="23">
        <f>CONCAT(",",C17,"   ",E17,"   COMMENT'", D17,"'" )</f>
      </c>
      <c r="G17" s="17"/>
      <c r="H17" s="33"/>
      <c r="I17" s="24"/>
      <c r="J17" s="24"/>
      <c r="K17" s="24"/>
      <c r="L17" s="24"/>
      <c r="M17" s="24"/>
      <c r="N17" s="24"/>
    </row>
    <row r="18">
      <c r="A18" s="23">
        <v>16</v>
      </c>
      <c r="B18" s="15" t="str">
        <v>营销费用源表-B站-业务计划</v>
      </c>
      <c r="C18" s="25" t="str">
        <v>favorite_count</v>
      </c>
      <c r="D18" s="26" t="str">
        <v>收藏量</v>
      </c>
      <c r="E18" s="23" t="str">
        <v>STRING</v>
      </c>
      <c r="F18" s="23">
        <f>CONCAT(",",C18,"   ",E18,"   COMMENT'", D18,"'" )</f>
      </c>
      <c r="G18" s="17"/>
      <c r="H18" s="33"/>
      <c r="I18" s="24"/>
      <c r="J18" s="24"/>
      <c r="K18" s="24"/>
      <c r="L18" s="24"/>
      <c r="M18" s="24"/>
      <c r="N18" s="24"/>
    </row>
    <row r="19">
      <c r="A19" s="23">
        <v>17</v>
      </c>
      <c r="B19" s="15" t="str">
        <v>营销费用源表-B站-业务计划</v>
      </c>
      <c r="C19" s="25" t="str">
        <v>cart_count</v>
      </c>
      <c r="D19" s="26" t="str">
        <v>加购量</v>
      </c>
      <c r="E19" s="23" t="str">
        <v>STRING</v>
      </c>
      <c r="F19" s="23">
        <f>CONCAT(",",C19,"   ",E19,"   COMMENT'", D19,"'" )</f>
      </c>
      <c r="G19" s="17"/>
      <c r="H19" s="33"/>
      <c r="I19" s="24"/>
      <c r="J19" s="24"/>
      <c r="K19" s="24"/>
      <c r="L19" s="24"/>
      <c r="M19" s="24"/>
      <c r="N19" s="24"/>
    </row>
    <row r="20">
      <c r="A20" s="23">
        <v>18</v>
      </c>
      <c r="B20" s="15" t="str">
        <v>营销费用源表-B站-业务计划</v>
      </c>
      <c r="C20" s="25" t="str">
        <v>cart_conversion_rate</v>
      </c>
      <c r="D20" s="26" t="str">
        <v>加购率</v>
      </c>
      <c r="E20" s="23" t="str">
        <v>STRING</v>
      </c>
      <c r="F20" s="23">
        <f>CONCAT(",",C20,"   ",E20,"   COMMENT'", D20,"'" )</f>
      </c>
      <c r="G20" s="17"/>
      <c r="H20" s="33"/>
      <c r="I20" s="24"/>
      <c r="J20" s="24"/>
      <c r="K20" s="24"/>
      <c r="L20" s="24"/>
      <c r="M20" s="24"/>
      <c r="N20" s="24"/>
    </row>
    <row r="21">
      <c r="A21" s="23">
        <v>19</v>
      </c>
      <c r="B21" s="15" t="str">
        <v>营销费用源表-B站-业务计划</v>
      </c>
      <c r="C21" s="25" t="str">
        <v>cost_per_cart</v>
      </c>
      <c r="D21" s="26" t="str">
        <v>加购成本</v>
      </c>
      <c r="E21" s="23" t="str">
        <v>STRING</v>
      </c>
      <c r="F21" s="23">
        <f>CONCAT(",",C21,"   ",E21,"   COMMENT'", D21,"'" )</f>
      </c>
      <c r="G21" s="17"/>
      <c r="H21" s="33"/>
      <c r="I21" s="24"/>
      <c r="J21" s="24"/>
      <c r="K21" s="24"/>
      <c r="L21" s="24"/>
      <c r="M21" s="24"/>
      <c r="N21" s="24"/>
    </row>
    <row r="22">
      <c r="A22" s="23">
        <v>20</v>
      </c>
      <c r="B22" s="15" t="str">
        <v>营销费用源表-B站-业务计划</v>
      </c>
      <c r="C22" s="25" t="str">
        <v>transaction_amount</v>
      </c>
      <c r="D22" s="26" t="str">
        <v>成交金额</v>
      </c>
      <c r="E22" s="23" t="str">
        <v>STRING</v>
      </c>
      <c r="F22" s="23">
        <f>CONCAT(",",C22,"   ",E22,"   COMMENT'", D22,"'" )</f>
      </c>
      <c r="G22" s="17"/>
      <c r="H22" s="33"/>
      <c r="I22" s="24"/>
      <c r="J22" s="24"/>
      <c r="K22" s="24"/>
      <c r="L22" s="24"/>
      <c r="M22" s="24"/>
      <c r="N22" s="24"/>
    </row>
    <row r="23">
      <c r="A23" s="23">
        <v>21</v>
      </c>
      <c r="B23" s="15" t="str">
        <v>营销费用源表-B站-业务计划</v>
      </c>
      <c r="C23" s="25" t="str">
        <v>roi</v>
      </c>
      <c r="D23" s="26" t="str">
        <v>ROI</v>
      </c>
      <c r="E23" s="23" t="str">
        <v>STRING</v>
      </c>
      <c r="F23" s="23">
        <f>CONCAT(",",C23,"   ",E23,"   COMMENT'", D23,"'" )</f>
      </c>
      <c r="G23" s="17"/>
      <c r="H23" s="33"/>
      <c r="I23" s="24"/>
      <c r="J23" s="24"/>
      <c r="K23" s="24"/>
      <c r="L23" s="24"/>
      <c r="M23" s="24"/>
      <c r="N23" s="24"/>
    </row>
    <row r="24">
      <c r="A24" s="23">
        <v>22</v>
      </c>
      <c r="B24" s="15" t="str">
        <v>营销费用源表-B站-业务计划</v>
      </c>
      <c r="C24" s="25" t="str">
        <v>organization</v>
      </c>
      <c r="D24" s="26" t="str">
        <v>机构</v>
      </c>
      <c r="E24" s="23" t="str">
        <v>STRING</v>
      </c>
      <c r="F24" s="23">
        <f>CONCAT(",",C24,"   ",E24,"   COMMENT'", D24,"'" )</f>
      </c>
      <c r="G24" s="17"/>
      <c r="H24" s="33"/>
      <c r="I24" s="24"/>
      <c r="J24" s="24"/>
      <c r="K24" s="24"/>
      <c r="L24" s="24"/>
      <c r="M24" s="24"/>
      <c r="N24" s="24"/>
    </row>
    <row r="25">
      <c r="A25" s="23">
        <v>23</v>
      </c>
      <c r="B25" s="15" t="str">
        <v>营销费用源表-B站-业务计划</v>
      </c>
      <c r="C25" s="25" t="str">
        <v>taobao_nickname</v>
      </c>
      <c r="D25" s="26" t="str">
        <v>淘客昵称</v>
      </c>
      <c r="E25" s="23" t="str">
        <v>STRING</v>
      </c>
      <c r="F25" s="23">
        <f>CONCAT(",",C25,"   ",E25,"   COMMENT'", D25,"'" )</f>
      </c>
      <c r="G25" s="17"/>
      <c r="H25" s="33"/>
      <c r="I25" s="24"/>
      <c r="J25" s="24"/>
      <c r="K25" s="24"/>
      <c r="L25" s="24"/>
      <c r="M25" s="24"/>
      <c r="N25" s="24"/>
    </row>
    <row r="26"/>
    <row r="27"/>
    <row r="28">
      <c r="A28" s="27" t="str">
        <v>日期</v>
      </c>
      <c r="B28" s="27" t="str">
        <v>date</v>
      </c>
      <c r="C28" s="27" t="str">
        <v>date</v>
      </c>
      <c r="D28" s="28" t="str">
        <v>-</v>
      </c>
    </row>
    <row r="29">
      <c r="A29" s="27" t="str">
        <v>内容</v>
      </c>
      <c r="B29" s="27" t="str">
        <v>content</v>
      </c>
      <c r="C29" s="27" t="str">
        <v>string</v>
      </c>
      <c r="D29" s="28" t="str">
        <v>-</v>
      </c>
    </row>
    <row r="30">
      <c r="A30" s="27" t="str">
        <v>产品</v>
      </c>
      <c r="B30" s="27" t="str">
        <v>product</v>
      </c>
      <c r="C30" s="27" t="str">
        <v>string</v>
      </c>
      <c r="D30" s="28" t="str">
        <v>-</v>
      </c>
    </row>
    <row r="31">
      <c r="A31" s="27" t="str">
        <v>渠道</v>
      </c>
      <c r="B31" s="27" t="str">
        <v>channel</v>
      </c>
      <c r="C31" s="27" t="str">
        <v>string</v>
      </c>
      <c r="D31" s="28" t="str">
        <v>-</v>
      </c>
    </row>
    <row r="32">
      <c r="A32" s="27" t="str">
        <v>内容类型</v>
      </c>
      <c r="B32" s="27" t="str">
        <v>content_type</v>
      </c>
      <c r="C32" s="27" t="str">
        <v>string</v>
      </c>
      <c r="D32" s="28" t="str">
        <v>-</v>
      </c>
    </row>
    <row r="33">
      <c r="A33" s="27" t="str">
        <v>核心人群</v>
      </c>
      <c r="B33" s="27" t="str">
        <v>core_audience</v>
      </c>
      <c r="C33" s="27" t="str">
        <v>string</v>
      </c>
      <c r="D33" s="28" t="str">
        <v>-</v>
      </c>
    </row>
    <row r="34">
      <c r="A34" s="27" t="str">
        <v>投放目的</v>
      </c>
      <c r="B34" s="27" t="str">
        <v>advertising_goal</v>
      </c>
      <c r="C34" s="27" t="str">
        <v>string</v>
      </c>
      <c r="D34" s="28" t="str">
        <v>-</v>
      </c>
    </row>
    <row r="35">
      <c r="A35" s="27" t="str">
        <v>花费</v>
      </c>
      <c r="B35" s="27" t="str">
        <v>cost</v>
      </c>
      <c r="C35" s="27" t="str">
        <v>float</v>
      </c>
      <c r="D35" s="28" t="str">
        <v>-</v>
      </c>
    </row>
    <row r="36">
      <c r="A36" s="27" t="str">
        <v>展现</v>
      </c>
      <c r="B36" s="27" t="str">
        <v>impression</v>
      </c>
      <c r="C36" s="27" t="str">
        <v>int</v>
      </c>
      <c r="D36" s="28" t="str">
        <v>-</v>
      </c>
    </row>
    <row r="37">
      <c r="A37" s="27" t="str">
        <v>行为数</v>
      </c>
      <c r="B37" s="27" t="str">
        <v>action</v>
      </c>
      <c r="C37" s="27" t="str">
        <v>int</v>
      </c>
      <c r="D37" s="28" t="str">
        <v>-</v>
      </c>
    </row>
    <row r="38">
      <c r="A38" s="27" t="str">
        <v>平均行为单价(元)</v>
      </c>
      <c r="B38" s="27" t="str">
        <v>average_action_price</v>
      </c>
      <c r="C38" s="27" t="str">
        <v>float</v>
      </c>
      <c r="D38" s="28" t="str">
        <v>-</v>
      </c>
    </row>
    <row r="39">
      <c r="A39" s="27" t="str">
        <v>平均千次曝光花费(元)</v>
      </c>
      <c r="B39" s="27" t="str">
        <v>average_cost_per_mille</v>
      </c>
      <c r="C39" s="27" t="str">
        <v>float</v>
      </c>
      <c r="D39" s="28" t="str">
        <v>-</v>
      </c>
    </row>
    <row r="40">
      <c r="A40" s="27" t="str">
        <v>实际入店流量</v>
      </c>
      <c r="B40" s="27" t="str">
        <v>actual_store_traffic</v>
      </c>
      <c r="C40" s="27" t="str">
        <v>int</v>
      </c>
      <c r="D40" s="28" t="str">
        <v>-</v>
      </c>
    </row>
    <row r="41">
      <c r="A41" s="27" t="str">
        <v>引流UV</v>
      </c>
      <c r="B41" s="27" t="str">
        <v>inflow_uv</v>
      </c>
      <c r="C41" s="27" t="str">
        <v>int</v>
      </c>
      <c r="D41" s="28" t="str">
        <v>-</v>
      </c>
    </row>
    <row r="42">
      <c r="A42" s="27" t="str">
        <v>实际cpc</v>
      </c>
      <c r="B42" s="27" t="str">
        <v>actual_cpc</v>
      </c>
      <c r="C42" s="27" t="str">
        <v>float</v>
      </c>
      <c r="D42" s="28" t="str">
        <v>-</v>
      </c>
    </row>
    <row r="43">
      <c r="A43" s="27" t="str">
        <v>收藏量</v>
      </c>
      <c r="B43" s="27" t="str">
        <v>favorite_count</v>
      </c>
      <c r="C43" s="27" t="str">
        <v>int</v>
      </c>
      <c r="D43" s="28" t="str">
        <v>-</v>
      </c>
    </row>
    <row r="44">
      <c r="A44" s="27" t="str">
        <v>加购量</v>
      </c>
      <c r="B44" s="27" t="str">
        <v>cart_count</v>
      </c>
      <c r="C44" s="27" t="str">
        <v>int</v>
      </c>
      <c r="D44" s="28" t="str">
        <v>-</v>
      </c>
    </row>
    <row r="45">
      <c r="A45" s="27" t="str">
        <v>加购率</v>
      </c>
      <c r="B45" s="27" t="str">
        <v>cart_conversion_rate</v>
      </c>
      <c r="C45" s="27" t="str">
        <v>float</v>
      </c>
      <c r="D45" s="28" t="str">
        <v>-</v>
      </c>
    </row>
    <row r="46">
      <c r="A46" s="27" t="str">
        <v>加购成本</v>
      </c>
      <c r="B46" s="27" t="str">
        <v>cost_per_cart</v>
      </c>
      <c r="C46" s="27" t="str">
        <v>float</v>
      </c>
      <c r="D46" s="28" t="str">
        <v>-</v>
      </c>
    </row>
    <row r="47">
      <c r="A47" s="27" t="str">
        <v>成交金额</v>
      </c>
      <c r="B47" s="27" t="str">
        <v>transaction_amount</v>
      </c>
      <c r="C47" s="27" t="str">
        <v>float</v>
      </c>
      <c r="D47" s="28" t="str">
        <v>-</v>
      </c>
    </row>
    <row r="48">
      <c r="A48" s="27" t="str">
        <v>ROI</v>
      </c>
      <c r="B48" s="27" t="str">
        <v>roi</v>
      </c>
      <c r="C48" s="27" t="str">
        <v>float</v>
      </c>
      <c r="D48" s="28" t="str">
        <v>-</v>
      </c>
    </row>
    <row r="49">
      <c r="A49" s="27" t="str">
        <v>机构</v>
      </c>
      <c r="B49" s="27" t="str">
        <v>organization</v>
      </c>
      <c r="C49" s="27" t="str">
        <v>string</v>
      </c>
      <c r="D49" s="28" t="str">
        <v>-</v>
      </c>
    </row>
    <row r="50">
      <c r="A50" s="27" t="str">
        <v>淘客昵称</v>
      </c>
      <c r="B50" s="27" t="str">
        <v>taobao_nickname</v>
      </c>
      <c r="C50" s="27" t="str">
        <v>string</v>
      </c>
      <c r="D50" s="28" t="str">
        <v>-</v>
      </c>
    </row>
  </sheetData>
  <mergeCells>
    <mergeCell ref="A1:H1"/>
    <mergeCell ref="I1:N1"/>
  </mergeCells>
  <picture r:id="rId1"/>
</worksheet>
</file>

<file path=xl/worksheets/sheet2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0"/>
    <col collapsed="false" customWidth="true" hidden="false" max="3" min="3" style="0" width="23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23" t="str">
        <v>营销费用源表-B站-资金流水</v>
      </c>
      <c r="C3" s="61" t="str">
        <v>fund_date</v>
      </c>
      <c r="D3" s="62" t="str">
        <v>日期</v>
      </c>
      <c r="E3" s="23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14"/>
      <c r="M3" s="14"/>
      <c r="N3" s="14"/>
    </row>
    <row r="4">
      <c r="A4" s="23">
        <v>2</v>
      </c>
      <c r="B4" s="23" t="str">
        <v>营销费用源表-B站-资金流水</v>
      </c>
      <c r="C4" s="63" t="str">
        <v>fund_income_exp</v>
      </c>
      <c r="D4" s="62" t="str">
        <v>资金收支</v>
      </c>
      <c r="E4" s="17" t="str">
        <v>DECIMAL(30, 8)</v>
      </c>
      <c r="F4" s="23">
        <f>CONCAT(",",C4,"   ",E4,"   COMMENT'", D4,"'" )</f>
      </c>
      <c r="G4" s="17"/>
      <c r="H4" s="17"/>
      <c r="I4" s="17"/>
      <c r="J4" s="17"/>
      <c r="K4" s="17"/>
      <c r="L4" s="17"/>
      <c r="M4" s="17"/>
      <c r="N4" s="17"/>
    </row>
    <row r="5">
      <c r="A5" s="23">
        <v>3</v>
      </c>
      <c r="B5" s="23" t="str">
        <v>营销费用源表-B站-资金流水</v>
      </c>
      <c r="C5" s="63" t="str">
        <v>transaction_type</v>
      </c>
      <c r="D5" s="62" t="str">
        <v>交易类型</v>
      </c>
      <c r="E5" s="23" t="str">
        <v>STRING</v>
      </c>
      <c r="F5" s="23">
        <f>CONCAT(",",C5,"   ",E5,"   COMMENT'", D5,"'" )</f>
      </c>
      <c r="G5" s="17"/>
      <c r="H5" s="17"/>
      <c r="I5" s="17"/>
      <c r="J5" s="17"/>
      <c r="K5" s="17"/>
      <c r="L5" s="17"/>
      <c r="M5" s="17"/>
      <c r="N5" s="17"/>
    </row>
  </sheetData>
  <mergeCells>
    <mergeCell ref="A1:H1"/>
    <mergeCell ref="I1:N1"/>
  </mergeCells>
  <picture r:id="rId1"/>
</worksheet>
</file>

<file path=xl/worksheets/sheet3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5"/>
    <col collapsed="false" customWidth="true" hidden="false" max="3" min="3" style="0" width="35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8" t="str">
        <v>系统溯源分析</v>
      </c>
      <c r="J1" s="8"/>
      <c r="K1" s="8"/>
      <c r="L1" s="8"/>
      <c r="M1" s="8"/>
      <c r="N1" s="8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39" t="str">
        <v>字段备注</v>
      </c>
      <c r="I2" s="35" t="str">
        <v>数据来源系统</v>
      </c>
      <c r="J2" s="35" t="str">
        <v>数据来源表</v>
      </c>
      <c r="K2" s="35" t="str">
        <v>来源表描述</v>
      </c>
      <c r="L2" s="36" t="str">
        <v>来源字段</v>
      </c>
      <c r="M2" s="36" t="str">
        <v>来源字段描述</v>
      </c>
      <c r="N2" s="36" t="str">
        <v>备注</v>
      </c>
    </row>
    <row r="3">
      <c r="A3" s="23">
        <v>1</v>
      </c>
      <c r="B3" s="15" t="str">
        <v>营销费用源表-品牌专区-品销宝-资金流水</v>
      </c>
      <c r="C3" s="25" t="str">
        <v>operation_time</v>
      </c>
      <c r="D3" s="31" t="str">
        <v>操作时间</v>
      </c>
      <c r="E3" s="23" t="str">
        <v>STRING</v>
      </c>
      <c r="F3" s="23">
        <f>CONCAT(",",C3,"   ",E3,"   COMMENT'", D3,"'" )</f>
      </c>
      <c r="G3" s="23"/>
      <c r="H3" s="15"/>
      <c r="I3" s="24"/>
      <c r="J3" s="24"/>
      <c r="K3" s="14"/>
      <c r="L3" s="14"/>
      <c r="M3" s="14"/>
      <c r="N3" s="14"/>
    </row>
    <row r="4">
      <c r="A4" s="23">
        <v>2</v>
      </c>
      <c r="B4" s="15" t="str">
        <v>营销费用源表-品牌专区-品销宝-资金流水</v>
      </c>
      <c r="C4" s="25" t="str">
        <v>transaction_amount</v>
      </c>
      <c r="D4" s="31" t="str">
        <v>交易金额(元)</v>
      </c>
      <c r="E4" s="17" t="str">
        <v>DECIMAL(30, 8)</v>
      </c>
      <c r="F4" s="23">
        <f>CONCAT(",",C4,"   ",E4,"   COMMENT'", D4,"'" )</f>
      </c>
      <c r="G4" s="17"/>
      <c r="H4" s="33"/>
      <c r="I4" s="17"/>
      <c r="J4" s="17"/>
      <c r="K4" s="17"/>
      <c r="L4" s="17"/>
      <c r="M4" s="17"/>
      <c r="N4" s="17"/>
    </row>
    <row r="5">
      <c r="A5" s="23">
        <v>3</v>
      </c>
      <c r="B5" s="15" t="str">
        <v>营销费用源表-品牌专区-品销宝-资金流水</v>
      </c>
      <c r="C5" s="25" t="str">
        <v>account_type</v>
      </c>
      <c r="D5" s="31" t="str">
        <v>账户类型</v>
      </c>
      <c r="E5" s="23" t="str">
        <v>STRING</v>
      </c>
      <c r="F5" s="23">
        <f>CONCAT(",",C5,"   ",E5,"   COMMENT'", D5,"'" )</f>
      </c>
      <c r="G5" s="17"/>
      <c r="H5" s="33"/>
      <c r="I5" s="17"/>
      <c r="J5" s="17"/>
      <c r="K5" s="17"/>
      <c r="L5" s="17"/>
      <c r="M5" s="17"/>
      <c r="N5" s="17"/>
    </row>
    <row r="6">
      <c r="A6" s="23">
        <v>4</v>
      </c>
      <c r="B6" s="15" t="str">
        <v>营销费用源表-品牌专区-品销宝-资金流水</v>
      </c>
      <c r="C6" s="25" t="str">
        <v>capital_type</v>
      </c>
      <c r="D6" s="31" t="str">
        <v>资金类型</v>
      </c>
      <c r="E6" s="23" t="str">
        <v>STRING</v>
      </c>
      <c r="F6" s="23">
        <f>CONCAT(",",C6,"   ",E6,"   COMMENT'", D6,"'" )</f>
      </c>
      <c r="G6" s="17"/>
      <c r="H6" s="33"/>
      <c r="I6" s="17"/>
      <c r="J6" s="17"/>
      <c r="K6" s="17"/>
      <c r="L6" s="17"/>
      <c r="M6" s="17"/>
      <c r="N6" s="17"/>
    </row>
    <row r="7">
      <c r="A7" s="23">
        <v>5</v>
      </c>
      <c r="B7" s="15" t="str">
        <v>营销费用源表-品牌专区-品销宝-资金流水</v>
      </c>
      <c r="C7" s="25" t="str">
        <v>transaction_type</v>
      </c>
      <c r="D7" s="31" t="str">
        <v>流水类型</v>
      </c>
      <c r="E7" s="23" t="str">
        <v>STRING</v>
      </c>
      <c r="F7" s="23">
        <f>CONCAT(",",C7,"   ",E7,"   COMMENT'", D7,"'" )</f>
      </c>
      <c r="G7" s="17"/>
      <c r="H7" s="33"/>
      <c r="I7" s="17"/>
      <c r="J7" s="17"/>
      <c r="K7" s="17"/>
      <c r="L7" s="17"/>
      <c r="M7" s="17"/>
      <c r="N7" s="17"/>
    </row>
    <row r="8">
      <c r="A8" s="23">
        <v>6</v>
      </c>
      <c r="B8" s="15" t="str">
        <v>营销费用源表-品牌专区-品销宝-资金流水</v>
      </c>
      <c r="C8" s="25" t="str">
        <v>account_balance</v>
      </c>
      <c r="D8" s="31" t="str">
        <v>帐户余额(元)</v>
      </c>
      <c r="E8" s="17" t="str">
        <v>DECIMAL(30, 8)</v>
      </c>
      <c r="F8" s="23">
        <f>CONCAT(",",C8,"   ",E8,"   COMMENT'", D8,"'" )</f>
      </c>
      <c r="G8" s="17"/>
      <c r="H8" s="33"/>
      <c r="I8" s="17"/>
      <c r="J8" s="17"/>
      <c r="K8" s="17"/>
      <c r="L8" s="17"/>
      <c r="M8" s="17"/>
      <c r="N8" s="17"/>
    </row>
    <row r="9">
      <c r="A9" s="23">
        <v>7</v>
      </c>
      <c r="B9" s="15" t="str">
        <v>营销费用源表-品牌专区-品销宝-资金流水</v>
      </c>
      <c r="C9" s="25" t="str">
        <v>operation_notes</v>
      </c>
      <c r="D9" s="31" t="str">
        <v>操作备注</v>
      </c>
      <c r="E9" s="23" t="str">
        <v>STRING</v>
      </c>
      <c r="F9" s="23">
        <f>CONCAT(",",C9,"   ",E9,"   COMMENT'", D9,"'" )</f>
      </c>
      <c r="G9" s="17"/>
      <c r="H9" s="33"/>
      <c r="I9" s="17"/>
      <c r="J9" s="17"/>
      <c r="K9" s="17"/>
      <c r="L9" s="17"/>
      <c r="M9" s="17"/>
      <c r="N9" s="17"/>
    </row>
    <row r="10">
      <c r="A10" s="23">
        <v>8</v>
      </c>
      <c r="B10" s="15" t="str">
        <v>营销费用源表-品牌专区-品销宝-资金流水</v>
      </c>
      <c r="C10" s="25" t="str">
        <v>contract_name</v>
      </c>
      <c r="D10" s="31" t="str">
        <v>合同名称</v>
      </c>
      <c r="E10" s="23" t="str">
        <v>STRING</v>
      </c>
      <c r="F10" s="23">
        <f>CONCAT(",",C10,"   ",E10,"   COMMENT'", D10,"'" )</f>
      </c>
      <c r="G10" s="17"/>
      <c r="H10" s="33"/>
      <c r="I10" s="17"/>
      <c r="J10" s="17"/>
      <c r="K10" s="17"/>
      <c r="L10" s="17"/>
      <c r="M10" s="17"/>
      <c r="N10" s="17"/>
    </row>
    <row r="11"/>
    <row r="12">
      <c r="A12" s="27" t="str">
        <v>操作记录</v>
      </c>
      <c r="B12" s="27" t="str">
        <v>Operation Record</v>
      </c>
      <c r="C12" s="27"/>
      <c r="D12" s="28"/>
    </row>
    <row r="13">
      <c r="A13" s="27" t="str">
        <v>操作时间</v>
      </c>
      <c r="B13" s="27" t="str">
        <v>Operation Time</v>
      </c>
      <c r="C13" s="27" t="str">
        <v>DateTime</v>
      </c>
      <c r="D13" s="28"/>
    </row>
    <row r="14">
      <c r="A14" s="27" t="str">
        <v>交易金额</v>
      </c>
      <c r="B14" s="27" t="str">
        <v>Transaction Amount</v>
      </c>
      <c r="C14" s="27" t="str">
        <v>Decimal</v>
      </c>
      <c r="D14" s="28"/>
    </row>
    <row r="15">
      <c r="A15" s="27" t="str">
        <v>账户类型</v>
      </c>
      <c r="B15" s="27" t="str">
        <v>Account Type</v>
      </c>
      <c r="C15" s="27" t="str">
        <v>String</v>
      </c>
      <c r="D15" s="28"/>
    </row>
    <row r="16">
      <c r="A16" s="27" t="str">
        <v>资金类型</v>
      </c>
      <c r="B16" s="27" t="str">
        <v>Capital Type</v>
      </c>
      <c r="C16" s="27" t="str">
        <v>String</v>
      </c>
      <c r="D16" s="28"/>
    </row>
    <row r="17">
      <c r="A17" s="27" t="str">
        <v>流水类型</v>
      </c>
      <c r="B17" s="27" t="str">
        <v>Transaction Type</v>
      </c>
      <c r="C17" s="27" t="str">
        <v>String</v>
      </c>
      <c r="D17" s="28"/>
    </row>
    <row r="18">
      <c r="A18" s="27" t="str">
        <v>帐户余额</v>
      </c>
      <c r="B18" s="27" t="str">
        <v>Account Balance</v>
      </c>
      <c r="C18" s="27" t="str">
        <v>Decimal</v>
      </c>
      <c r="D18" s="28"/>
    </row>
    <row r="19">
      <c r="A19" s="27" t="str">
        <v>操作备注</v>
      </c>
      <c r="B19" s="27" t="str">
        <v>Operation Notes</v>
      </c>
      <c r="C19" s="27" t="str">
        <v>String</v>
      </c>
      <c r="D19" s="28"/>
    </row>
    <row r="20">
      <c r="A20" s="27" t="str">
        <v>合同名称</v>
      </c>
      <c r="B20" s="27" t="str">
        <v>Contract Name</v>
      </c>
      <c r="C20" s="27" t="str">
        <v>String</v>
      </c>
    </row>
  </sheetData>
  <mergeCells>
    <mergeCell ref="A1:H1"/>
    <mergeCell ref="I1:N1"/>
  </mergeCells>
  <picture r:id="rId1"/>
</worksheet>
</file>

<file path=xl/worksheets/sheet3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6"/>
    <col collapsed="false" customWidth="true" hidden="false" max="3" min="3" style="0" width="29"/>
    <col collapsed="false" customWidth="true" hidden="false" max="4" min="4" style="0" width="2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44"/>
    <col collapsed="false" customWidth="true" hidden="false" max="9" min="9" style="0" width="44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44"/>
  </cols>
  <sheetData>
    <row r="1">
      <c r="A1" s="9" t="str">
        <v>数据模型属性定义</v>
      </c>
      <c r="B1" s="9"/>
      <c r="C1" s="9"/>
      <c r="D1" s="67"/>
      <c r="E1" s="9"/>
      <c r="F1" s="9"/>
      <c r="G1" s="9"/>
      <c r="H1" s="68"/>
      <c r="I1" s="37" t="str">
        <v>系统溯源分析</v>
      </c>
      <c r="J1" s="37"/>
      <c r="K1" s="37"/>
      <c r="L1" s="37"/>
      <c r="M1" s="37"/>
      <c r="N1" s="37"/>
    </row>
    <row r="2">
      <c r="A2" s="19" t="str">
        <v>序号</v>
      </c>
      <c r="B2" s="19" t="str">
        <v>模型名称</v>
      </c>
      <c r="C2" s="20" t="str">
        <v>字段</v>
      </c>
      <c r="D2" s="64" t="str">
        <v>字段描述</v>
      </c>
      <c r="E2" s="19" t="str">
        <v>字段类型</v>
      </c>
      <c r="F2" s="19" t="str">
        <v>字段长度</v>
      </c>
      <c r="G2" s="19" t="str">
        <v>是否主键</v>
      </c>
      <c r="H2" s="13" t="str">
        <v>字段备注</v>
      </c>
      <c r="I2" s="35" t="str">
        <v>数据来源系统</v>
      </c>
      <c r="J2" s="35" t="str">
        <v>数据来源表</v>
      </c>
      <c r="K2" s="35" t="str">
        <v>来源表描述</v>
      </c>
      <c r="L2" s="36" t="str">
        <v>来源字段</v>
      </c>
      <c r="M2" s="36" t="str">
        <v>来源字段描述</v>
      </c>
      <c r="N2" s="36" t="str">
        <v>备注</v>
      </c>
    </row>
    <row customHeight="true" ht="19" r="3">
      <c r="A3" s="23">
        <v>1</v>
      </c>
      <c r="B3" s="15" t="str">
        <v>营销费用源表-财务-预付待摊</v>
      </c>
      <c r="C3" s="17" t="str">
        <v>cost_company</v>
      </c>
      <c r="D3" s="15" t="str">
        <v>费用所属公司</v>
      </c>
      <c r="E3" s="17" t="str">
        <v>STRING</v>
      </c>
      <c r="F3" s="17">
        <f>CONCAT(",",C3,"   ",E3,"   COMMENT'", D3,"'" )</f>
      </c>
      <c r="G3" s="23"/>
      <c r="H3" s="15"/>
      <c r="I3" s="24"/>
      <c r="J3" s="24"/>
      <c r="K3" s="14"/>
      <c r="L3" s="14"/>
      <c r="M3" s="14"/>
      <c r="N3" s="14"/>
    </row>
    <row customHeight="true" ht="19" r="4">
      <c r="A4" s="23">
        <v>2</v>
      </c>
      <c r="B4" s="15" t="str">
        <v>营销费用源表-财务-预付待摊</v>
      </c>
      <c r="C4" s="17" t="str">
        <v>contract_code</v>
      </c>
      <c r="D4" s="15" t="str">
        <v>合同编码</v>
      </c>
      <c r="E4" s="17" t="str">
        <v>STRING</v>
      </c>
      <c r="F4" s="17">
        <f>CONCAT(",",C4,"   ",E4,"   COMMENT'", D4,"'" )</f>
      </c>
      <c r="G4" s="23"/>
      <c r="H4" s="15"/>
      <c r="I4" s="24"/>
      <c r="J4" s="24"/>
      <c r="K4" s="14"/>
      <c r="L4" s="14"/>
      <c r="M4" s="14"/>
      <c r="N4" s="14"/>
    </row>
    <row customHeight="true" ht="19" r="5">
      <c r="A5" s="23">
        <v>3</v>
      </c>
      <c r="B5" s="15" t="str">
        <v>营销费用源表-财务-预付待摊</v>
      </c>
      <c r="C5" s="17" t="str">
        <v>supplier_name</v>
      </c>
      <c r="D5" s="15" t="str">
        <v>供应商名称</v>
      </c>
      <c r="E5" s="17" t="str">
        <v>STRING</v>
      </c>
      <c r="F5" s="17">
        <f>CONCAT(",",C5,"   ",E5,"   COMMENT'", D5,"'" )</f>
      </c>
      <c r="G5" s="23"/>
      <c r="H5" s="15"/>
      <c r="I5" s="24"/>
      <c r="J5" s="24"/>
      <c r="K5" s="14"/>
      <c r="L5" s="14"/>
      <c r="M5" s="14"/>
      <c r="N5" s="14"/>
    </row>
    <row customHeight="true" ht="19" r="6">
      <c r="A6" s="23">
        <v>4</v>
      </c>
      <c r="B6" s="15" t="str">
        <v>营销费用源表-财务-预付待摊</v>
      </c>
      <c r="C6" s="17" t="str">
        <v>contract_amount</v>
      </c>
      <c r="D6" s="15" t="str">
        <v>合同总金额</v>
      </c>
      <c r="E6" s="17" t="str">
        <v>DECIMAL(30, 8)</v>
      </c>
      <c r="F6" s="17">
        <f>CONCAT(",",C6,"   ",E6,"   COMMENT'", D6,"'" )</f>
      </c>
      <c r="G6" s="23"/>
      <c r="H6" s="15"/>
      <c r="I6" s="24"/>
      <c r="J6" s="24"/>
      <c r="K6" s="14"/>
      <c r="L6" s="14"/>
      <c r="M6" s="14"/>
      <c r="N6" s="14"/>
    </row>
    <row r="7">
      <c r="A7" s="23">
        <v>5</v>
      </c>
      <c r="B7" s="15" t="str">
        <v>营销费用源表-财务-预付待摊</v>
      </c>
      <c r="C7" s="17" t="str">
        <v>contract_items</v>
      </c>
      <c r="D7" s="15" t="str">
        <v>合同具体事项</v>
      </c>
      <c r="E7" s="17" t="str">
        <v>STRING</v>
      </c>
      <c r="F7" s="17">
        <f>CONCAT(",",C7,"   ",E7,"   COMMENT'", D7,"'" )</f>
      </c>
      <c r="G7" s="23"/>
      <c r="H7" s="15"/>
      <c r="I7" s="24"/>
      <c r="J7" s="24"/>
      <c r="K7" s="14"/>
      <c r="L7" s="14"/>
      <c r="M7" s="14"/>
      <c r="N7" s="14"/>
    </row>
    <row r="8">
      <c r="A8" s="23">
        <v>6</v>
      </c>
      <c r="B8" s="15" t="str">
        <v>营销费用源表-财务-预付待摊</v>
      </c>
      <c r="C8" s="17" t="str">
        <v>contract_start_time</v>
      </c>
      <c r="D8" s="15" t="str">
        <v>合同生效时间</v>
      </c>
      <c r="E8" s="17" t="str">
        <v>STRING</v>
      </c>
      <c r="F8" s="17">
        <f>CONCAT(",",C8,"   ",E8,"   COMMENT'", D8,"'" )</f>
      </c>
      <c r="G8" s="17"/>
      <c r="H8" s="33"/>
      <c r="I8" s="17"/>
      <c r="J8" s="17"/>
      <c r="K8" s="17"/>
      <c r="L8" s="17"/>
      <c r="M8" s="17"/>
      <c r="N8" s="17"/>
    </row>
    <row r="9">
      <c r="A9" s="23">
        <v>7</v>
      </c>
      <c r="B9" s="15" t="str">
        <v>营销费用源表-财务-预付待摊</v>
      </c>
      <c r="C9" s="17" t="str">
        <v>contract_end_time</v>
      </c>
      <c r="D9" s="15" t="str">
        <v>合同结束时间</v>
      </c>
      <c r="E9" s="17" t="str">
        <v>STRING</v>
      </c>
      <c r="F9" s="17">
        <f>CONCAT(",",C9,"   ",E9,"   COMMENT'", D9,"'" )</f>
      </c>
      <c r="G9" s="17"/>
      <c r="H9" s="33"/>
      <c r="I9" s="17"/>
      <c r="J9" s="17"/>
      <c r="K9" s="17"/>
      <c r="L9" s="17"/>
      <c r="M9" s="17"/>
      <c r="N9" s="17"/>
    </row>
    <row r="10">
      <c r="A10" s="23">
        <v>8</v>
      </c>
      <c r="B10" s="15" t="str">
        <v>营销费用源表-财务-预付待摊</v>
      </c>
      <c r="C10" s="17" t="str">
        <v>management_report_category</v>
      </c>
      <c r="D10" s="15" t="str">
        <v>管报分类</v>
      </c>
      <c r="E10" s="17" t="str">
        <v>STRING</v>
      </c>
      <c r="F10" s="17">
        <f>CONCAT(",",C10,"   ",E10,"   COMMENT'", D10,"'" )</f>
      </c>
      <c r="G10" s="17"/>
      <c r="H10" s="33"/>
      <c r="I10" s="17"/>
      <c r="J10" s="17"/>
      <c r="K10" s="17"/>
      <c r="L10" s="17"/>
      <c r="M10" s="17"/>
      <c r="N10" s="17"/>
    </row>
    <row r="11">
      <c r="A11" s="23">
        <v>9</v>
      </c>
      <c r="B11" s="15" t="str">
        <v>营销费用源表-财务-预付待摊</v>
      </c>
      <c r="C11" s="17" t="str">
        <v>business_reporting_person</v>
      </c>
      <c r="D11" s="15" t="str">
        <v>业务提报负责人</v>
      </c>
      <c r="E11" s="17" t="str">
        <v>STRING</v>
      </c>
      <c r="F11" s="17">
        <f>CONCAT(",",C11,"   ",E11,"   COMMENT'", D11,"'" )</f>
      </c>
      <c r="G11" s="17"/>
      <c r="H11" s="33"/>
      <c r="I11" s="17"/>
      <c r="J11" s="17"/>
      <c r="K11" s="17"/>
      <c r="L11" s="17"/>
      <c r="M11" s="17"/>
      <c r="N11" s="17"/>
    </row>
    <row r="12">
      <c r="A12" s="23">
        <v>10</v>
      </c>
      <c r="B12" s="15" t="str">
        <v>营销费用源表-财务-预付待摊</v>
      </c>
      <c r="C12" s="17" t="str">
        <v>prepayment_method</v>
      </c>
      <c r="D12" s="15" t="str">
        <v>预提方式</v>
      </c>
      <c r="E12" s="17" t="str">
        <v>STRING</v>
      </c>
      <c r="F12" s="17">
        <f>CONCAT(",",C12,"   ",E12,"   COMMENT'", D12,"'" )</f>
      </c>
      <c r="G12" s="17"/>
      <c r="H12" s="33"/>
      <c r="I12" s="17"/>
      <c r="J12" s="17"/>
      <c r="K12" s="17"/>
      <c r="L12" s="17"/>
      <c r="M12" s="17"/>
      <c r="N12" s="17"/>
    </row>
    <row r="13">
      <c r="A13" s="23">
        <v>11</v>
      </c>
      <c r="B13" s="15" t="str">
        <v>营销费用源表-财务-预付待摊</v>
      </c>
      <c r="C13" s="17" t="str">
        <v>prepaid_expense_account_no</v>
      </c>
      <c r="D13" s="15" t="str">
        <v>待摊费用入账凭证号</v>
      </c>
      <c r="E13" s="17" t="str">
        <v>STRING</v>
      </c>
      <c r="F13" s="17">
        <f>CONCAT(",",C13,"   ",E13,"   COMMENT'", D13,"'" )</f>
      </c>
      <c r="G13" s="17"/>
      <c r="H13" s="33"/>
      <c r="I13" s="17"/>
      <c r="J13" s="17"/>
      <c r="K13" s="17"/>
      <c r="L13" s="17"/>
      <c r="M13" s="17"/>
      <c r="N13" s="17"/>
    </row>
    <row r="14">
      <c r="A14" s="23">
        <v>12</v>
      </c>
      <c r="B14" s="15" t="str">
        <v>营销费用源表-财务-预付待摊</v>
      </c>
      <c r="C14" s="17" t="str">
        <v>amortized_expense_account_no</v>
      </c>
      <c r="D14" s="15" t="str">
        <v>摊销费用入账凭证号</v>
      </c>
      <c r="E14" s="17" t="str">
        <v>STRING</v>
      </c>
      <c r="F14" s="17">
        <f>CONCAT(",",C14,"   ",E14,"   COMMENT'", D14,"'" )</f>
      </c>
      <c r="G14" s="17"/>
      <c r="H14" s="33"/>
      <c r="I14" s="17"/>
      <c r="J14" s="17"/>
      <c r="K14" s="17"/>
      <c r="L14" s="17"/>
      <c r="M14" s="17"/>
      <c r="N14" s="17"/>
    </row>
    <row r="15">
      <c r="A15" s="23">
        <v>13</v>
      </c>
      <c r="B15" s="15" t="str">
        <v>营销费用源表-财务-预付待摊</v>
      </c>
      <c r="C15" s="17" t="str">
        <v>accounting_department</v>
      </c>
      <c r="D15" s="15" t="str">
        <v>入账部门</v>
      </c>
      <c r="E15" s="17" t="str">
        <v>STRING</v>
      </c>
      <c r="F15" s="17">
        <f>CONCAT(",",C15,"   ",E15,"   COMMENT'", D15,"'" )</f>
      </c>
      <c r="G15" s="17"/>
      <c r="H15" s="33"/>
      <c r="I15" s="17"/>
      <c r="J15" s="17"/>
      <c r="K15" s="17"/>
      <c r="L15" s="17"/>
      <c r="M15" s="17"/>
      <c r="N15" s="17"/>
    </row>
    <row r="16">
      <c r="A16" s="23">
        <v>14</v>
      </c>
      <c r="B16" s="15" t="str">
        <v>营销费用源表-财务-预付待摊</v>
      </c>
      <c r="C16" s="17" t="str">
        <v>accounting_expense</v>
      </c>
      <c r="D16" s="15" t="str">
        <v>入账费用</v>
      </c>
      <c r="E16" s="17" t="str">
        <v>STRING</v>
      </c>
      <c r="F16" s="17">
        <f>CONCAT(",",C16,"   ",E16,"   COMMENT'", D16,"'" )</f>
      </c>
      <c r="G16" s="17"/>
      <c r="H16" s="33"/>
      <c r="I16" s="17"/>
      <c r="J16" s="17"/>
      <c r="K16" s="17"/>
      <c r="L16" s="17"/>
      <c r="M16" s="17"/>
      <c r="N16" s="17"/>
    </row>
    <row r="17">
      <c r="A17" s="23">
        <v>15</v>
      </c>
      <c r="B17" s="15" t="str">
        <v>营销费用源表-财务-预付待摊</v>
      </c>
      <c r="C17" s="17" t="str">
        <v>initial_amortization_amount</v>
      </c>
      <c r="D17" s="15" t="str" xml:space="preserve">
        <v> 期初累计摊销额 </v>
      </c>
      <c r="E17" s="17" t="str">
        <v>DECIMAL(30, 8)</v>
      </c>
      <c r="F17" s="17">
        <f>CONCAT(",",C17,"   ",E17,"   COMMENT'", D17,"'" )</f>
      </c>
      <c r="G17" s="17"/>
      <c r="H17" s="33"/>
      <c r="I17" s="17"/>
      <c r="J17" s="17"/>
      <c r="K17" s="17"/>
      <c r="L17" s="17"/>
      <c r="M17" s="17"/>
      <c r="N17" s="17"/>
    </row>
    <row r="18">
      <c r="A18" s="23">
        <v>16</v>
      </c>
      <c r="B18" s="15" t="str">
        <v>营销费用源表-财务-预付待摊</v>
      </c>
      <c r="C18" s="17" t="str">
        <v>amortization_method</v>
      </c>
      <c r="D18" s="15" t="str">
        <v>摊销方式</v>
      </c>
      <c r="E18" s="17" t="str">
        <v>STRING</v>
      </c>
      <c r="F18" s="17">
        <f>CONCAT(",",C18,"   ",E18,"   COMMENT'", D18,"'" )</f>
      </c>
      <c r="G18" s="17"/>
      <c r="H18" s="33"/>
      <c r="I18" s="17"/>
      <c r="J18" s="17"/>
      <c r="K18" s="17"/>
      <c r="L18" s="17"/>
      <c r="M18" s="17"/>
      <c r="N18" s="17"/>
    </row>
    <row r="19">
      <c r="A19" s="23">
        <v>17</v>
      </c>
      <c r="B19" s="15" t="str">
        <v>营销费用源表-财务-预付待摊</v>
      </c>
      <c r="C19" s="17" t="str">
        <v>total_amortization_times</v>
      </c>
      <c r="D19" s="15" t="str">
        <v>摊销总次数</v>
      </c>
      <c r="E19" s="17" t="str">
        <v>STRING</v>
      </c>
      <c r="F19" s="17">
        <f>CONCAT(",",C19,"   ",E19,"   COMMENT'", D19,"'" )</f>
      </c>
      <c r="G19" s="17"/>
      <c r="H19" s="33"/>
      <c r="I19" s="17"/>
      <c r="J19" s="17"/>
      <c r="K19" s="17"/>
      <c r="L19" s="17"/>
      <c r="M19" s="17"/>
      <c r="N19" s="17"/>
    </row>
    <row r="20">
      <c r="A20" s="23">
        <v>18</v>
      </c>
      <c r="B20" s="15" t="str">
        <v>营销费用源表-财务-预付待摊</v>
      </c>
      <c r="C20" s="17" t="str">
        <v>cur_month_amortization_times</v>
      </c>
      <c r="D20" s="15" t="str">
        <v>本月摊销次数</v>
      </c>
      <c r="E20" s="17" t="str">
        <v>STRING</v>
      </c>
      <c r="F20" s="17">
        <f>CONCAT(",",C20,"   ",E20,"   COMMENT'", D20,"'" )</f>
      </c>
      <c r="G20" s="17"/>
      <c r="H20" s="33"/>
      <c r="I20" s="17"/>
      <c r="J20" s="17"/>
      <c r="K20" s="17"/>
      <c r="L20" s="17"/>
      <c r="M20" s="17"/>
      <c r="N20" s="17"/>
    </row>
    <row r="21">
      <c r="A21" s="23">
        <v>19</v>
      </c>
      <c r="B21" s="15" t="str">
        <v>营销费用源表-财务-预付待摊</v>
      </c>
      <c r="C21" s="17" t="str">
        <v>amortization_month</v>
      </c>
      <c r="D21" s="15" t="str">
        <v>摊销月份</v>
      </c>
      <c r="E21" s="17" t="str">
        <v>STRING</v>
      </c>
      <c r="F21" s="17">
        <f>CONCAT(",",C21,"   ",E21,"   COMMENT'", D21,"'" )</f>
      </c>
      <c r="G21" s="17"/>
      <c r="H21" s="33"/>
      <c r="I21" s="17"/>
      <c r="J21" s="17"/>
      <c r="K21" s="17"/>
      <c r="L21" s="17"/>
      <c r="M21" s="17"/>
      <c r="N21" s="17"/>
    </row>
    <row r="22">
      <c r="A22" s="23">
        <v>20</v>
      </c>
      <c r="B22" s="15" t="str">
        <v>营销费用源表-财务-预付待摊</v>
      </c>
      <c r="C22" s="17" t="str">
        <v>kingdee_accounting_subject</v>
      </c>
      <c r="D22" s="15" t="str">
        <v>金蝶计入科目</v>
      </c>
      <c r="E22" s="17" t="str">
        <v>STRING</v>
      </c>
      <c r="F22" s="17">
        <f>CONCAT(",",C22,"   ",E22,"   COMMENT'", D22,"'" )</f>
      </c>
      <c r="G22" s="17"/>
      <c r="H22" s="33"/>
      <c r="I22" s="17"/>
      <c r="J22" s="17"/>
      <c r="K22" s="17"/>
      <c r="L22" s="17"/>
      <c r="M22" s="17"/>
      <c r="N22" s="17"/>
    </row>
    <row r="23">
      <c r="A23" s="23">
        <v>21</v>
      </c>
      <c r="B23" s="15" t="str">
        <v>营销费用源表-财务-预付待摊</v>
      </c>
      <c r="C23" s="17" t="str">
        <v>monthly_amortization_amount</v>
      </c>
      <c r="D23" s="15" t="str" xml:space="preserve">
        <v> 每月摊销额 </v>
      </c>
      <c r="E23" s="17" t="str">
        <v>DECIMAL(30, 8)</v>
      </c>
      <c r="F23" s="17">
        <f>CONCAT(",",C23,"   ",E23,"   COMMENT'", D23,"'" )</f>
      </c>
      <c r="G23" s="17"/>
      <c r="H23" s="33"/>
      <c r="I23" s="17"/>
      <c r="J23" s="17"/>
      <c r="K23" s="17"/>
      <c r="L23" s="17"/>
      <c r="M23" s="17"/>
      <c r="N23" s="17"/>
    </row>
    <row r="24">
      <c r="A24" s="23">
        <v>22</v>
      </c>
      <c r="B24" s="15" t="str">
        <v>营销费用源表-财务-预付待摊</v>
      </c>
      <c r="C24" s="17" t="str">
        <v>accumulated_adjustment</v>
      </c>
      <c r="D24" s="15" t="str" xml:space="preserve">
        <v>累计调整 </v>
      </c>
      <c r="E24" s="17" t="str">
        <v>STRING</v>
      </c>
      <c r="F24" s="17">
        <f>CONCAT(",",C24,"   ",E24,"   COMMENT'", D24,"'" )</f>
      </c>
      <c r="G24" s="17"/>
      <c r="H24" s="33"/>
      <c r="I24" s="17"/>
      <c r="J24" s="17"/>
      <c r="K24" s="17"/>
      <c r="L24" s="17"/>
      <c r="M24" s="17"/>
      <c r="N24" s="17"/>
    </row>
    <row r="25">
      <c r="A25" s="23">
        <v>23</v>
      </c>
      <c r="B25" s="15" t="str">
        <v>营销费用源表-财务-预付待摊</v>
      </c>
      <c r="C25" s="17" t="str">
        <v>cur_year_amortization_amount</v>
      </c>
      <c r="D25" s="15" t="str" xml:space="preserve">
        <v>本年累计摊销额 </v>
      </c>
      <c r="E25" s="17" t="str">
        <v>STRING</v>
      </c>
      <c r="F25" s="17">
        <f>CONCAT(",",C25,"   ",E25,"   COMMENT'", D25,"'" )</f>
      </c>
      <c r="G25" s="17"/>
      <c r="H25" s="33"/>
      <c r="I25" s="17"/>
      <c r="J25" s="17"/>
      <c r="K25" s="17"/>
      <c r="L25" s="17"/>
      <c r="M25" s="17"/>
      <c r="N25" s="17"/>
    </row>
    <row r="26">
      <c r="A26" s="23">
        <v>24</v>
      </c>
      <c r="B26" s="15" t="str">
        <v>营销费用源表-财务-预付待摊</v>
      </c>
      <c r="C26" s="17" t="str">
        <v>amortized_amount</v>
      </c>
      <c r="D26" s="15" t="str" xml:space="preserve">
        <v>已摊销金额 </v>
      </c>
      <c r="E26" s="17" t="str">
        <v>STRING</v>
      </c>
      <c r="F26" s="17">
        <f>CONCAT(",",C26,"   ",E26,"   COMMENT'", D26,"'" )</f>
      </c>
      <c r="G26" s="23"/>
      <c r="H26" s="33"/>
      <c r="I26" s="17"/>
      <c r="J26" s="17"/>
      <c r="K26" s="17"/>
      <c r="L26" s="17"/>
      <c r="M26" s="17"/>
      <c r="N26" s="17"/>
    </row>
    <row r="27">
      <c r="A27" s="23">
        <v>25</v>
      </c>
      <c r="B27" s="15" t="str">
        <v>营销费用源表-财务-预付待摊</v>
      </c>
      <c r="C27" s="17" t="str">
        <v>remaining_amortization_amount</v>
      </c>
      <c r="D27" s="15" t="str" xml:space="preserve">
        <v>剩余摊销金额 </v>
      </c>
      <c r="E27" s="17" t="str">
        <v>STRING</v>
      </c>
      <c r="F27" s="17">
        <f>CONCAT(",",C27,"   ",E27,"   COMMENT'", D27,"'" )</f>
      </c>
      <c r="G27" s="23"/>
      <c r="H27" s="33"/>
      <c r="I27" s="17"/>
      <c r="J27" s="17"/>
      <c r="K27" s="17"/>
      <c r="L27" s="17"/>
      <c r="M27" s="17"/>
      <c r="N27" s="17"/>
    </row>
    <row r="28">
      <c r="A28" s="23">
        <v>26</v>
      </c>
      <c r="B28" s="15" t="str">
        <v>营销费用源表-财务-预付待摊</v>
      </c>
      <c r="C28" s="17" t="str">
        <v>amortized_current_month</v>
      </c>
      <c r="D28" s="15" t="str">
        <v>截止到当月已摊销月份</v>
      </c>
      <c r="E28" s="17" t="str">
        <v>STRING</v>
      </c>
      <c r="F28" s="17">
        <f>CONCAT(",",C28,"   ",E28,"   COMMENT'", D28,"'" )</f>
      </c>
      <c r="G28" s="23"/>
      <c r="H28" s="33"/>
      <c r="I28" s="17"/>
      <c r="J28" s="17"/>
      <c r="K28" s="17"/>
      <c r="L28" s="17"/>
      <c r="M28" s="17"/>
      <c r="N28" s="17"/>
    </row>
    <row r="29">
      <c r="A29" s="23">
        <v>27</v>
      </c>
      <c r="B29" s="15" t="str">
        <v>营销费用源表-财务-预付待摊</v>
      </c>
      <c r="C29" s="17" t="str">
        <v>remaining_amortization_month</v>
      </c>
      <c r="D29" s="15" t="str">
        <v>截止到当月剩余摊销月份</v>
      </c>
      <c r="E29" s="17" t="str">
        <v>STRING</v>
      </c>
      <c r="F29" s="17">
        <f>CONCAT(",",C29,"   ",E29,"   COMMENT'", D29,"'" )</f>
      </c>
      <c r="G29" s="23"/>
      <c r="H29" s="33"/>
      <c r="I29" s="17"/>
      <c r="J29" s="17"/>
      <c r="K29" s="17"/>
      <c r="L29" s="17"/>
      <c r="M29" s="17"/>
      <c r="N29" s="17"/>
    </row>
    <row r="30">
      <c r="A30" s="23">
        <v>28</v>
      </c>
      <c r="B30" s="15" t="str">
        <v>营销费用源表-财务-预付待摊</v>
      </c>
      <c r="C30" s="17" t="str">
        <v>check</v>
      </c>
      <c r="D30" s="15" t="str">
        <v>校验</v>
      </c>
      <c r="E30" s="17" t="str">
        <v>STRING</v>
      </c>
      <c r="F30" s="17">
        <f>CONCAT(",",C30,"   ",E30,"   COMMENT'", D30,"'" )</f>
      </c>
      <c r="G30" s="23"/>
      <c r="H30" s="33"/>
      <c r="I30" s="17"/>
      <c r="J30" s="17"/>
      <c r="K30" s="17"/>
      <c r="L30" s="17"/>
      <c r="M30" s="17"/>
      <c r="N30" s="17"/>
    </row>
    <row r="31">
      <c r="A31" s="23">
        <v>29</v>
      </c>
      <c r="B31" s="15" t="str">
        <v>营销费用源表-财务-预付待摊</v>
      </c>
      <c r="C31" s="17" t="str">
        <v>do_not_fill</v>
      </c>
      <c r="D31" s="15" t="str">
        <v>勿填</v>
      </c>
      <c r="E31" s="17" t="str">
        <v>STRING</v>
      </c>
      <c r="F31" s="17">
        <f>CONCAT(",",C31,"   ",E31,"   COMMENT'", D31,"'" )</f>
      </c>
      <c r="G31" s="23"/>
      <c r="H31" s="33"/>
      <c r="I31" s="17"/>
      <c r="J31" s="17"/>
      <c r="K31" s="17"/>
      <c r="L31" s="17"/>
      <c r="M31" s="17"/>
      <c r="N31" s="17"/>
    </row>
    <row r="32">
      <c r="A32" s="23">
        <v>30</v>
      </c>
      <c r="B32" s="15" t="str">
        <v>营销费用源表-财务-预付待摊</v>
      </c>
      <c r="C32" s="17" t="str">
        <v>budget1_subject</v>
      </c>
      <c r="D32" s="15" t="str">
        <v>一级预算</v>
      </c>
      <c r="E32" s="17" t="str">
        <v>STRING</v>
      </c>
      <c r="F32" s="17">
        <f>CONCAT(",",C32,"   ",E32,"   COMMENT'", D32,"'" )</f>
      </c>
      <c r="G32" s="23"/>
      <c r="H32" s="33" t="str">
        <v>是否人工判断提供，或者有管报分类与其的匹配对应关系</v>
      </c>
      <c r="I32" s="17"/>
      <c r="J32" s="17"/>
      <c r="K32" s="17"/>
      <c r="L32" s="17"/>
      <c r="M32" s="17"/>
      <c r="N32" s="17"/>
    </row>
    <row r="33">
      <c r="A33" s="23">
        <v>31</v>
      </c>
      <c r="B33" s="15" t="str">
        <v>营销费用源表-财务-预付待摊</v>
      </c>
      <c r="C33" s="17" t="str">
        <v>budget2_subject</v>
      </c>
      <c r="D33" s="15" t="str">
        <v>二级预算</v>
      </c>
      <c r="E33" s="17" t="str">
        <v>STRING</v>
      </c>
      <c r="F33" s="17">
        <f>CONCAT(",",C33,"   ",E33,"   COMMENT'", D33,"'" )</f>
      </c>
      <c r="G33" s="23"/>
      <c r="H33" s="33" t="str">
        <v>是否人工判断提供，或者有管报分类与其的匹配对应关系</v>
      </c>
      <c r="I33" s="17"/>
      <c r="J33" s="17"/>
      <c r="K33" s="17"/>
      <c r="L33" s="17"/>
      <c r="M33" s="17"/>
      <c r="N33" s="17"/>
    </row>
    <row r="34">
      <c r="A34" s="23">
        <v>32</v>
      </c>
      <c r="B34" s="15" t="str">
        <v>营销费用源表-财务-预付待摊</v>
      </c>
      <c r="C34" s="17" t="str">
        <v>brand</v>
      </c>
      <c r="D34" s="15" t="str">
        <v>品牌</v>
      </c>
      <c r="E34" s="17" t="str">
        <v>STRING</v>
      </c>
      <c r="F34" s="17">
        <f>CONCAT(",",C34,"   ",E34,"   COMMENT'", D34,"'" )</f>
      </c>
      <c r="G34" s="23"/>
      <c r="H34" s="33" t="str">
        <v>是否人工判断提供，或者有管报分类与其的匹配对应关系</v>
      </c>
      <c r="I34" s="17"/>
      <c r="J34" s="17"/>
      <c r="K34" s="17"/>
      <c r="L34" s="17"/>
      <c r="M34" s="17"/>
      <c r="N34" s="17"/>
    </row>
    <row r="35">
      <c r="A35" s="23">
        <v>33</v>
      </c>
      <c r="B35" s="15" t="str">
        <v>营销费用源表-财务-预付待摊</v>
      </c>
      <c r="C35" s="17" t="str">
        <v>channel</v>
      </c>
      <c r="D35" s="15" t="str">
        <v>渠道</v>
      </c>
      <c r="E35" s="17" t="str">
        <v>STRING</v>
      </c>
      <c r="F35" s="17">
        <f>CONCAT(",",C35,"   ",E35,"   COMMENT'", D35,"'" )</f>
      </c>
      <c r="G35" s="23"/>
      <c r="H35" s="33" t="str">
        <v>是否人工判断提供，或者有管报分类与其的匹配对应关系</v>
      </c>
      <c r="I35" s="17"/>
      <c r="J35" s="17"/>
      <c r="K35" s="17"/>
      <c r="L35" s="17"/>
      <c r="M35" s="17"/>
      <c r="N35" s="17"/>
    </row>
    <row r="36">
      <c r="A36" s="23">
        <v>34</v>
      </c>
      <c r="B36" s="15" t="str">
        <v>营销费用源表-财务-预付待摊</v>
      </c>
      <c r="C36" s="17" t="str">
        <v>store_name</v>
      </c>
      <c r="D36" s="15" t="str">
        <v>店铺</v>
      </c>
      <c r="E36" s="17" t="str">
        <v>STRING</v>
      </c>
      <c r="F36" s="17">
        <f>CONCAT(",",C36,"   ",E36,"   COMMENT'", D36,"'" )</f>
      </c>
      <c r="G36" s="23"/>
      <c r="H36" s="33" t="str">
        <v>是否人工判断提供，或者有管报分类与其的匹配对应关系</v>
      </c>
      <c r="I36" s="17"/>
      <c r="J36" s="17"/>
      <c r="K36" s="17"/>
      <c r="L36" s="17"/>
      <c r="M36" s="17"/>
      <c r="N36" s="17"/>
    </row>
    <row r="37">
      <c r="A37" s="23">
        <v>35</v>
      </c>
      <c r="B37" s="15" t="str">
        <v>营销费用源表-财务-预付待摊</v>
      </c>
      <c r="C37" s="17" t="str">
        <v>source</v>
      </c>
      <c r="D37" s="15" t="str">
        <v>来源</v>
      </c>
      <c r="E37" s="17" t="str">
        <v>STRING</v>
      </c>
      <c r="F37" s="17">
        <f>CONCAT(",",C37,"   ",E37,"   COMMENT'", D37,"'" )</f>
      </c>
      <c r="G37" s="23"/>
      <c r="H37" s="33" t="str">
        <v>是否人工判断提供，或者有管报分类与其的匹配对应关系</v>
      </c>
      <c r="I37" s="17"/>
      <c r="J37" s="17"/>
      <c r="K37" s="17"/>
      <c r="L37" s="17"/>
      <c r="M37" s="17"/>
      <c r="N37" s="17"/>
    </row>
    <row r="38">
      <c r="A38" s="23">
        <v>36</v>
      </c>
      <c r="B38" s="15" t="str">
        <v>营销费用源表-财务-预付待摊</v>
      </c>
      <c r="C38" s="17" t="str">
        <v>business_unit</v>
      </c>
      <c r="D38" s="15" t="str">
        <v>业务单元</v>
      </c>
      <c r="E38" s="17" t="str">
        <v>STRING</v>
      </c>
      <c r="F38" s="17">
        <f>CONCAT(",",C38,"   ",E38,"   COMMENT'", D38,"'" )</f>
      </c>
      <c r="G38" s="23"/>
      <c r="H38" s="33" t="str">
        <v>是否人工判断提供，或者有管报分类与其的匹配对应关系</v>
      </c>
      <c r="I38" s="17"/>
      <c r="J38" s="17"/>
      <c r="K38" s="17"/>
      <c r="L38" s="17"/>
      <c r="M38" s="17"/>
      <c r="N38" s="17"/>
    </row>
    <row r="39">
      <c r="A39" s="23">
        <v>37</v>
      </c>
      <c r="B39" s="15" t="str">
        <v>营销费用源表-财务-预付待摊</v>
      </c>
      <c r="C39" s="17" t="str">
        <v>current_month</v>
      </c>
      <c r="D39" s="66" t="str">
        <v>当月月份</v>
      </c>
      <c r="E39" s="17" t="str">
        <v>STRING</v>
      </c>
      <c r="F39" s="17">
        <f>CONCAT(",",C39,"   ",E39,"   COMMENT'", D39,"'" )</f>
      </c>
      <c r="G39" s="17"/>
      <c r="H39" s="17"/>
      <c r="I39" s="17"/>
      <c r="J39" s="17"/>
      <c r="K39" s="17"/>
      <c r="L39" s="17"/>
      <c r="M39" s="17"/>
      <c r="N39" s="17"/>
    </row>
    <row r="40">
      <c r="A40" s="23">
        <v>38</v>
      </c>
      <c r="B40" s="15" t="str">
        <v>营销费用源表-财务-预付待摊</v>
      </c>
      <c r="C40" s="17" t="str">
        <v>current_month_amount</v>
      </c>
      <c r="D40" s="66" t="str">
        <v>当月摊销金额</v>
      </c>
      <c r="E40" s="17" t="str">
        <v>STRING</v>
      </c>
      <c r="F40" s="17">
        <f>CONCAT(",",C40,"   ",E40,"   COMMENT'", D40,"'" )</f>
      </c>
      <c r="G40" s="17"/>
      <c r="H40" s="17"/>
      <c r="I40" s="17"/>
      <c r="J40" s="17"/>
      <c r="K40" s="17"/>
      <c r="L40" s="17"/>
      <c r="M40" s="17"/>
      <c r="N40" s="17"/>
    </row>
    <row r="41">
      <c r="A41" s="1"/>
      <c r="D41" s="65"/>
    </row>
    <row r="42">
      <c r="A42" s="1"/>
      <c r="D42" s="65"/>
    </row>
    <row r="43">
      <c r="A43" s="1" t="str">
        <v>合同具体事项</v>
      </c>
      <c r="B43" t="str">
        <v>contract_item</v>
      </c>
      <c r="C43" t="str">
        <v>string</v>
      </c>
      <c r="D43" s="65" t="str">
        <v>无限制</v>
      </c>
    </row>
    <row r="44">
      <c r="A44" s="1" t="str">
        <v>合同生效时间</v>
      </c>
      <c r="B44" t="str">
        <v>contract_start_time</v>
      </c>
      <c r="C44" t="str">
        <v>datetime</v>
      </c>
      <c r="D44" s="65" t="str">
        <v>无限制</v>
      </c>
    </row>
    <row r="45">
      <c r="A45" s="1" t="str">
        <v>合同结束时间</v>
      </c>
      <c r="B45" t="str">
        <v>contract_end_time</v>
      </c>
      <c r="C45" t="str">
        <v>datetime</v>
      </c>
      <c r="D45" s="65" t="str">
        <v>无限制</v>
      </c>
    </row>
    <row r="46">
      <c r="A46" s="1" t="str">
        <v>管报分类</v>
      </c>
      <c r="B46" t="str">
        <v>management_report_category</v>
      </c>
      <c r="C46" t="str">
        <v>string</v>
      </c>
      <c r="D46" s="65" t="str">
        <v>无限制</v>
      </c>
    </row>
    <row r="47">
      <c r="A47" s="1" t="str">
        <v>业务提报负责人</v>
      </c>
      <c r="B47" t="str">
        <v>business_report_responsible_person</v>
      </c>
      <c r="C47" t="str">
        <v>string</v>
      </c>
      <c r="D47" s="65" t="str">
        <v>无限制</v>
      </c>
    </row>
    <row r="48">
      <c r="A48" s="1" t="str">
        <v>预提方式</v>
      </c>
      <c r="B48" t="str">
        <v>prepayment_method</v>
      </c>
      <c r="C48" t="str">
        <v>string</v>
      </c>
      <c r="D48" s="65" t="str">
        <v>无限制</v>
      </c>
    </row>
    <row r="49">
      <c r="A49" s="1" t="str">
        <v>待摊费用入账凭证号</v>
      </c>
      <c r="B49" t="str">
        <v>prepaid_expense_accounting_voucher_number</v>
      </c>
      <c r="C49" t="str">
        <v>string</v>
      </c>
      <c r="D49" s="65" t="str">
        <v>无限制</v>
      </c>
    </row>
    <row r="50">
      <c r="A50" s="1" t="str">
        <v>摊销费用入账凭证号</v>
      </c>
      <c r="B50" t="str">
        <v>amortized_expense_accounting_voucher_number</v>
      </c>
      <c r="C50" t="str">
        <v>string</v>
      </c>
      <c r="D50" s="65" t="str">
        <v>无限制</v>
      </c>
    </row>
    <row r="51">
      <c r="A51" s="1" t="str">
        <v>入账部门</v>
      </c>
      <c r="B51" t="str">
        <v>accounting_department</v>
      </c>
      <c r="C51" t="str">
        <v>string</v>
      </c>
      <c r="D51" s="65" t="str">
        <v>无限制</v>
      </c>
    </row>
    <row r="52">
      <c r="A52" s="1" t="str">
        <v>入账费用</v>
      </c>
      <c r="B52" t="str">
        <v>accounting_expense</v>
      </c>
      <c r="C52" t="str">
        <v>float</v>
      </c>
      <c r="D52" s="65" t="str">
        <v>无限制</v>
      </c>
    </row>
    <row r="53">
      <c r="A53" s="1" t="str">
        <v>期初累计摊销额</v>
      </c>
      <c r="B53" t="str">
        <v>initial_accumulated_amortization_amount</v>
      </c>
      <c r="C53" t="str">
        <v>float</v>
      </c>
      <c r="D53" s="65" t="str">
        <v>无限制</v>
      </c>
    </row>
    <row r="54">
      <c r="A54" s="1" t="str">
        <v>摊销方式</v>
      </c>
      <c r="B54" t="str">
        <v>amortization_method</v>
      </c>
      <c r="C54" t="str">
        <v>string</v>
      </c>
      <c r="D54" s="65" t="str">
        <v>无限制</v>
      </c>
    </row>
    <row r="55">
      <c r="A55" s="1" t="str">
        <v>摊销总次数</v>
      </c>
      <c r="B55" t="str">
        <v>total_amortization_times</v>
      </c>
      <c r="C55" t="str">
        <v>int</v>
      </c>
      <c r="D55" s="65" t="str">
        <v>无限制</v>
      </c>
    </row>
    <row r="56">
      <c r="A56" s="1" t="str">
        <v>本月摊销次数</v>
      </c>
      <c r="B56" t="str">
        <v>current_month_amortization_times</v>
      </c>
      <c r="C56" t="str">
        <v>int</v>
      </c>
      <c r="D56" s="65" t="str">
        <v>无限制</v>
      </c>
    </row>
    <row r="57">
      <c r="A57" s="1" t="str">
        <v>摊销月份</v>
      </c>
      <c r="B57" t="str">
        <v>amortization_month</v>
      </c>
      <c r="C57" t="str">
        <v>datetime</v>
      </c>
      <c r="D57" s="65" t="str">
        <v>无限制</v>
      </c>
    </row>
    <row r="58">
      <c r="A58" s="1" t="str">
        <v>金蝶计入科目</v>
      </c>
      <c r="B58" t="str">
        <v>kingdee_accounting_subject</v>
      </c>
      <c r="C58" t="str">
        <v>string</v>
      </c>
      <c r="D58" s="65" t="str">
        <v>无限制</v>
      </c>
    </row>
    <row r="59">
      <c r="A59" s="1" t="str">
        <v>每月摊销额</v>
      </c>
      <c r="B59" t="str">
        <v>monthly_amortization_amount</v>
      </c>
      <c r="C59" t="str">
        <v>float</v>
      </c>
      <c r="D59" s="65" t="str">
        <v>无限制</v>
      </c>
    </row>
    <row r="60">
      <c r="A60" s="1" t="str">
        <v>累计调整</v>
      </c>
      <c r="B60" t="str">
        <v>accumulated_adjustment</v>
      </c>
      <c r="C60" t="str">
        <v>float</v>
      </c>
      <c r="D60" s="65" t="str">
        <v>无限制</v>
      </c>
    </row>
    <row r="61">
      <c r="A61" s="1" t="str">
        <v>本年累计摊销额</v>
      </c>
      <c r="B61" t="str">
        <v>annual_accumulated_amortization_amount</v>
      </c>
      <c r="C61" t="str">
        <v>float</v>
      </c>
      <c r="D61" s="65" t="str">
        <v>无限制</v>
      </c>
    </row>
    <row r="62">
      <c r="A62" s="1" t="str">
        <v>已摊销金额</v>
      </c>
      <c r="B62" t="str">
        <v>amortized_amount</v>
      </c>
      <c r="C62" t="str">
        <v>float</v>
      </c>
      <c r="D62" s="65" t="str">
        <v>无限制</v>
      </c>
    </row>
    <row r="63">
      <c r="A63" s="1" t="str">
        <v>剩余摊销金额</v>
      </c>
      <c r="B63" t="str">
        <v>remaining_amortization_amount</v>
      </c>
      <c r="C63" t="str">
        <v>float</v>
      </c>
      <c r="D63" s="65" t="str">
        <v>无限制</v>
      </c>
    </row>
    <row r="64">
      <c r="A64" s="1" t="str">
        <v>截止到当月已摊销月份</v>
      </c>
      <c r="B64" t="str">
        <v>amortized_month_until_current_month</v>
      </c>
      <c r="C64" t="str">
        <v>datetime</v>
      </c>
      <c r="D64" s="65" t="str">
        <v>无限制</v>
      </c>
    </row>
    <row r="65">
      <c r="A65" s="1" t="str">
        <v>截止到当月剩余摊销月份</v>
      </c>
      <c r="B65" t="str">
        <v>remaining_amortization_month_until_current_month</v>
      </c>
      <c r="C65" t="str">
        <v>datetime</v>
      </c>
      <c r="D65" s="65" t="str">
        <v>无限制</v>
      </c>
    </row>
    <row r="66">
      <c r="A66" s="1" t="str">
        <v>校验</v>
      </c>
      <c r="B66" t="str">
        <v>check</v>
      </c>
      <c r="C66" t="str">
        <v>string</v>
      </c>
      <c r="D66" s="65" t="str">
        <v>无限制</v>
      </c>
    </row>
    <row r="67">
      <c r="A67" s="1" t="str">
        <v>勿填</v>
      </c>
      <c r="B67" t="str">
        <v>do_not_fill</v>
      </c>
      <c r="C67" t="str">
        <v>string</v>
      </c>
      <c r="D67" s="65" t="str">
        <v>无限制</v>
      </c>
    </row>
    <row r="68">
      <c r="A68" s="1" t="str">
        <v>一级预算</v>
      </c>
      <c r="B68" t="str">
        <v>primary_budget</v>
      </c>
      <c r="C68" t="str">
        <v>string</v>
      </c>
      <c r="D68" s="65" t="str">
        <v>无限制</v>
      </c>
    </row>
    <row r="69">
      <c r="A69" s="1" t="str">
        <v>二级预算</v>
      </c>
      <c r="B69" t="str">
        <v>secondary_budget</v>
      </c>
      <c r="C69" t="str">
        <v>string</v>
      </c>
      <c r="D69" s="65" t="str">
        <v>无限制</v>
      </c>
    </row>
    <row r="70">
      <c r="A70" s="1" t="str">
        <v>品牌</v>
      </c>
      <c r="B70" t="str">
        <v>brand</v>
      </c>
      <c r="C70" t="str">
        <v>string</v>
      </c>
      <c r="D70" s="65" t="str">
        <v>无限制</v>
      </c>
    </row>
    <row r="71">
      <c r="A71" s="1" t="str">
        <v>渠道</v>
      </c>
      <c r="B71" t="str">
        <v>channel</v>
      </c>
      <c r="C71" t="str">
        <v>string</v>
      </c>
      <c r="D71" s="65" t="str">
        <v>无限制</v>
      </c>
    </row>
    <row r="72">
      <c r="A72" s="1" t="str">
        <v>店铺</v>
      </c>
      <c r="B72" t="str">
        <v>store</v>
      </c>
      <c r="C72" t="str">
        <v>string</v>
      </c>
      <c r="D72" s="65" t="str">
        <v>无限制</v>
      </c>
    </row>
    <row r="73">
      <c r="A73" s="1" t="str">
        <v>来源</v>
      </c>
      <c r="B73" t="str">
        <v>source</v>
      </c>
      <c r="C73" t="str">
        <v>string</v>
      </c>
      <c r="D73" s="65" t="str">
        <v>无限制</v>
      </c>
    </row>
    <row r="74">
      <c r="A74" s="1" t="str">
        <v>业务单元</v>
      </c>
      <c r="B74" t="str">
        <v>business_unit</v>
      </c>
      <c r="C74" t="str">
        <v>string</v>
      </c>
      <c r="D74" s="65" t="str">
        <v>无限制</v>
      </c>
    </row>
    <row r="75">
      <c r="A75" s="1" t="str">
        <v>当月月份</v>
      </c>
      <c r="B75" t="str">
        <v>current_month</v>
      </c>
      <c r="C75" t="str">
        <v>datetime</v>
      </c>
      <c r="D75" s="65" t="str">
        <v>无限制</v>
      </c>
    </row>
    <row r="76">
      <c r="A76" s="1" t="str">
        <v>当月摊销金额</v>
      </c>
      <c r="B76" t="str">
        <v>current_month_amortization_amount</v>
      </c>
      <c r="C76" t="str">
        <v>float</v>
      </c>
      <c r="D76" s="65" t="str">
        <v>无限制</v>
      </c>
    </row>
    <row r="77">
      <c r="A77" s="1"/>
      <c r="D77" s="65"/>
    </row>
    <row r="78">
      <c r="A78" s="1"/>
      <c r="D78" s="65"/>
    </row>
    <row r="79">
      <c r="A79" s="1"/>
      <c r="D79" s="65"/>
    </row>
    <row r="80">
      <c r="A80" s="1"/>
      <c r="D80" s="65"/>
    </row>
    <row r="81">
      <c r="A81" s="1"/>
      <c r="D81" s="65"/>
    </row>
    <row r="82">
      <c r="A82" s="1"/>
      <c r="D82" s="65"/>
    </row>
    <row r="83">
      <c r="A83" s="1"/>
      <c r="D83" s="65"/>
    </row>
    <row r="84">
      <c r="A84" s="1"/>
      <c r="D84" s="65"/>
    </row>
    <row r="85">
      <c r="A85" s="1"/>
      <c r="D85" s="65"/>
    </row>
    <row r="86">
      <c r="A86" s="1"/>
      <c r="D86" s="65"/>
    </row>
    <row r="87">
      <c r="A87" s="1"/>
      <c r="D87" s="65"/>
    </row>
    <row r="88">
      <c r="A88" s="1"/>
      <c r="D88" s="65"/>
    </row>
    <row r="89">
      <c r="A89" s="1"/>
      <c r="D89" s="65"/>
    </row>
    <row r="90">
      <c r="A90" s="1"/>
      <c r="D90" s="65"/>
    </row>
    <row r="91">
      <c r="A91" s="1"/>
      <c r="D91" s="65"/>
    </row>
    <row r="92">
      <c r="A92" s="1"/>
      <c r="D92" s="65"/>
    </row>
    <row r="93">
      <c r="A93" s="1"/>
      <c r="D93" s="65"/>
    </row>
    <row r="94">
      <c r="A94" s="1"/>
      <c r="D94" s="65"/>
    </row>
    <row r="95">
      <c r="A95" s="1"/>
      <c r="D95" s="65"/>
    </row>
    <row r="96">
      <c r="A96" s="1"/>
      <c r="D96" s="65"/>
    </row>
    <row r="97">
      <c r="A97" s="1"/>
      <c r="D97" s="65"/>
    </row>
    <row r="98">
      <c r="A98" s="1"/>
      <c r="D98" s="65"/>
    </row>
    <row r="99">
      <c r="A99" s="1"/>
      <c r="D99" s="65"/>
    </row>
    <row r="100">
      <c r="A100" s="1"/>
      <c r="D100" s="65"/>
    </row>
    <row r="101">
      <c r="A101" s="1"/>
      <c r="D101" s="65"/>
    </row>
    <row r="102">
      <c r="A102" s="1"/>
      <c r="D102" s="65"/>
    </row>
    <row r="103">
      <c r="A103" s="1"/>
      <c r="D103" s="65"/>
    </row>
    <row r="104">
      <c r="A104" s="1"/>
      <c r="D104" s="65"/>
    </row>
    <row r="105">
      <c r="A105" s="1"/>
      <c r="D105" s="65"/>
    </row>
    <row r="106">
      <c r="A106" s="1"/>
      <c r="D106" s="65"/>
    </row>
    <row r="107">
      <c r="A107" s="1"/>
      <c r="D107" s="65"/>
    </row>
    <row r="108">
      <c r="A108" s="1"/>
      <c r="D108" s="65"/>
    </row>
    <row r="109">
      <c r="A109" s="1"/>
      <c r="D109" s="65"/>
    </row>
    <row r="110">
      <c r="A110" s="1"/>
      <c r="D110" s="65"/>
    </row>
    <row r="111">
      <c r="A111" s="1"/>
      <c r="D111" s="65"/>
    </row>
    <row r="112">
      <c r="A112" s="1"/>
      <c r="D112" s="65"/>
    </row>
    <row r="113">
      <c r="A113" s="1"/>
      <c r="D113" s="65"/>
    </row>
    <row r="114">
      <c r="A114" s="1"/>
      <c r="D114" s="65"/>
    </row>
    <row r="115">
      <c r="A115" s="1"/>
      <c r="D115" s="65"/>
    </row>
    <row r="116">
      <c r="A116" s="1"/>
      <c r="D116" s="65"/>
    </row>
    <row r="117">
      <c r="A117" s="1"/>
      <c r="D117" s="65"/>
    </row>
    <row r="118">
      <c r="A118" s="1"/>
      <c r="D118" s="65"/>
    </row>
    <row r="119">
      <c r="A119" s="1"/>
      <c r="D119" s="65"/>
    </row>
    <row r="120">
      <c r="A120" s="1"/>
      <c r="D120" s="65"/>
    </row>
    <row r="121">
      <c r="A121" s="1"/>
      <c r="D121" s="65"/>
    </row>
    <row r="122">
      <c r="A122" s="1"/>
      <c r="D122" s="65"/>
    </row>
    <row r="123">
      <c r="A123" s="1"/>
      <c r="D123" s="65"/>
    </row>
    <row r="124">
      <c r="A124" s="1"/>
      <c r="D124" s="65"/>
    </row>
    <row r="125">
      <c r="A125" s="1"/>
      <c r="D125" s="65"/>
    </row>
    <row r="126">
      <c r="A126" s="1"/>
      <c r="D126" s="65"/>
    </row>
    <row r="127">
      <c r="A127" s="1"/>
      <c r="D127" s="65"/>
    </row>
    <row r="128">
      <c r="A128" s="1"/>
      <c r="D128" s="65"/>
    </row>
    <row r="129">
      <c r="A129" s="1"/>
      <c r="D129" s="65"/>
    </row>
    <row r="130">
      <c r="A130" s="1"/>
      <c r="D130" s="65"/>
    </row>
    <row r="131">
      <c r="A131" s="1"/>
      <c r="D131" s="65"/>
    </row>
    <row r="132">
      <c r="A132" s="1"/>
      <c r="D132" s="65"/>
    </row>
    <row r="133">
      <c r="A133" s="1"/>
      <c r="D133" s="65"/>
    </row>
    <row r="134">
      <c r="A134" s="1"/>
      <c r="D134" s="65"/>
    </row>
    <row r="135">
      <c r="A135" s="1"/>
      <c r="D135" s="65"/>
    </row>
    <row r="136">
      <c r="A136" s="1"/>
      <c r="D136" s="65"/>
    </row>
    <row r="137">
      <c r="A137" s="1"/>
      <c r="D137" s="65"/>
    </row>
    <row r="138">
      <c r="A138" s="1"/>
      <c r="D138" s="65"/>
    </row>
    <row r="139">
      <c r="A139" s="1"/>
      <c r="D139" s="65"/>
    </row>
    <row r="140">
      <c r="A140" s="1"/>
      <c r="D140" s="65"/>
    </row>
    <row r="141">
      <c r="A141" s="1"/>
      <c r="D141" s="65"/>
    </row>
    <row r="142">
      <c r="A142" s="1"/>
      <c r="D142" s="65"/>
    </row>
    <row r="143">
      <c r="A143" s="1"/>
      <c r="D143" s="65"/>
    </row>
    <row r="144">
      <c r="A144" s="1"/>
      <c r="D144" s="65"/>
    </row>
    <row r="145">
      <c r="A145" s="1"/>
      <c r="D145" s="65"/>
    </row>
    <row r="146">
      <c r="A146" s="1"/>
      <c r="D146" s="65"/>
    </row>
    <row r="147">
      <c r="A147" s="1"/>
      <c r="D147" s="65"/>
    </row>
    <row r="148">
      <c r="A148" s="1"/>
      <c r="D148" s="65"/>
    </row>
    <row r="149">
      <c r="A149" s="1"/>
      <c r="D149" s="65"/>
    </row>
    <row r="150">
      <c r="A150" s="1"/>
      <c r="D150" s="65"/>
    </row>
    <row r="151">
      <c r="A151" s="1"/>
      <c r="D151" s="65"/>
    </row>
    <row r="152">
      <c r="A152" s="1"/>
      <c r="D152" s="65"/>
    </row>
    <row r="153">
      <c r="A153" s="1"/>
      <c r="D153" s="65"/>
    </row>
    <row r="154">
      <c r="A154" s="1"/>
      <c r="D154" s="65"/>
    </row>
    <row r="155">
      <c r="A155" s="1"/>
      <c r="D155" s="65"/>
    </row>
    <row r="156">
      <c r="A156" s="1"/>
      <c r="D156" s="65"/>
    </row>
    <row r="157">
      <c r="A157" s="1"/>
      <c r="D157" s="65"/>
    </row>
    <row r="158">
      <c r="A158" s="1"/>
      <c r="D158" s="65"/>
    </row>
    <row r="159">
      <c r="A159" s="1"/>
      <c r="D159" s="65"/>
    </row>
    <row r="160">
      <c r="A160" s="1"/>
      <c r="D160" s="65"/>
    </row>
    <row r="161">
      <c r="A161" s="1"/>
      <c r="D161" s="65"/>
    </row>
    <row r="162">
      <c r="A162" s="1"/>
      <c r="D162" s="65"/>
    </row>
    <row r="163">
      <c r="A163" s="1"/>
      <c r="D163" s="65"/>
    </row>
    <row r="164">
      <c r="A164" s="1"/>
      <c r="D164" s="65"/>
    </row>
    <row r="165">
      <c r="A165" s="1"/>
      <c r="D165" s="65"/>
    </row>
    <row r="166">
      <c r="A166" s="1"/>
      <c r="D166" s="65"/>
    </row>
    <row r="167">
      <c r="A167" s="1"/>
      <c r="D167" s="65"/>
    </row>
    <row r="168">
      <c r="A168" s="1"/>
      <c r="D168" s="65"/>
    </row>
    <row r="169">
      <c r="A169" s="1"/>
      <c r="D169" s="65"/>
    </row>
    <row r="170">
      <c r="A170" s="1"/>
      <c r="D170" s="65"/>
    </row>
    <row r="171">
      <c r="A171" s="1"/>
      <c r="D171" s="65"/>
    </row>
    <row r="172">
      <c r="A172" s="1"/>
      <c r="D172" s="65"/>
    </row>
    <row r="173">
      <c r="A173" s="1"/>
      <c r="D173" s="65"/>
    </row>
    <row r="174">
      <c r="A174" s="1"/>
      <c r="D174" s="65"/>
    </row>
    <row r="175">
      <c r="A175" s="1"/>
      <c r="D175" s="65"/>
    </row>
    <row r="176">
      <c r="A176" s="1"/>
      <c r="D176" s="65"/>
    </row>
    <row r="177">
      <c r="A177" s="1"/>
      <c r="D177" s="65"/>
    </row>
    <row r="178">
      <c r="A178" s="1"/>
      <c r="D178" s="65"/>
    </row>
    <row r="179">
      <c r="A179" s="1"/>
      <c r="D179" s="65"/>
    </row>
    <row r="180">
      <c r="A180" s="1"/>
      <c r="D180" s="65"/>
    </row>
    <row r="181">
      <c r="A181" s="1"/>
      <c r="D181" s="65"/>
    </row>
    <row r="182">
      <c r="A182" s="1"/>
      <c r="D182" s="65"/>
    </row>
    <row r="183">
      <c r="A183" s="1"/>
      <c r="D183" s="65"/>
    </row>
    <row r="184">
      <c r="A184" s="1"/>
      <c r="D184" s="65"/>
    </row>
    <row r="185">
      <c r="A185" s="1"/>
      <c r="D185" s="65"/>
    </row>
    <row r="186">
      <c r="A186" s="1"/>
      <c r="D186" s="65"/>
    </row>
    <row r="187">
      <c r="A187" s="1"/>
      <c r="D187" s="65"/>
    </row>
    <row r="188">
      <c r="A188" s="1"/>
      <c r="D188" s="65"/>
    </row>
    <row r="189">
      <c r="A189" s="1"/>
      <c r="D189" s="65"/>
    </row>
    <row r="190">
      <c r="A190" s="1"/>
      <c r="D190" s="65"/>
    </row>
  </sheetData>
  <mergeCells>
    <mergeCell ref="I1:N1"/>
    <mergeCell ref="A1:H1"/>
  </mergeCells>
  <picture r:id="rId1"/>
</worksheet>
</file>

<file path=xl/worksheets/sheet3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25"/>
    <col collapsed="false" customWidth="true" hidden="false" max="3" min="3" style="0" width="30"/>
    <col collapsed="false" customWidth="true" hidden="false" max="4" min="4" style="0" width="20"/>
    <col collapsed="false" customWidth="true" hidden="false" max="5" min="5" style="0" width="15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44"/>
    <col collapsed="false" customWidth="true" hidden="false" max="9" min="9" style="0" width="44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1"/>
    <col collapsed="false" customWidth="true" hidden="false" max="14" min="14" style="0" width="4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71" t="str">
        <v>数据模型属性定义</v>
      </c>
      <c r="B1" s="71"/>
      <c r="C1" s="71"/>
      <c r="D1" s="71"/>
      <c r="E1" s="71"/>
      <c r="F1" s="71"/>
      <c r="G1" s="71"/>
      <c r="H1" s="71"/>
      <c r="I1" s="72" t="str">
        <v>系统溯源分析</v>
      </c>
      <c r="J1" s="72"/>
      <c r="K1" s="72"/>
      <c r="L1" s="72"/>
      <c r="M1" s="72"/>
      <c r="N1" s="72"/>
    </row>
    <row r="2">
      <c r="A2" s="10" t="str">
        <v>序号</v>
      </c>
      <c r="B2" s="10" t="str">
        <v>模型名称</v>
      </c>
      <c r="C2" s="76" t="str">
        <v>字段</v>
      </c>
      <c r="D2" s="10" t="str">
        <v>字段描述</v>
      </c>
      <c r="E2" s="10" t="str">
        <v>字段类型</v>
      </c>
      <c r="F2" s="10" t="str">
        <v>字段长度</v>
      </c>
      <c r="G2" s="10" t="str">
        <v>是否主键</v>
      </c>
      <c r="H2" s="10" t="str">
        <v>字段备注</v>
      </c>
      <c r="I2" s="11" t="str">
        <v>数据来源系统</v>
      </c>
      <c r="J2" s="11" t="str">
        <v>数据来源表</v>
      </c>
      <c r="K2" s="11" t="str">
        <v>来源表描述</v>
      </c>
      <c r="L2" s="12" t="str">
        <v>来源字段</v>
      </c>
      <c r="M2" s="12" t="str">
        <v>来源字段描述</v>
      </c>
      <c r="N2" s="12" t="str">
        <v>备注</v>
      </c>
    </row>
    <row r="3">
      <c r="A3" s="18">
        <v>3</v>
      </c>
      <c r="B3" s="70" t="str">
        <v>营销费用源表-财务-长期待摊</v>
      </c>
      <c r="C3" s="17" t="str">
        <v>cost_company</v>
      </c>
      <c r="D3" s="69" t="str">
        <v>费用所属公司</v>
      </c>
      <c r="E3" s="17" t="str">
        <v>STRING</v>
      </c>
      <c r="F3" s="17">
        <f>CONCAT(",",C3,"   ",E3,"   COMMENT'", D3,"'" )</f>
      </c>
      <c r="G3" s="17">
        <f>LEN(C3)</f>
      </c>
      <c r="H3" s="17"/>
      <c r="I3" s="17"/>
      <c r="J3" s="17"/>
      <c r="K3" s="17"/>
      <c r="L3" s="17"/>
      <c r="M3" s="17"/>
      <c r="N3" s="17"/>
    </row>
    <row r="4">
      <c r="A4" s="54">
        <v>4</v>
      </c>
      <c r="B4" s="70" t="str">
        <v>营销费用源表-财务-长期待摊</v>
      </c>
      <c r="C4" s="17" t="str">
        <v>contract_code</v>
      </c>
      <c r="D4" s="69" t="str">
        <v>合同编码</v>
      </c>
      <c r="E4" s="17" t="str">
        <v>STRING</v>
      </c>
      <c r="F4" s="17">
        <f>CONCAT(",",C4,"   ",E4,"   COMMENT'", D4,"'" )</f>
      </c>
      <c r="G4" s="17">
        <f>LEN(C4)</f>
      </c>
      <c r="H4" s="17"/>
      <c r="I4" s="17"/>
      <c r="J4" s="17"/>
      <c r="K4" s="17"/>
      <c r="L4" s="17"/>
      <c r="M4" s="17"/>
      <c r="N4" s="17"/>
    </row>
    <row r="5">
      <c r="A5" s="18">
        <v>5</v>
      </c>
      <c r="B5" s="70" t="str">
        <v>营销费用源表-财务-长期待摊</v>
      </c>
      <c r="C5" s="17" t="str">
        <v>supplier_name</v>
      </c>
      <c r="D5" s="69" t="str">
        <v>供应商名称</v>
      </c>
      <c r="E5" s="17" t="str">
        <v>STRING</v>
      </c>
      <c r="F5" s="17">
        <f>CONCAT(",",C5,"   ",E5,"   COMMENT'", D5,"'" )</f>
      </c>
      <c r="G5" s="17">
        <f>LEN(C5)</f>
      </c>
      <c r="H5" s="17"/>
      <c r="I5" s="17"/>
      <c r="J5" s="17"/>
      <c r="K5" s="17"/>
      <c r="L5" s="17"/>
      <c r="M5" s="17"/>
      <c r="N5" s="17"/>
    </row>
    <row r="6">
      <c r="A6" s="54">
        <v>6</v>
      </c>
      <c r="B6" s="70" t="str">
        <v>营销费用源表-财务-长期待摊</v>
      </c>
      <c r="C6" s="17" t="str">
        <v>contract_amount</v>
      </c>
      <c r="D6" s="69" t="str" xml:space="preserve">
        <v>合同金额 </v>
      </c>
      <c r="E6" s="17" t="str">
        <v>DECIMAL(30, 8)</v>
      </c>
      <c r="F6" s="17">
        <f>CONCAT(",",C6,"   ",E6,"   COMMENT'", D6,"'" )</f>
      </c>
      <c r="G6" s="17">
        <f>LEN(C6)</f>
      </c>
      <c r="H6" s="17"/>
      <c r="I6" s="17"/>
      <c r="J6" s="17"/>
      <c r="K6" s="17"/>
      <c r="L6" s="17"/>
      <c r="M6" s="17"/>
      <c r="N6" s="17"/>
    </row>
    <row r="7">
      <c r="A7" s="18">
        <v>7</v>
      </c>
      <c r="B7" s="70" t="str">
        <v>营销费用源表-财务-长期待摊</v>
      </c>
      <c r="C7" s="17" t="str">
        <v>contract_items</v>
      </c>
      <c r="D7" s="69" t="str">
        <v>合同具体事项</v>
      </c>
      <c r="E7" s="17" t="str">
        <v>STRING</v>
      </c>
      <c r="F7" s="17">
        <f>CONCAT(",",C7,"   ",E7,"   COMMENT'", D7,"'" )</f>
      </c>
      <c r="G7" s="17">
        <f>LEN(C7)</f>
      </c>
      <c r="H7" s="17"/>
      <c r="I7" s="17"/>
      <c r="J7" s="17"/>
      <c r="K7" s="17"/>
      <c r="L7" s="17"/>
      <c r="M7" s="17"/>
      <c r="N7" s="17"/>
    </row>
    <row r="8">
      <c r="A8" s="54">
        <v>8</v>
      </c>
      <c r="B8" s="70" t="str">
        <v>营销费用源表-财务-长期待摊</v>
      </c>
      <c r="C8" s="17" t="str">
        <v>contract_effective_time</v>
      </c>
      <c r="D8" s="69" t="str">
        <v>合同生效时间</v>
      </c>
      <c r="E8" s="17" t="str">
        <v>STRING</v>
      </c>
      <c r="F8" s="17">
        <f>CONCAT(",",C8,"   ",E8,"   COMMENT'", D8,"'" )</f>
      </c>
      <c r="G8" s="17">
        <f>LEN(C8)</f>
      </c>
      <c r="H8" s="17"/>
      <c r="I8" s="17"/>
      <c r="J8" s="17"/>
      <c r="K8" s="17"/>
      <c r="L8" s="17"/>
      <c r="M8" s="17"/>
      <c r="N8" s="17"/>
    </row>
    <row r="9">
      <c r="A9" s="18">
        <v>9</v>
      </c>
      <c r="B9" s="70" t="str">
        <v>营销费用源表-财务-长期待摊</v>
      </c>
      <c r="C9" s="17" t="str">
        <v>contract_expiration_time</v>
      </c>
      <c r="D9" s="69" t="str">
        <v>合同结束时间</v>
      </c>
      <c r="E9" s="17" t="str">
        <v>STRING</v>
      </c>
      <c r="F9" s="17">
        <f>CONCAT(",",C9,"   ",E9,"   COMMENT'", D9,"'" )</f>
      </c>
      <c r="G9" s="17">
        <f>LEN(C9)</f>
      </c>
      <c r="H9" s="17"/>
      <c r="I9" s="17"/>
      <c r="J9" s="17"/>
      <c r="K9" s="17"/>
      <c r="L9" s="17"/>
      <c r="M9" s="17"/>
      <c r="N9" s="17"/>
    </row>
    <row r="10">
      <c r="A10" s="54">
        <v>10</v>
      </c>
      <c r="B10" s="70" t="str">
        <v>营销费用源表-财务-长期待摊</v>
      </c>
      <c r="C10" s="17" t="str">
        <v>management_classification</v>
      </c>
      <c r="D10" s="69" t="str">
        <v>管报分类</v>
      </c>
      <c r="E10" s="17" t="str">
        <v>STRING</v>
      </c>
      <c r="F10" s="17">
        <f>CONCAT(",",C10,"   ",E10,"   COMMENT'", D10,"'" )</f>
      </c>
      <c r="G10" s="17">
        <f>LEN(C10)</f>
      </c>
      <c r="H10" s="17"/>
      <c r="I10" s="17"/>
      <c r="J10" s="17"/>
      <c r="K10" s="17"/>
      <c r="L10" s="17"/>
      <c r="M10" s="17"/>
      <c r="N10" s="17"/>
    </row>
    <row r="11">
      <c r="A11" s="18">
        <v>11</v>
      </c>
      <c r="B11" s="70" t="str">
        <v>营销费用源表-财务-长期待摊</v>
      </c>
      <c r="C11" s="17" t="str">
        <v>business_reporting_person</v>
      </c>
      <c r="D11" s="69" t="str">
        <v>业务提报负责人</v>
      </c>
      <c r="E11" s="17" t="str">
        <v>STRING</v>
      </c>
      <c r="F11" s="17">
        <f>CONCAT(",",C11,"   ",E11,"   COMMENT'", D11,"'" )</f>
      </c>
      <c r="G11" s="17">
        <f>LEN(C11)</f>
      </c>
      <c r="H11" s="17"/>
      <c r="I11" s="17"/>
      <c r="J11" s="17"/>
      <c r="K11" s="17"/>
      <c r="L11" s="17"/>
      <c r="M11" s="17"/>
      <c r="N11" s="17"/>
    </row>
    <row r="12">
      <c r="A12" s="54">
        <v>12</v>
      </c>
      <c r="B12" s="70" t="str">
        <v>营销费用源表-财务-长期待摊</v>
      </c>
      <c r="C12" s="17" t="str">
        <v>prepayment_method</v>
      </c>
      <c r="D12" s="69" t="str">
        <v>预提方式</v>
      </c>
      <c r="E12" s="17" t="str">
        <v>STRING</v>
      </c>
      <c r="F12" s="17">
        <f>CONCAT(",",C12,"   ",E12,"   COMMENT'", D12,"'" )</f>
      </c>
      <c r="G12" s="17">
        <f>LEN(C12)</f>
      </c>
      <c r="H12" s="17"/>
      <c r="I12" s="17"/>
      <c r="J12" s="17"/>
      <c r="K12" s="17"/>
      <c r="L12" s="17"/>
      <c r="M12" s="17"/>
      <c r="N12" s="17"/>
    </row>
    <row r="13">
      <c r="A13" s="18">
        <v>13</v>
      </c>
      <c r="B13" s="70" t="str">
        <v>营销费用源表-财务-长期待摊</v>
      </c>
      <c r="C13" s="17" t="str">
        <v>prepaid_expense_account_no</v>
      </c>
      <c r="D13" s="69" t="str">
        <v>待摊费用入账凭证号</v>
      </c>
      <c r="E13" s="17" t="str">
        <v>STRING</v>
      </c>
      <c r="F13" s="17">
        <f>CONCAT(",",C13,"   ",E13,"   COMMENT'", D13,"'" )</f>
      </c>
      <c r="G13" s="17">
        <f>LEN(C13)</f>
      </c>
      <c r="H13" s="17"/>
      <c r="I13" s="17"/>
      <c r="J13" s="17"/>
      <c r="K13" s="17"/>
      <c r="L13" s="17"/>
      <c r="M13" s="17"/>
      <c r="N13" s="17"/>
    </row>
    <row r="14">
      <c r="A14" s="54">
        <v>14</v>
      </c>
      <c r="B14" s="70" t="str">
        <v>营销费用源表-财务-长期待摊</v>
      </c>
      <c r="C14" s="17" t="str">
        <v>amortized_expense_account_no</v>
      </c>
      <c r="D14" s="69" t="str">
        <v>摊销费用入账凭证号</v>
      </c>
      <c r="E14" s="17" t="str">
        <v>STRING</v>
      </c>
      <c r="F14" s="17">
        <f>CONCAT(",",C14,"   ",E14,"   COMMENT'", D14,"'" )</f>
      </c>
      <c r="G14" s="17">
        <f>LEN(C14)</f>
      </c>
      <c r="H14" s="17"/>
      <c r="I14" s="17"/>
      <c r="J14" s="17"/>
      <c r="K14" s="17"/>
      <c r="L14" s="17"/>
      <c r="M14" s="17"/>
      <c r="N14" s="17"/>
    </row>
    <row r="15">
      <c r="A15" s="18">
        <v>15</v>
      </c>
      <c r="B15" s="70" t="str">
        <v>营销费用源表-财务-长期待摊</v>
      </c>
      <c r="C15" s="17" t="str">
        <v>account_entry_department</v>
      </c>
      <c r="D15" s="69" t="str">
        <v>入账部门</v>
      </c>
      <c r="E15" s="17" t="str">
        <v>STRING</v>
      </c>
      <c r="F15" s="17">
        <f>CONCAT(",",C15,"   ",E15,"   COMMENT'", D15,"'" )</f>
      </c>
      <c r="G15" s="17">
        <f>LEN(C15)</f>
      </c>
      <c r="H15" s="17"/>
      <c r="I15" s="17"/>
      <c r="J15" s="17"/>
      <c r="K15" s="17"/>
      <c r="L15" s="17"/>
      <c r="M15" s="17"/>
      <c r="N15" s="17"/>
    </row>
    <row r="16">
      <c r="A16" s="54">
        <v>16</v>
      </c>
      <c r="B16" s="70" t="str">
        <v>营销费用源表-财务-长期待摊</v>
      </c>
      <c r="C16" s="17" t="str">
        <v>account_expense_type</v>
      </c>
      <c r="D16" s="69" t="str">
        <v>入账费用类型</v>
      </c>
      <c r="E16" s="17" t="str">
        <v>STRING</v>
      </c>
      <c r="F16" s="17">
        <f>CONCAT(",",C16,"   ",E16,"   COMMENT'", D16,"'" )</f>
      </c>
      <c r="G16" s="17">
        <f>LEN(C16)</f>
      </c>
      <c r="H16" s="17"/>
      <c r="I16" s="17"/>
      <c r="J16" s="17"/>
      <c r="K16" s="17"/>
      <c r="L16" s="17"/>
      <c r="M16" s="17"/>
      <c r="N16" s="17"/>
    </row>
    <row r="17">
      <c r="A17" s="18">
        <v>17</v>
      </c>
      <c r="B17" s="70" t="str">
        <v>营销费用源表-财务-长期待摊</v>
      </c>
      <c r="C17" s="17" t="str">
        <v>initial_amortization_amount</v>
      </c>
      <c r="D17" s="69" t="str" xml:space="preserve">
        <v>期初累计摊销额 </v>
      </c>
      <c r="E17" s="17" t="str">
        <v>DECIMAL(30, 8)</v>
      </c>
      <c r="F17" s="17">
        <f>CONCAT(",",C17,"   ",E17,"   COMMENT'", D17,"'" )</f>
      </c>
      <c r="G17" s="17">
        <f>LEN(C17)</f>
      </c>
      <c r="H17" s="17"/>
      <c r="I17" s="17"/>
      <c r="J17" s="17"/>
      <c r="K17" s="17"/>
      <c r="L17" s="17"/>
      <c r="M17" s="17"/>
      <c r="N17" s="17"/>
    </row>
    <row r="18">
      <c r="A18" s="54">
        <v>18</v>
      </c>
      <c r="B18" s="70" t="str">
        <v>营销费用源表-财务-长期待摊</v>
      </c>
      <c r="C18" s="17" t="str">
        <v>amortization_method</v>
      </c>
      <c r="D18" s="69" t="str">
        <v>摊销方式</v>
      </c>
      <c r="E18" s="17" t="str">
        <v>STRING</v>
      </c>
      <c r="F18" s="17">
        <f>CONCAT(",",C18,"   ",E18,"   COMMENT'", D18,"'" )</f>
      </c>
      <c r="G18" s="17">
        <f>LEN(C18)</f>
      </c>
      <c r="H18" s="17"/>
      <c r="I18" s="17"/>
      <c r="J18" s="17"/>
      <c r="K18" s="17"/>
      <c r="L18" s="17"/>
      <c r="M18" s="17"/>
      <c r="N18" s="17"/>
    </row>
    <row r="19">
      <c r="A19" s="18">
        <v>19</v>
      </c>
      <c r="B19" s="70" t="str">
        <v>营销费用源表-财务-长期待摊</v>
      </c>
      <c r="C19" s="17" t="str">
        <v>amortizations_total_count</v>
      </c>
      <c r="D19" s="69" t="str">
        <v>摊销总次数</v>
      </c>
      <c r="E19" s="17" t="str">
        <v>STRING</v>
      </c>
      <c r="F19" s="17">
        <f>CONCAT(",",C19,"   ",E19,"   COMMENT'", D19,"'" )</f>
      </c>
      <c r="G19" s="17">
        <f>LEN(C19)</f>
      </c>
      <c r="H19" s="17"/>
      <c r="I19" s="17"/>
      <c r="J19" s="17"/>
      <c r="K19" s="17"/>
      <c r="L19" s="17"/>
      <c r="M19" s="17"/>
      <c r="N19" s="17"/>
    </row>
    <row r="20">
      <c r="A20" s="54">
        <v>20</v>
      </c>
      <c r="B20" s="70" t="str">
        <v>营销费用源表-财务-长期待摊</v>
      </c>
      <c r="C20" s="17" t="str">
        <v>amortizations_cur_month_count</v>
      </c>
      <c r="D20" s="69" t="str">
        <v>本月摊销次数</v>
      </c>
      <c r="E20" s="17" t="str">
        <v>STRING</v>
      </c>
      <c r="F20" s="17">
        <f>CONCAT(",",C20,"   ",E20,"   COMMENT'", D20,"'" )</f>
      </c>
      <c r="G20" s="17">
        <f>LEN(C20)</f>
      </c>
      <c r="H20" s="17"/>
      <c r="I20" s="17"/>
      <c r="J20" s="17"/>
      <c r="K20" s="17"/>
      <c r="L20" s="17"/>
      <c r="M20" s="17"/>
      <c r="N20" s="17"/>
    </row>
    <row r="21">
      <c r="A21" s="18">
        <v>21</v>
      </c>
      <c r="B21" s="70" t="str">
        <v>营销费用源表-财务-长期待摊</v>
      </c>
      <c r="C21" s="17" t="str">
        <v>amortization_month</v>
      </c>
      <c r="D21" s="69" t="str">
        <v>摊销月份</v>
      </c>
      <c r="E21" s="17" t="str">
        <v>STRING</v>
      </c>
      <c r="F21" s="17">
        <f>CONCAT(",",C21,"   ",E21,"   COMMENT'", D21,"'" )</f>
      </c>
      <c r="G21" s="17">
        <f>LEN(C21)</f>
      </c>
      <c r="H21" s="17"/>
      <c r="I21" s="17"/>
      <c r="J21" s="17"/>
      <c r="K21" s="17"/>
      <c r="L21" s="17"/>
      <c r="M21" s="17"/>
      <c r="N21" s="17"/>
    </row>
    <row r="22">
      <c r="A22" s="54">
        <v>22</v>
      </c>
      <c r="B22" s="70" t="str">
        <v>营销费用源表-财务-长期待摊</v>
      </c>
      <c r="C22" s="17" t="str">
        <v>kingdee_account</v>
      </c>
      <c r="D22" s="69" t="str">
        <v>金蝶计入科目</v>
      </c>
      <c r="E22" s="17" t="str">
        <v>STRING</v>
      </c>
      <c r="F22" s="17">
        <f>CONCAT(",",C22,"   ",E22,"   COMMENT'", D22,"'" )</f>
      </c>
      <c r="G22" s="17">
        <f>LEN(C22)</f>
      </c>
      <c r="H22" s="17"/>
      <c r="I22" s="17"/>
      <c r="J22" s="17"/>
      <c r="K22" s="17"/>
      <c r="L22" s="17"/>
      <c r="M22" s="17"/>
      <c r="N22" s="17"/>
    </row>
    <row r="23">
      <c r="A23" s="18">
        <v>23</v>
      </c>
      <c r="B23" s="70" t="str">
        <v>营销费用源表-财务-长期待摊</v>
      </c>
      <c r="C23" s="17" t="str">
        <v>monthly_amortization_amount</v>
      </c>
      <c r="D23" s="69" t="str" xml:space="preserve">
        <v> 每月摊销额 </v>
      </c>
      <c r="E23" s="17" t="str">
        <v>DECIMAL(30, 8)</v>
      </c>
      <c r="F23" s="17">
        <f>CONCAT(",",C23,"   ",E23,"   COMMENT'", D23,"'" )</f>
      </c>
      <c r="G23" s="17">
        <f>LEN(C23)</f>
      </c>
      <c r="H23" s="17"/>
      <c r="I23" s="17"/>
      <c r="J23" s="17"/>
      <c r="K23" s="17"/>
      <c r="L23" s="17"/>
      <c r="M23" s="17"/>
      <c r="N23" s="17"/>
    </row>
    <row r="24">
      <c r="A24" s="54">
        <v>24</v>
      </c>
      <c r="B24" s="70" t="str">
        <v>营销费用源表-财务-长期待摊</v>
      </c>
      <c r="C24" s="17" t="str">
        <v>adjustment_amount</v>
      </c>
      <c r="D24" s="69" t="str" xml:space="preserve">
        <v> 累计调整 </v>
      </c>
      <c r="E24" s="17" t="str">
        <v>DECIMAL(30, 8)</v>
      </c>
      <c r="F24" s="17">
        <f>CONCAT(",",C24,"   ",E24,"   COMMENT'", D24,"'" )</f>
      </c>
      <c r="G24" s="17">
        <f>LEN(C24)</f>
      </c>
      <c r="H24" s="17"/>
      <c r="I24" s="17"/>
      <c r="J24" s="17"/>
      <c r="K24" s="17"/>
      <c r="L24" s="17"/>
      <c r="M24" s="17"/>
      <c r="N24" s="17"/>
    </row>
    <row r="25">
      <c r="A25" s="18">
        <v>25</v>
      </c>
      <c r="B25" s="70" t="str">
        <v>营销费用源表-财务-长期待摊</v>
      </c>
      <c r="C25" s="17" t="str">
        <v>cur_year_amortization_amount</v>
      </c>
      <c r="D25" s="69" t="str" xml:space="preserve">
        <v> 本年累计摊销额 </v>
      </c>
      <c r="E25" s="17" t="str">
        <v>DECIMAL(30, 8)</v>
      </c>
      <c r="F25" s="17">
        <f>CONCAT(",",C25,"   ",E25,"   COMMENT'", D25,"'" )</f>
      </c>
      <c r="G25" s="17">
        <f>LEN(C25)</f>
      </c>
      <c r="H25" s="17"/>
      <c r="I25" s="17"/>
      <c r="J25" s="17"/>
      <c r="K25" s="17"/>
      <c r="L25" s="17"/>
      <c r="M25" s="17"/>
      <c r="N25" s="17"/>
    </row>
    <row r="26">
      <c r="A26" s="54">
        <v>26</v>
      </c>
      <c r="B26" s="70" t="str">
        <v>营销费用源表-财务-长期待摊</v>
      </c>
      <c r="C26" s="17" t="str">
        <v>already_amortized_amount</v>
      </c>
      <c r="D26" s="69" t="str" xml:space="preserve">
        <v> 已摊销金额 </v>
      </c>
      <c r="E26" s="17" t="str">
        <v>DECIMAL(30, 8)</v>
      </c>
      <c r="F26" s="17">
        <f>CONCAT(",",C26,"   ",E26,"   COMMENT'", D26,"'" )</f>
      </c>
      <c r="G26" s="17">
        <f>LEN(C26)</f>
      </c>
      <c r="H26" s="17"/>
      <c r="I26" s="17"/>
      <c r="J26" s="17"/>
      <c r="K26" s="17"/>
      <c r="L26" s="17"/>
      <c r="M26" s="17"/>
      <c r="N26" s="17"/>
    </row>
    <row r="27">
      <c r="A27" s="18">
        <v>27</v>
      </c>
      <c r="B27" s="70" t="str">
        <v>营销费用源表-财务-长期待摊</v>
      </c>
      <c r="C27" s="17" t="str">
        <v>remaining_amortization_amount</v>
      </c>
      <c r="D27" s="69" t="str" xml:space="preserve">
        <v> 剩余摊销金额 </v>
      </c>
      <c r="E27" s="17" t="str">
        <v>DECIMAL(30, 8)</v>
      </c>
      <c r="F27" s="17">
        <f>CONCAT(",",C27,"   ",E27,"   COMMENT'", D27,"'" )</f>
      </c>
      <c r="G27" s="17">
        <f>LEN(C27)</f>
      </c>
      <c r="H27" s="17"/>
      <c r="I27" s="17"/>
      <c r="J27" s="17"/>
      <c r="K27" s="17"/>
      <c r="L27" s="17"/>
      <c r="M27" s="17"/>
      <c r="N27" s="17"/>
    </row>
    <row r="28">
      <c r="A28" s="54">
        <v>28</v>
      </c>
      <c r="B28" s="70" t="str">
        <v>营销费用源表-财务-长期待摊</v>
      </c>
      <c r="C28" s="17" t="str">
        <v>amortized_current_month</v>
      </c>
      <c r="D28" s="69" t="str">
        <v>截止到当月已摊销月份</v>
      </c>
      <c r="E28" s="17" t="str">
        <v>STRING</v>
      </c>
      <c r="F28" s="17">
        <f>CONCAT(",",C28,"   ",E28,"   COMMENT'", D28,"'" )</f>
      </c>
      <c r="G28" s="17">
        <f>LEN(C28)</f>
      </c>
      <c r="H28" s="17"/>
      <c r="I28" s="17"/>
      <c r="J28" s="17"/>
      <c r="K28" s="17"/>
      <c r="L28" s="17"/>
      <c r="M28" s="17"/>
      <c r="N28" s="17"/>
    </row>
    <row r="29">
      <c r="A29" s="18">
        <v>29</v>
      </c>
      <c r="B29" s="70" t="str">
        <v>营销费用源表-财务-长期待摊</v>
      </c>
      <c r="C29" s="17" t="str">
        <v>remaining_amortization_month</v>
      </c>
      <c r="D29" s="69" t="str">
        <v>截止到当月剩余摊销月份</v>
      </c>
      <c r="E29" s="17" t="str">
        <v>STRING</v>
      </c>
      <c r="F29" s="17">
        <f>CONCAT(",",C29,"   ",E29,"   COMMENT'", D29,"'" )</f>
      </c>
      <c r="G29" s="17">
        <f>LEN(C29)</f>
      </c>
      <c r="H29" s="17"/>
      <c r="I29" s="17"/>
      <c r="J29" s="17"/>
      <c r="K29" s="17"/>
      <c r="L29" s="17"/>
      <c r="M29" s="17"/>
      <c r="N29" s="17"/>
    </row>
    <row r="30">
      <c r="A30" s="54">
        <v>30</v>
      </c>
      <c r="B30" s="70" t="str">
        <v>营销费用源表-财务-长期待摊</v>
      </c>
      <c r="C30" s="17" t="str">
        <v>verification</v>
      </c>
      <c r="D30" s="69" t="str">
        <v>校验</v>
      </c>
      <c r="E30" s="17" t="str">
        <v>STRING</v>
      </c>
      <c r="F30" s="17">
        <f>CONCAT(",",C30,"   ",E30,"   COMMENT'", D30,"'" )</f>
      </c>
      <c r="G30" s="17">
        <f>LEN(C30)</f>
      </c>
      <c r="H30" s="17"/>
      <c r="I30" s="17"/>
      <c r="J30" s="17"/>
      <c r="K30" s="17"/>
      <c r="L30" s="17"/>
      <c r="M30" s="17"/>
      <c r="N30" s="17"/>
    </row>
    <row r="31">
      <c r="A31" s="18">
        <v>31</v>
      </c>
      <c r="B31" s="70" t="str">
        <v>营销费用源表-财务-长期待摊</v>
      </c>
      <c r="C31" s="17" t="str">
        <v>remark</v>
      </c>
      <c r="D31" s="69" t="str">
        <v>备注</v>
      </c>
      <c r="E31" s="17" t="str">
        <v>STRING</v>
      </c>
      <c r="F31" s="17">
        <f>CONCAT(",",C31,"   ",E31,"   COMMENT'", D31,"'" )</f>
      </c>
      <c r="G31" s="17">
        <f>LEN(C31)</f>
      </c>
      <c r="H31" s="17"/>
      <c r="I31" s="52"/>
      <c r="J31" s="52"/>
      <c r="K31" s="52"/>
      <c r="L31" s="52"/>
      <c r="M31" s="52"/>
      <c r="N31" s="52"/>
    </row>
    <row r="32">
      <c r="A32" s="54">
        <v>32</v>
      </c>
      <c r="B32" s="70" t="str">
        <v>营销费用源表-财务-长期待摊</v>
      </c>
      <c r="C32" s="17" t="str">
        <v>budget1_subject</v>
      </c>
      <c r="D32" s="69" t="str">
        <v>一级预算科目</v>
      </c>
      <c r="E32" s="17" t="str">
        <v>STRING</v>
      </c>
      <c r="F32" s="17">
        <f>CONCAT(",",C32,"   ",E32,"   COMMENT'", D32,"'" )</f>
      </c>
      <c r="G32" s="17">
        <f>LEN(C32)</f>
      </c>
      <c r="H32" s="33" t="str">
        <v>是否人工判断提供，或者有管报分类与其的匹配对应关系</v>
      </c>
      <c r="I32" s="17"/>
      <c r="J32" s="17"/>
      <c r="K32" s="17"/>
      <c r="L32" s="17"/>
      <c r="M32" s="17"/>
      <c r="N32" s="17"/>
    </row>
    <row r="33">
      <c r="A33" s="18">
        <v>33</v>
      </c>
      <c r="B33" s="70" t="str">
        <v>营销费用源表-财务-长期待摊</v>
      </c>
      <c r="C33" s="17" t="str">
        <v>budget2_subject</v>
      </c>
      <c r="D33" s="69" t="str">
        <v>二级预算科目</v>
      </c>
      <c r="E33" s="17" t="str">
        <v>STRING</v>
      </c>
      <c r="F33" s="17">
        <f>CONCAT(",",C33,"   ",E33,"   COMMENT'", D33,"'" )</f>
      </c>
      <c r="G33" s="17">
        <f>LEN(C33)</f>
      </c>
      <c r="H33" s="33" t="str">
        <v>是否人工判断提供，或者有管报分类与其的匹配对应关系</v>
      </c>
      <c r="I33" s="17"/>
      <c r="J33" s="17"/>
      <c r="K33" s="17"/>
      <c r="L33" s="17"/>
      <c r="M33" s="17"/>
      <c r="N33" s="17"/>
    </row>
    <row r="34">
      <c r="A34" s="54">
        <v>34</v>
      </c>
      <c r="B34" s="70" t="str">
        <v>营销费用源表-财务-长期待摊</v>
      </c>
      <c r="C34" s="17" t="str">
        <v>brand</v>
      </c>
      <c r="D34" s="69" t="str">
        <v>品牌</v>
      </c>
      <c r="E34" s="17" t="str">
        <v>STRING</v>
      </c>
      <c r="F34" s="17">
        <f>CONCAT(",",C34,"   ",E34,"   COMMENT'", D34,"'" )</f>
      </c>
      <c r="G34" s="17">
        <f>LEN(C34)</f>
      </c>
      <c r="H34" s="33" t="str">
        <v>是否人工判断提供，或者有管报分类与其的匹配对应关系</v>
      </c>
      <c r="I34" s="17"/>
      <c r="J34" s="17"/>
      <c r="K34" s="17"/>
      <c r="L34" s="17"/>
      <c r="M34" s="17"/>
      <c r="N34" s="17"/>
    </row>
    <row r="35">
      <c r="A35" s="18">
        <v>35</v>
      </c>
      <c r="B35" s="70" t="str">
        <v>营销费用源表-财务-长期待摊</v>
      </c>
      <c r="C35" s="17" t="str">
        <v>channel</v>
      </c>
      <c r="D35" s="69" t="str">
        <v>渠道</v>
      </c>
      <c r="E35" s="17" t="str">
        <v>STRING</v>
      </c>
      <c r="F35" s="17">
        <f>CONCAT(",",C35,"   ",E35,"   COMMENT'", D35,"'" )</f>
      </c>
      <c r="G35" s="17">
        <f>LEN(C35)</f>
      </c>
      <c r="H35" s="33" t="str">
        <v>是否人工判断提供，或者有管报分类与其的匹配对应关系</v>
      </c>
      <c r="I35" s="17"/>
      <c r="J35" s="17"/>
      <c r="K35" s="17"/>
      <c r="L35" s="17"/>
      <c r="M35" s="17"/>
      <c r="N35" s="17"/>
    </row>
    <row r="36">
      <c r="A36" s="54">
        <v>36</v>
      </c>
      <c r="B36" s="70" t="str">
        <v>营销费用源表-财务-长期待摊</v>
      </c>
      <c r="C36" s="17" t="str">
        <v>store_name</v>
      </c>
      <c r="D36" s="69" t="str">
        <v>店铺</v>
      </c>
      <c r="E36" s="17" t="str">
        <v>STRING</v>
      </c>
      <c r="F36" s="17">
        <f>CONCAT(",",C36,"   ",E36,"   COMMENT'", D36,"'" )</f>
      </c>
      <c r="G36" s="17">
        <f>LEN(C36)</f>
      </c>
      <c r="H36" s="33" t="str">
        <v>是否人工判断提供，或者有管报分类与其的匹配对应关系</v>
      </c>
      <c r="I36" s="17"/>
      <c r="J36" s="17"/>
      <c r="K36" s="17"/>
      <c r="L36" s="17"/>
      <c r="M36" s="17"/>
      <c r="N36" s="17"/>
    </row>
    <row r="37">
      <c r="A37" s="18">
        <v>37</v>
      </c>
      <c r="B37" s="70" t="str">
        <v>营销费用源表-财务-长期待摊</v>
      </c>
      <c r="C37" s="17" t="str">
        <v>source</v>
      </c>
      <c r="D37" s="69" t="str">
        <v>来源</v>
      </c>
      <c r="E37" s="17" t="str">
        <v>STRING</v>
      </c>
      <c r="F37" s="17">
        <f>CONCAT(",",C37,"   ",E37,"   COMMENT'", D37,"'" )</f>
      </c>
      <c r="G37" s="17">
        <f>LEN(C37)</f>
      </c>
      <c r="H37" s="33" t="str">
        <v>是否人工判断提供，或者有管报分类与其的匹配对应关系</v>
      </c>
      <c r="I37" s="17"/>
      <c r="J37" s="17"/>
      <c r="K37" s="17"/>
      <c r="L37" s="17"/>
      <c r="M37" s="17"/>
      <c r="N37" s="17"/>
    </row>
    <row r="38">
      <c r="A38" s="54">
        <v>38</v>
      </c>
      <c r="B38" s="70" t="str">
        <v>营销费用源表-财务-长期待摊</v>
      </c>
      <c r="C38" s="17" t="str">
        <v>business_unit</v>
      </c>
      <c r="D38" s="73" t="str">
        <v>业务单元</v>
      </c>
      <c r="E38" s="17" t="str">
        <v>STRING</v>
      </c>
      <c r="F38" s="17">
        <f>CONCAT(",",C38,"   ",E38,"   COMMENT'", D38,"'" )</f>
      </c>
      <c r="G38" s="17">
        <f>LEN(C38)</f>
      </c>
      <c r="H38" s="74" t="str">
        <v>是否人工判断提供，或者有管报分类与其的匹配对应关系</v>
      </c>
      <c r="I38" s="52"/>
      <c r="J38" s="52"/>
      <c r="K38" s="52"/>
      <c r="L38" s="52"/>
      <c r="M38" s="52"/>
      <c r="N38" s="52"/>
    </row>
    <row r="39">
      <c r="A39" s="32">
        <v>39</v>
      </c>
      <c r="B39" s="70" t="str">
        <v>营销费用源表-财务-长期待摊</v>
      </c>
      <c r="C39" s="17" t="str">
        <v>current_month</v>
      </c>
      <c r="D39" s="75" t="str">
        <v>当月月份</v>
      </c>
      <c r="E39" s="17" t="str">
        <v>STRING</v>
      </c>
      <c r="F39" s="17">
        <f>CONCAT(",",C39,"   ",E39,"   COMMENT'", D39,"'" )</f>
      </c>
      <c r="G39" s="17">
        <f>LEN(C39)</f>
      </c>
      <c r="H39" s="17"/>
      <c r="I39" s="17"/>
      <c r="J39" s="17"/>
      <c r="K39" s="17"/>
      <c r="L39" s="17"/>
      <c r="M39" s="17"/>
      <c r="N39" s="17"/>
    </row>
    <row r="40">
      <c r="A40" s="32">
        <v>40</v>
      </c>
      <c r="B40" s="70" t="str">
        <v>营销费用源表-财务-长期待摊</v>
      </c>
      <c r="C40" s="17" t="str">
        <v>current_month_amount</v>
      </c>
      <c r="D40" s="75" t="str">
        <v>当月摊销金额</v>
      </c>
      <c r="E40" s="17" t="str">
        <v>STRING</v>
      </c>
      <c r="F40" s="17">
        <f>CONCAT(",",C40,"   ",E40,"   COMMENT'", D40,"'" )</f>
      </c>
      <c r="G40" s="17">
        <f>LEN(C40)</f>
      </c>
      <c r="H40" s="17"/>
      <c r="I40" s="17"/>
      <c r="J40" s="17"/>
      <c r="K40" s="17"/>
      <c r="L40" s="17"/>
      <c r="M40" s="17"/>
      <c r="N40" s="17"/>
    </row>
    <row r="41">
      <c r="A41" s="1"/>
    </row>
    <row r="42">
      <c r="A42" s="1"/>
    </row>
    <row r="43">
      <c r="A43" s="1"/>
      <c r="B43" t="str">
        <v>序号</v>
      </c>
      <c r="C43" t="str">
        <v>serial number</v>
      </c>
      <c r="D43" t="str">
        <v>Integer</v>
      </c>
      <c r="E43" t="str">
        <v>-</v>
      </c>
    </row>
    <row r="44">
      <c r="A44" s="1"/>
      <c r="B44" t="str">
        <v>月份</v>
      </c>
      <c r="C44" t="str">
        <v>month</v>
      </c>
      <c r="D44" t="str">
        <v>Date</v>
      </c>
      <c r="E44" t="str">
        <v>-</v>
      </c>
    </row>
    <row r="45">
      <c r="A45" s="1"/>
      <c r="B45" t="str">
        <v>费用所属公司</v>
      </c>
      <c r="C45" t="str">
        <v>cost company</v>
      </c>
      <c r="D45" t="str">
        <v>String</v>
      </c>
      <c r="E45">
        <v>50</v>
      </c>
    </row>
    <row r="46">
      <c r="A46" s="1"/>
      <c r="B46" t="str">
        <v>合同编码</v>
      </c>
      <c r="C46" t="str">
        <v>contract code</v>
      </c>
      <c r="D46" t="str">
        <v>String</v>
      </c>
      <c r="E46">
        <v>50</v>
      </c>
    </row>
    <row r="47">
      <c r="A47" s="1"/>
      <c r="B47" t="str">
        <v>供应商名称</v>
      </c>
      <c r="C47" t="str">
        <v>supplier name</v>
      </c>
      <c r="D47" t="str">
        <v>String</v>
      </c>
      <c r="E47">
        <v>50</v>
      </c>
    </row>
    <row r="48">
      <c r="A48" s="1"/>
      <c r="B48" t="str">
        <v>合同金额</v>
      </c>
      <c r="C48" t="str">
        <v>contract amount</v>
      </c>
      <c r="D48" t="str">
        <v>Float</v>
      </c>
      <c r="E48" t="str">
        <v>-</v>
      </c>
    </row>
    <row r="49">
      <c r="A49" s="1"/>
      <c r="B49" t="str">
        <v>合同具体事项</v>
      </c>
      <c r="C49" t="str">
        <v>contract specific items</v>
      </c>
      <c r="D49" t="str">
        <v>String</v>
      </c>
      <c r="E49">
        <v>100</v>
      </c>
    </row>
    <row r="50">
      <c r="A50" s="1"/>
      <c r="B50" t="str">
        <v>合同生效时间</v>
      </c>
      <c r="C50" t="str">
        <v>contract effective time</v>
      </c>
      <c r="D50" t="str">
        <v>Date</v>
      </c>
      <c r="E50" t="str">
        <v>-</v>
      </c>
    </row>
    <row r="51">
      <c r="A51" s="1"/>
      <c r="B51" t="str">
        <v>合同结束时间</v>
      </c>
      <c r="C51" t="str">
        <v>contract expiration time</v>
      </c>
      <c r="D51" t="str">
        <v>Date</v>
      </c>
      <c r="E51" t="str">
        <v>-</v>
      </c>
    </row>
    <row r="52">
      <c r="A52" s="1"/>
      <c r="B52" t="str">
        <v>管报分类</v>
      </c>
      <c r="C52" t="str">
        <v>management classification</v>
      </c>
      <c r="D52" t="str">
        <v>String</v>
      </c>
      <c r="E52">
        <v>50</v>
      </c>
    </row>
    <row r="53">
      <c r="A53" s="1"/>
      <c r="B53" t="str">
        <v>业务提报负责人</v>
      </c>
      <c r="C53" t="str">
        <v>business reporting person</v>
      </c>
      <c r="D53" t="str">
        <v>String</v>
      </c>
      <c r="E53">
        <v>50</v>
      </c>
    </row>
    <row r="54">
      <c r="A54" s="1"/>
      <c r="B54" t="str">
        <v>预提方式</v>
      </c>
      <c r="C54" t="str">
        <v>prepayment method</v>
      </c>
      <c r="D54" t="str">
        <v>String</v>
      </c>
      <c r="E54">
        <v>50</v>
      </c>
    </row>
    <row r="55">
      <c r="A55" s="1"/>
      <c r="B55" t="str">
        <v>待摊费用入账凭证号</v>
      </c>
      <c r="C55" t="str">
        <v>prepaid expense account voucher number</v>
      </c>
      <c r="D55" t="str">
        <v>String</v>
      </c>
      <c r="E55">
        <v>50</v>
      </c>
    </row>
    <row r="56">
      <c r="A56" s="1"/>
      <c r="B56" t="str">
        <v>摊销费用入账凭证号</v>
      </c>
      <c r="C56" t="str">
        <v>amortized expense account voucher number</v>
      </c>
      <c r="D56" t="str">
        <v>String</v>
      </c>
      <c r="E56">
        <v>50</v>
      </c>
    </row>
    <row r="57">
      <c r="A57" s="1"/>
      <c r="B57" t="str">
        <v>入账部门</v>
      </c>
      <c r="C57" t="str">
        <v>account entry department</v>
      </c>
      <c r="D57" t="str">
        <v>String</v>
      </c>
      <c r="E57">
        <v>50</v>
      </c>
    </row>
    <row r="58">
      <c r="A58" s="1"/>
      <c r="B58" t="str">
        <v>入账费用类型</v>
      </c>
      <c r="C58" t="str">
        <v>account expense type</v>
      </c>
      <c r="D58" t="str">
        <v>String</v>
      </c>
      <c r="E58">
        <v>50</v>
      </c>
    </row>
    <row r="59">
      <c r="A59" s="1"/>
      <c r="B59" t="str">
        <v>期初累计摊销额</v>
      </c>
      <c r="C59" t="str">
        <v>initial accumulated amortization amount</v>
      </c>
      <c r="D59" t="str">
        <v>Float</v>
      </c>
      <c r="E59" t="str">
        <v>-</v>
      </c>
    </row>
    <row r="60">
      <c r="A60" s="1"/>
      <c r="B60" t="str">
        <v>摊销方式</v>
      </c>
      <c r="C60" t="str">
        <v>amortization method</v>
      </c>
      <c r="D60" t="str">
        <v>String</v>
      </c>
      <c r="E60">
        <v>50</v>
      </c>
    </row>
    <row r="61">
      <c r="A61" s="1"/>
      <c r="B61" t="str">
        <v>摊销总次数</v>
      </c>
      <c r="C61" t="str">
        <v>total number of amortizations</v>
      </c>
      <c r="D61" t="str">
        <v>Integer</v>
      </c>
      <c r="E61" t="str">
        <v>-</v>
      </c>
    </row>
    <row r="62">
      <c r="A62" s="1"/>
      <c r="B62" t="str">
        <v>本月摊销次数</v>
      </c>
      <c r="C62" t="str">
        <v>number of amortizations in current month</v>
      </c>
      <c r="D62" t="str">
        <v>Integer</v>
      </c>
      <c r="E62" t="str">
        <v>-</v>
      </c>
    </row>
    <row r="63">
      <c r="A63" s="1"/>
      <c r="B63" t="str">
        <v>摊销月份</v>
      </c>
      <c r="C63" t="str">
        <v>amortization month</v>
      </c>
      <c r="D63" t="str">
        <v>Date</v>
      </c>
      <c r="E63" t="str">
        <v>-</v>
      </c>
    </row>
    <row r="64">
      <c r="A64" s="1"/>
      <c r="B64" t="str">
        <v>金蝶计入科目</v>
      </c>
      <c r="C64" t="str">
        <v>Kingdee account</v>
      </c>
      <c r="D64" t="str">
        <v>String</v>
      </c>
      <c r="E64">
        <v>50</v>
      </c>
    </row>
    <row r="65">
      <c r="A65" s="1"/>
      <c r="B65" t="str">
        <v>每月摊销额</v>
      </c>
      <c r="C65" t="str">
        <v>monthly amortization amount</v>
      </c>
      <c r="D65" t="str">
        <v>Float</v>
      </c>
      <c r="E65" t="str">
        <v>-</v>
      </c>
    </row>
    <row r="66">
      <c r="A66" s="1"/>
      <c r="B66" t="str">
        <v>累计调整</v>
      </c>
      <c r="C66" t="str">
        <v>accumulated adjustment</v>
      </c>
      <c r="D66" t="str">
        <v>Float</v>
      </c>
      <c r="E66" t="str">
        <v>-</v>
      </c>
    </row>
    <row r="67">
      <c r="A67" s="1"/>
      <c r="B67" t="str">
        <v>本年累计摊销额</v>
      </c>
      <c r="C67" t="str">
        <v>current year accumulated amortization amount</v>
      </c>
      <c r="D67" t="str">
        <v>Float</v>
      </c>
      <c r="E67" t="str">
        <v>-</v>
      </c>
    </row>
    <row r="68">
      <c r="A68" s="1"/>
      <c r="B68" t="str">
        <v>已摊销金额</v>
      </c>
      <c r="C68" t="str">
        <v>amount already amortized</v>
      </c>
      <c r="D68" t="str">
        <v>Float</v>
      </c>
      <c r="E68" t="str">
        <v>-</v>
      </c>
    </row>
    <row r="69">
      <c r="A69" s="1"/>
      <c r="B69" t="str">
        <v>剩余摊销金额</v>
      </c>
      <c r="C69" t="str">
        <v>remaining amortization amount</v>
      </c>
      <c r="D69" t="str">
        <v>Float</v>
      </c>
      <c r="E69" t="str">
        <v>-</v>
      </c>
    </row>
    <row r="70">
      <c r="A70" s="1"/>
      <c r="B70" t="str">
        <v>截止到当月已摊销月份</v>
      </c>
      <c r="C70" t="str">
        <v>amortized month up to current month</v>
      </c>
      <c r="D70" t="str">
        <v>Date</v>
      </c>
      <c r="E70" t="str">
        <v>-</v>
      </c>
    </row>
    <row r="71">
      <c r="A71" s="1"/>
      <c r="B71" t="str">
        <v>截止到当月剩余摊销月份</v>
      </c>
      <c r="C71" t="str">
        <v>remaining amortization months up to current month</v>
      </c>
      <c r="D71" t="str">
        <v>Integer</v>
      </c>
      <c r="E71" t="str">
        <v>-</v>
      </c>
    </row>
    <row r="72">
      <c r="A72" s="1"/>
      <c r="B72" t="str">
        <v>校验</v>
      </c>
      <c r="C72" t="str">
        <v>verification</v>
      </c>
      <c r="D72" t="str">
        <v>String</v>
      </c>
      <c r="E72">
        <v>50</v>
      </c>
    </row>
    <row r="73">
      <c r="A73" s="1"/>
      <c r="B73" t="str">
        <v>备注</v>
      </c>
      <c r="C73" t="str">
        <v>remark</v>
      </c>
      <c r="D73" t="str">
        <v>String</v>
      </c>
      <c r="E73">
        <v>100</v>
      </c>
    </row>
    <row r="74">
      <c r="A74" s="1"/>
      <c r="B74" t="str">
        <v>一级预算科目</v>
      </c>
      <c r="C74" t="str">
        <v>level-one budget subject</v>
      </c>
      <c r="D74" t="str">
        <v>String</v>
      </c>
      <c r="E74">
        <v>50</v>
      </c>
    </row>
    <row r="75">
      <c r="A75" s="1"/>
      <c r="B75" t="str">
        <v>二级预算科目</v>
      </c>
      <c r="C75" t="str">
        <v>level-two budget subject</v>
      </c>
      <c r="D75" t="str">
        <v>String</v>
      </c>
      <c r="E75">
        <v>50</v>
      </c>
    </row>
    <row r="76">
      <c r="A76" s="1"/>
      <c r="B76" t="str">
        <v>品牌</v>
      </c>
      <c r="C76" t="str">
        <v>brand</v>
      </c>
      <c r="D76" t="str">
        <v>String</v>
      </c>
      <c r="E76">
        <v>50</v>
      </c>
    </row>
    <row r="77">
      <c r="A77" s="1"/>
      <c r="B77" t="str">
        <v>渠道</v>
      </c>
      <c r="C77" t="str">
        <v>channel</v>
      </c>
      <c r="D77" t="str">
        <v>String</v>
      </c>
      <c r="E77">
        <v>50</v>
      </c>
    </row>
    <row r="78">
      <c r="A78" s="1"/>
      <c r="B78" t="str">
        <v>店铺</v>
      </c>
      <c r="C78" t="str">
        <v>store</v>
      </c>
      <c r="D78" t="str">
        <v>String</v>
      </c>
      <c r="E78">
        <v>50</v>
      </c>
    </row>
    <row r="79">
      <c r="A79" s="1"/>
      <c r="B79" t="str">
        <v>来源</v>
      </c>
      <c r="C79" t="str">
        <v>source</v>
      </c>
      <c r="D79" t="str">
        <v>String</v>
      </c>
      <c r="E79">
        <v>50</v>
      </c>
    </row>
    <row r="80">
      <c r="A80" s="1"/>
      <c r="B80" t="str">
        <v>业务单元</v>
      </c>
      <c r="C80" t="str">
        <v>business unit</v>
      </c>
      <c r="D80" t="str">
        <v>String</v>
      </c>
      <c r="E80">
        <v>50</v>
      </c>
    </row>
    <row r="81">
      <c r="A81" s="1"/>
      <c r="B81" t="str">
        <v>当月月份</v>
      </c>
      <c r="C81" t="str">
        <v>current month</v>
      </c>
      <c r="D81" t="str">
        <v>Date</v>
      </c>
      <c r="E81" t="str">
        <v>-</v>
      </c>
    </row>
    <row r="82">
      <c r="A82" s="1"/>
      <c r="B82" t="str">
        <v>当月摊销金额</v>
      </c>
      <c r="C82" t="str">
        <v>current month amortization amount</v>
      </c>
      <c r="D82" t="str">
        <v>Float</v>
      </c>
      <c r="E82" t="str">
        <v>-</v>
      </c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</sheetData>
  <mergeCells>
    <mergeCell ref="A1:H1"/>
    <mergeCell ref="I1:N1"/>
  </mergeCells>
  <picture r:id="rId1"/>
</worksheet>
</file>

<file path=xl/worksheets/sheet3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8"/>
    <col collapsed="false" customWidth="true" hidden="false" max="3" min="3" style="0" width="4"/>
    <col collapsed="false" customWidth="true" hidden="false" max="4" min="4" style="0" width="15"/>
    <col collapsed="false" customWidth="true" hidden="false" max="5" min="5" style="0" width="7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8"/>
    <col collapsed="false" customWidth="true" hidden="false" max="10" min="10" style="0" width="11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8"/>
    <col collapsed="false" customWidth="true" hidden="false" max="14" min="14" style="0" width="11"/>
    <col collapsed="false" customWidth="true" hidden="false" max="15" min="15" style="0" width="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1" t="str">
        <v>数据模型属性定义</v>
      </c>
      <c r="B1" s="78"/>
      <c r="C1" s="78"/>
      <c r="D1" s="78"/>
      <c r="E1" s="78"/>
      <c r="F1" s="78"/>
      <c r="G1" s="78"/>
      <c r="H1" s="78"/>
      <c r="I1" s="78"/>
      <c r="J1" s="79" t="str">
        <v>系统溯源分析</v>
      </c>
      <c r="K1" s="79"/>
      <c r="L1" s="79"/>
      <c r="M1" s="79"/>
      <c r="N1" s="79"/>
      <c r="O1" s="79"/>
    </row>
    <row r="2">
      <c r="A2" s="77" t="str">
        <v>序号</v>
      </c>
      <c r="B2" s="10" t="str">
        <v>模型名称</v>
      </c>
      <c r="C2" s="10" t="str">
        <v>字段</v>
      </c>
      <c r="D2" s="10" t="str">
        <v>字段描述</v>
      </c>
      <c r="E2" s="10" t="str">
        <v>示例</v>
      </c>
      <c r="F2" s="10" t="str">
        <v>字段类型</v>
      </c>
      <c r="G2" s="10" t="str">
        <v>字段长度</v>
      </c>
      <c r="H2" s="10" t="str">
        <v>是否主键</v>
      </c>
      <c r="I2" s="10" t="str">
        <v>字段备注</v>
      </c>
      <c r="J2" s="11" t="str">
        <v>数据来源系统</v>
      </c>
      <c r="K2" s="11" t="str">
        <v>数据来源表</v>
      </c>
      <c r="L2" s="11" t="str">
        <v>来源表描述</v>
      </c>
      <c r="M2" s="12" t="str">
        <v>来源字段</v>
      </c>
      <c r="N2" s="12" t="str">
        <v>来源字段描述</v>
      </c>
      <c r="O2" s="12" t="str">
        <v>备注</v>
      </c>
    </row>
    <row r="3">
      <c r="A3" s="70">
        <v>1</v>
      </c>
      <c r="B3" s="18"/>
      <c r="C3" s="18"/>
      <c r="D3" s="17" t="str">
        <v>合同具体事项</v>
      </c>
      <c r="E3" s="18"/>
      <c r="F3" s="18"/>
      <c r="G3" s="18"/>
      <c r="H3" s="18"/>
      <c r="I3" s="18"/>
      <c r="J3" s="14"/>
      <c r="K3" s="14"/>
      <c r="L3" s="14"/>
      <c r="M3" s="14"/>
      <c r="N3" s="14"/>
      <c r="O3" s="14"/>
    </row>
    <row r="4">
      <c r="A4" s="32">
        <v>2</v>
      </c>
      <c r="B4" s="17"/>
      <c r="C4" s="17"/>
      <c r="D4" s="17" t="str">
        <v>长期待摊分摊日期</v>
      </c>
      <c r="E4" s="54" t="str">
        <v>2023-02</v>
      </c>
      <c r="F4" s="17"/>
      <c r="G4" s="17"/>
      <c r="H4" s="17"/>
      <c r="I4" s="17"/>
      <c r="J4" s="17"/>
      <c r="K4" s="17"/>
      <c r="L4" s="17"/>
      <c r="M4" s="17"/>
      <c r="N4" s="17"/>
      <c r="O4" s="17"/>
    </row>
    <row r="5">
      <c r="A5" s="32">
        <v>3</v>
      </c>
      <c r="B5" s="17"/>
      <c r="C5" s="17"/>
      <c r="D5" s="17" t="str">
        <v>长期待摊分摊金额</v>
      </c>
      <c r="E5" s="54"/>
      <c r="F5" s="17"/>
      <c r="G5" s="17"/>
      <c r="H5" s="17"/>
      <c r="I5" s="17"/>
      <c r="J5" s="17"/>
      <c r="K5" s="17"/>
      <c r="L5" s="17"/>
      <c r="M5" s="17"/>
      <c r="N5" s="17"/>
      <c r="O5" s="17"/>
    </row>
    <row r="6">
      <c r="A6" s="32">
        <v>4</v>
      </c>
      <c r="B6" s="17"/>
      <c r="C6" s="17"/>
      <c r="D6" s="17" t="str">
        <v>预付待摊分摊日期</v>
      </c>
      <c r="E6" s="54" t="str">
        <v>2023-02</v>
      </c>
      <c r="F6" s="17"/>
      <c r="G6" s="17"/>
      <c r="H6" s="17"/>
      <c r="I6" s="17"/>
      <c r="J6" s="17"/>
      <c r="K6" s="17"/>
      <c r="L6" s="17"/>
      <c r="M6" s="17"/>
      <c r="N6" s="17"/>
      <c r="O6" s="17"/>
    </row>
    <row r="7">
      <c r="A7" s="32">
        <v>5</v>
      </c>
      <c r="B7" s="17"/>
      <c r="C7" s="17"/>
      <c r="D7" s="17" t="str">
        <v>预付待摊分摊金额</v>
      </c>
      <c r="E7" s="54"/>
      <c r="F7" s="17"/>
      <c r="G7" s="17"/>
      <c r="H7" s="17"/>
      <c r="I7" s="17"/>
      <c r="J7" s="17"/>
      <c r="K7" s="17"/>
      <c r="L7" s="17"/>
      <c r="M7" s="17"/>
      <c r="N7" s="17"/>
      <c r="O7" s="17"/>
    </row>
    <row r="8">
      <c r="A8" s="1"/>
      <c r="E8" s="1"/>
    </row>
    <row r="9">
      <c r="A9" s="1"/>
      <c r="E9" s="1"/>
    </row>
    <row r="10">
      <c r="A10" s="1"/>
      <c r="E10" s="1"/>
    </row>
    <row r="11">
      <c r="A11" s="1"/>
      <c r="E11" s="1"/>
    </row>
    <row r="12">
      <c r="A12" s="1"/>
      <c r="E12" s="1"/>
    </row>
    <row r="13">
      <c r="A13" s="1"/>
      <c r="E13" s="1"/>
    </row>
    <row r="14">
      <c r="A14" s="1"/>
      <c r="E14" s="1"/>
    </row>
    <row r="15">
      <c r="A15" s="1"/>
      <c r="E15" s="1"/>
    </row>
    <row r="16">
      <c r="A16" s="1"/>
      <c r="E16" s="1"/>
    </row>
    <row r="17">
      <c r="A17" s="1"/>
      <c r="E17" s="1"/>
    </row>
    <row r="18">
      <c r="A18" s="1"/>
      <c r="E18" s="1"/>
    </row>
    <row r="19">
      <c r="A19" s="1"/>
      <c r="E19" s="1"/>
    </row>
    <row r="20">
      <c r="A20" s="1"/>
      <c r="E20" s="1"/>
    </row>
    <row r="21">
      <c r="A21" s="1"/>
      <c r="E21" s="1"/>
    </row>
    <row r="22">
      <c r="A22" s="1"/>
      <c r="E22" s="1"/>
    </row>
    <row r="23">
      <c r="A23" s="1"/>
      <c r="E23" s="1"/>
    </row>
    <row r="24">
      <c r="A24" s="1"/>
      <c r="E24" s="1"/>
    </row>
    <row r="25">
      <c r="A25" s="1"/>
      <c r="E25" s="1"/>
    </row>
    <row r="26">
      <c r="A26" s="1"/>
      <c r="E26" s="1"/>
    </row>
    <row r="27">
      <c r="A27" s="1"/>
      <c r="E27" s="1"/>
    </row>
    <row r="28">
      <c r="A28" s="1"/>
      <c r="E28" s="1"/>
    </row>
    <row r="29">
      <c r="A29" s="1"/>
      <c r="E29" s="1"/>
    </row>
    <row r="30">
      <c r="A30" s="1"/>
      <c r="E30" s="1"/>
    </row>
    <row r="31">
      <c r="A31" s="1"/>
      <c r="E31" s="1"/>
    </row>
    <row r="32">
      <c r="A32" s="1"/>
      <c r="E32" s="1"/>
    </row>
    <row r="33">
      <c r="A33" s="1"/>
      <c r="E33" s="1"/>
    </row>
    <row r="34">
      <c r="A34" s="1"/>
      <c r="E34" s="1"/>
    </row>
    <row r="35">
      <c r="A35" s="1"/>
      <c r="E35" s="1"/>
    </row>
    <row r="36">
      <c r="A36" s="1"/>
      <c r="E36" s="1"/>
    </row>
    <row r="37">
      <c r="A37" s="1"/>
      <c r="E37" s="1"/>
    </row>
    <row r="38">
      <c r="A38" s="1"/>
      <c r="E38" s="1"/>
    </row>
    <row r="39">
      <c r="A39" s="1"/>
      <c r="E39" s="1"/>
    </row>
    <row r="40">
      <c r="A40" s="1"/>
      <c r="E40" s="1"/>
    </row>
    <row r="41">
      <c r="A41" s="1"/>
      <c r="E41" s="1"/>
    </row>
    <row r="42">
      <c r="A42" s="1"/>
      <c r="E42" s="1"/>
    </row>
    <row r="43">
      <c r="A43" s="1"/>
      <c r="E43" s="1"/>
    </row>
    <row r="44">
      <c r="A44" s="1"/>
      <c r="E44" s="1"/>
    </row>
    <row r="45">
      <c r="A45" s="1"/>
      <c r="E45" s="1"/>
    </row>
    <row r="46">
      <c r="A46" s="1"/>
      <c r="E46" s="1"/>
    </row>
    <row r="47">
      <c r="A47" s="1"/>
      <c r="E47" s="1"/>
    </row>
    <row r="48">
      <c r="A48" s="1"/>
      <c r="E48" s="1"/>
    </row>
    <row r="49">
      <c r="A49" s="1"/>
      <c r="E49" s="1"/>
    </row>
    <row r="50">
      <c r="A50" s="1"/>
      <c r="E50" s="1"/>
    </row>
    <row r="51">
      <c r="A51" s="1"/>
      <c r="E51" s="1"/>
    </row>
    <row r="52">
      <c r="A52" s="1"/>
      <c r="E52" s="1"/>
    </row>
    <row r="53">
      <c r="A53" s="1"/>
      <c r="E53" s="1"/>
    </row>
    <row r="54">
      <c r="A54" s="1"/>
      <c r="E54" s="1"/>
    </row>
    <row r="55">
      <c r="A55" s="1"/>
      <c r="E55" s="1"/>
    </row>
    <row r="56">
      <c r="A56" s="1"/>
      <c r="E56" s="1"/>
    </row>
    <row r="57">
      <c r="A57" s="1"/>
      <c r="E57" s="1"/>
    </row>
    <row r="58">
      <c r="A58" s="1"/>
      <c r="E58" s="1"/>
    </row>
    <row r="59">
      <c r="A59" s="1"/>
      <c r="E59" s="1"/>
    </row>
    <row r="60">
      <c r="A60" s="1"/>
      <c r="E60" s="1"/>
    </row>
    <row r="61">
      <c r="A61" s="1"/>
      <c r="E61" s="1"/>
    </row>
    <row r="62">
      <c r="A62" s="1"/>
      <c r="E62" s="1"/>
    </row>
    <row r="63">
      <c r="A63" s="1"/>
      <c r="E63" s="1"/>
    </row>
    <row r="64">
      <c r="A64" s="1"/>
      <c r="E64" s="1"/>
    </row>
    <row r="65">
      <c r="A65" s="1"/>
      <c r="E65" s="1"/>
    </row>
    <row r="66">
      <c r="A66" s="1"/>
      <c r="E66" s="1"/>
    </row>
    <row r="67">
      <c r="A67" s="1"/>
      <c r="E67" s="1"/>
    </row>
    <row r="68">
      <c r="A68" s="1"/>
      <c r="E68" s="1"/>
    </row>
    <row r="69">
      <c r="A69" s="1"/>
      <c r="E69" s="1"/>
    </row>
    <row r="70">
      <c r="A70" s="1"/>
      <c r="E70" s="1"/>
    </row>
    <row r="71">
      <c r="A71" s="1"/>
      <c r="E71" s="1"/>
    </row>
    <row r="72">
      <c r="A72" s="1"/>
      <c r="E72" s="1"/>
    </row>
    <row r="73">
      <c r="A73" s="1"/>
      <c r="E73" s="1"/>
    </row>
    <row r="74">
      <c r="A74" s="1"/>
      <c r="E74" s="1"/>
    </row>
    <row r="75">
      <c r="A75" s="1"/>
      <c r="E75" s="1"/>
    </row>
    <row r="76">
      <c r="A76" s="1"/>
      <c r="E76" s="1"/>
    </row>
    <row r="77">
      <c r="A77" s="1"/>
      <c r="E77" s="1"/>
    </row>
    <row r="78">
      <c r="A78" s="1"/>
      <c r="E78" s="1"/>
    </row>
    <row r="79">
      <c r="A79" s="1"/>
      <c r="E79" s="1"/>
    </row>
    <row r="80">
      <c r="A80" s="1"/>
      <c r="E80" s="1"/>
    </row>
    <row r="81">
      <c r="A81" s="1"/>
      <c r="E81" s="1"/>
    </row>
    <row r="82">
      <c r="A82" s="1"/>
      <c r="E82" s="1"/>
    </row>
    <row r="83">
      <c r="A83" s="1"/>
      <c r="E83" s="1"/>
    </row>
    <row r="84">
      <c r="A84" s="1"/>
      <c r="E84" s="1"/>
    </row>
    <row r="85">
      <c r="A85" s="1"/>
      <c r="E85" s="1"/>
    </row>
    <row r="86">
      <c r="A86" s="1"/>
      <c r="E86" s="1"/>
    </row>
    <row r="87">
      <c r="A87" s="1"/>
      <c r="E87" s="1"/>
    </row>
    <row r="88">
      <c r="A88" s="1"/>
      <c r="E88" s="1"/>
    </row>
    <row r="89">
      <c r="A89" s="1"/>
      <c r="E89" s="1"/>
    </row>
    <row r="90">
      <c r="A90" s="1"/>
      <c r="E90" s="1"/>
    </row>
    <row r="91">
      <c r="A91" s="1"/>
      <c r="E91" s="1"/>
    </row>
    <row r="92">
      <c r="A92" s="1"/>
      <c r="E92" s="1"/>
    </row>
    <row r="93">
      <c r="A93" s="1"/>
      <c r="E93" s="1"/>
    </row>
    <row r="94">
      <c r="A94" s="1"/>
      <c r="E94" s="1"/>
    </row>
    <row r="95">
      <c r="A95" s="1"/>
      <c r="E95" s="1"/>
    </row>
    <row r="96">
      <c r="A96" s="1"/>
      <c r="E96" s="1"/>
    </row>
    <row r="97">
      <c r="A97" s="1"/>
      <c r="E97" s="1"/>
    </row>
    <row r="98">
      <c r="A98" s="1"/>
      <c r="E98" s="1"/>
    </row>
    <row r="99">
      <c r="A99" s="1"/>
      <c r="E99" s="1"/>
    </row>
    <row r="100">
      <c r="A100" s="1"/>
      <c r="E100" s="1"/>
    </row>
    <row r="101">
      <c r="A101" s="1"/>
      <c r="E101" s="1"/>
    </row>
    <row r="102">
      <c r="A102" s="1"/>
      <c r="E102" s="1"/>
    </row>
    <row r="103">
      <c r="A103" s="1"/>
      <c r="E103" s="1"/>
    </row>
    <row r="104">
      <c r="A104" s="1"/>
      <c r="E104" s="1"/>
    </row>
    <row r="105">
      <c r="A105" s="1"/>
      <c r="E105" s="1"/>
    </row>
    <row r="106">
      <c r="A106" s="1"/>
      <c r="E106" s="1"/>
    </row>
    <row r="107">
      <c r="A107" s="1"/>
      <c r="E107" s="1"/>
    </row>
    <row r="108">
      <c r="A108" s="1"/>
      <c r="E108" s="1"/>
    </row>
    <row r="109">
      <c r="A109" s="1"/>
      <c r="E109" s="1"/>
    </row>
    <row r="110">
      <c r="A110" s="1"/>
      <c r="E110" s="1"/>
    </row>
    <row r="111">
      <c r="A111" s="1"/>
      <c r="E111" s="1"/>
    </row>
    <row r="112">
      <c r="A112" s="1"/>
      <c r="E112" s="1"/>
    </row>
    <row r="113">
      <c r="A113" s="1"/>
      <c r="E113" s="1"/>
    </row>
    <row r="114">
      <c r="A114" s="1"/>
      <c r="E114" s="1"/>
    </row>
    <row r="115">
      <c r="A115" s="1"/>
      <c r="E115" s="1"/>
    </row>
    <row r="116">
      <c r="A116" s="1"/>
      <c r="E116" s="1"/>
    </row>
    <row r="117">
      <c r="A117" s="1"/>
      <c r="E117" s="1"/>
    </row>
    <row r="118">
      <c r="A118" s="1"/>
      <c r="E118" s="1"/>
    </row>
    <row r="119">
      <c r="A119" s="1"/>
      <c r="E119" s="1"/>
    </row>
    <row r="120">
      <c r="A120" s="1"/>
      <c r="E120" s="1"/>
    </row>
    <row r="121">
      <c r="A121" s="1"/>
      <c r="E121" s="1"/>
    </row>
    <row r="122">
      <c r="A122" s="1"/>
      <c r="E122" s="1"/>
    </row>
    <row r="123">
      <c r="A123" s="1"/>
      <c r="E123" s="1"/>
    </row>
    <row r="124">
      <c r="A124" s="1"/>
      <c r="E124" s="1"/>
    </row>
    <row r="125">
      <c r="A125" s="1"/>
      <c r="E125" s="1"/>
    </row>
    <row r="126">
      <c r="A126" s="1"/>
      <c r="E126" s="1"/>
    </row>
    <row r="127">
      <c r="A127" s="1"/>
      <c r="E127" s="1"/>
    </row>
    <row r="128">
      <c r="A128" s="1"/>
      <c r="E128" s="1"/>
    </row>
    <row r="129">
      <c r="A129" s="1"/>
      <c r="E129" s="1"/>
    </row>
    <row r="130">
      <c r="A130" s="1"/>
      <c r="E130" s="1"/>
    </row>
    <row r="131">
      <c r="A131" s="1"/>
      <c r="E131" s="1"/>
    </row>
    <row r="132">
      <c r="A132" s="1"/>
      <c r="E132" s="1"/>
    </row>
    <row r="133">
      <c r="A133" s="1"/>
      <c r="E133" s="1"/>
    </row>
    <row r="134">
      <c r="A134" s="1"/>
      <c r="E134" s="1"/>
    </row>
    <row r="135">
      <c r="A135" s="1"/>
      <c r="E135" s="1"/>
    </row>
    <row r="136">
      <c r="A136" s="1"/>
      <c r="E136" s="1"/>
    </row>
    <row r="137">
      <c r="A137" s="1"/>
      <c r="E137" s="1"/>
    </row>
    <row r="138">
      <c r="A138" s="1"/>
      <c r="E138" s="1"/>
    </row>
    <row r="139">
      <c r="A139" s="1"/>
      <c r="E139" s="1"/>
    </row>
    <row r="140">
      <c r="A140" s="1"/>
      <c r="E140" s="1"/>
    </row>
    <row r="141">
      <c r="A141" s="1"/>
      <c r="E141" s="1"/>
    </row>
    <row r="142">
      <c r="A142" s="1"/>
      <c r="E142" s="1"/>
    </row>
    <row r="143">
      <c r="A143" s="1"/>
      <c r="E143" s="1"/>
    </row>
    <row r="144">
      <c r="A144" s="1"/>
      <c r="E144" s="1"/>
    </row>
    <row r="145">
      <c r="A145" s="1"/>
      <c r="E145" s="1"/>
    </row>
    <row r="146">
      <c r="A146" s="1"/>
      <c r="E146" s="1"/>
    </row>
    <row r="147">
      <c r="A147" s="1"/>
      <c r="E147" s="1"/>
    </row>
    <row r="148">
      <c r="A148" s="1"/>
      <c r="E148" s="1"/>
    </row>
    <row r="149">
      <c r="A149" s="1"/>
      <c r="E149" s="1"/>
    </row>
    <row r="150">
      <c r="A150" s="1"/>
      <c r="E150" s="1"/>
    </row>
    <row r="151">
      <c r="A151" s="1"/>
      <c r="E151" s="1"/>
    </row>
    <row r="152">
      <c r="A152" s="1"/>
      <c r="E152" s="1"/>
    </row>
    <row r="153">
      <c r="A153" s="1"/>
      <c r="E153" s="1"/>
    </row>
    <row r="154">
      <c r="A154" s="1"/>
      <c r="E154" s="1"/>
    </row>
    <row r="155">
      <c r="A155" s="1"/>
      <c r="E155" s="1"/>
    </row>
    <row r="156">
      <c r="A156" s="1"/>
      <c r="E156" s="1"/>
    </row>
    <row r="157">
      <c r="A157" s="1"/>
      <c r="E157" s="1"/>
    </row>
    <row r="158">
      <c r="A158" s="1"/>
      <c r="E158" s="1"/>
    </row>
    <row r="159">
      <c r="A159" s="1"/>
      <c r="E159" s="1"/>
    </row>
    <row r="160">
      <c r="A160" s="1"/>
      <c r="E160" s="1"/>
    </row>
    <row r="161">
      <c r="A161" s="1"/>
      <c r="E161" s="1"/>
    </row>
    <row r="162">
      <c r="A162" s="1"/>
      <c r="E162" s="1"/>
    </row>
    <row r="163">
      <c r="A163" s="1"/>
      <c r="E163" s="1"/>
    </row>
    <row r="164">
      <c r="A164" s="1"/>
      <c r="E164" s="1"/>
    </row>
    <row r="165">
      <c r="A165" s="1"/>
      <c r="E165" s="1"/>
    </row>
    <row r="166">
      <c r="A166" s="1"/>
      <c r="E166" s="1"/>
    </row>
    <row r="167">
      <c r="A167" s="1"/>
      <c r="E167" s="1"/>
    </row>
    <row r="168">
      <c r="A168" s="1"/>
      <c r="E168" s="1"/>
    </row>
    <row r="169">
      <c r="A169" s="1"/>
      <c r="E169" s="1"/>
    </row>
    <row r="170">
      <c r="A170" s="1"/>
      <c r="E170" s="1"/>
    </row>
    <row r="171">
      <c r="A171" s="1"/>
      <c r="E171" s="1"/>
    </row>
    <row r="172">
      <c r="A172" s="1"/>
      <c r="E172" s="1"/>
    </row>
    <row r="173">
      <c r="A173" s="1"/>
      <c r="E173" s="1"/>
    </row>
    <row r="174">
      <c r="A174" s="1"/>
      <c r="E174" s="1"/>
    </row>
    <row r="175">
      <c r="A175" s="1"/>
      <c r="E175" s="1"/>
    </row>
    <row r="176">
      <c r="A176" s="1"/>
      <c r="E176" s="1"/>
    </row>
    <row r="177">
      <c r="A177" s="1"/>
      <c r="E177" s="1"/>
    </row>
    <row r="178">
      <c r="A178" s="1"/>
      <c r="E178" s="1"/>
    </row>
    <row r="179">
      <c r="A179" s="1"/>
      <c r="E179" s="1"/>
    </row>
    <row r="180">
      <c r="A180" s="1"/>
      <c r="E180" s="1"/>
    </row>
    <row r="181">
      <c r="A181" s="1"/>
      <c r="E181" s="1"/>
    </row>
    <row r="182">
      <c r="A182" s="1"/>
      <c r="E182" s="1"/>
    </row>
    <row r="183">
      <c r="A183" s="1"/>
      <c r="E183" s="1"/>
    </row>
    <row r="184">
      <c r="A184" s="1"/>
      <c r="E184" s="1"/>
    </row>
    <row r="185">
      <c r="A185" s="1"/>
      <c r="E185" s="1"/>
    </row>
    <row r="186">
      <c r="A186" s="1"/>
      <c r="E186" s="1"/>
    </row>
    <row r="187">
      <c r="A187" s="1"/>
      <c r="E187" s="1"/>
    </row>
    <row r="188">
      <c r="A188" s="1"/>
      <c r="E188" s="1"/>
    </row>
    <row r="189">
      <c r="A189" s="1"/>
      <c r="E189" s="1"/>
    </row>
    <row r="190">
      <c r="A190" s="1"/>
      <c r="E190" s="1"/>
    </row>
    <row r="191">
      <c r="A191" s="1"/>
      <c r="E191" s="1"/>
    </row>
    <row r="192">
      <c r="A192" s="1"/>
      <c r="E192" s="1"/>
    </row>
    <row r="193">
      <c r="A193" s="1"/>
      <c r="E193" s="1"/>
    </row>
    <row r="194">
      <c r="A194" s="1"/>
      <c r="E194" s="1"/>
    </row>
    <row r="195">
      <c r="A195" s="1"/>
      <c r="E195" s="1"/>
    </row>
    <row r="196">
      <c r="A196" s="1"/>
      <c r="E196" s="1"/>
    </row>
    <row r="197">
      <c r="A197" s="1"/>
      <c r="E197" s="1"/>
    </row>
    <row r="198">
      <c r="A198" s="1"/>
      <c r="E198" s="1"/>
    </row>
    <row r="199">
      <c r="A199" s="1"/>
      <c r="E199" s="1"/>
    </row>
    <row r="200">
      <c r="A200" s="1"/>
      <c r="E200" s="1"/>
    </row>
  </sheetData>
  <mergeCells>
    <mergeCell ref="A1:I1"/>
    <mergeCell ref="J1:O1"/>
  </mergeCells>
  <picture r:id="rId1"/>
</worksheet>
</file>

<file path=xl/worksheets/sheet3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1"/>
    <col collapsed="false" customWidth="true" hidden="false" max="3" min="3" style="0" width="19"/>
    <col collapsed="false" customWidth="true" hidden="false" max="4" min="4" style="0" width="13"/>
    <col collapsed="false" customWidth="true" hidden="false" max="5" min="5" style="0" width="15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2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2"/>
    <col collapsed="false" customWidth="true" hidden="false" max="14" min="14" style="0" width="5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19" t="str">
        <v>序号</v>
      </c>
      <c r="B2" s="19" t="str">
        <v>模型名称</v>
      </c>
      <c r="C2" s="20" t="str">
        <v>字段</v>
      </c>
      <c r="D2" s="19" t="str">
        <v>字段描述</v>
      </c>
      <c r="E2" s="19" t="str">
        <v>字段类型</v>
      </c>
      <c r="F2" s="19" t="str">
        <v>字段长度</v>
      </c>
      <c r="G2" s="19" t="str">
        <v>是否主键</v>
      </c>
      <c r="H2" s="19" t="str">
        <v>字段备注</v>
      </c>
      <c r="I2" s="35" t="str">
        <v>数据来源系统</v>
      </c>
      <c r="J2" s="35" t="str">
        <v>数据来源表</v>
      </c>
      <c r="K2" s="35" t="str">
        <v>来源表描述</v>
      </c>
      <c r="L2" s="36" t="str">
        <v>来源字段</v>
      </c>
      <c r="M2" s="36" t="str">
        <v>来源字段描述</v>
      </c>
      <c r="N2" s="36" t="str">
        <v>备注</v>
      </c>
    </row>
    <row r="3">
      <c r="A3" s="17">
        <v>1</v>
      </c>
      <c r="B3" s="33" t="str">
        <v>营销费用源表-财务-预提</v>
      </c>
      <c r="C3" s="25" t="str">
        <v>document_type</v>
      </c>
      <c r="D3" s="38" t="str">
        <v>单据类型</v>
      </c>
      <c r="E3" s="17" t="str">
        <v>STRING</v>
      </c>
      <c r="F3" s="17">
        <f>CONCAT(",",C3,"   ",E3,"   COMMENT'", D3,"'" )</f>
      </c>
      <c r="G3" s="17">
        <f>LEN(C3)</f>
      </c>
      <c r="H3" s="17"/>
      <c r="I3" s="17"/>
      <c r="J3" s="17"/>
      <c r="K3" s="17"/>
      <c r="L3" s="17"/>
      <c r="M3" s="17"/>
      <c r="N3" s="17"/>
    </row>
    <row r="4">
      <c r="A4" s="17">
        <v>2</v>
      </c>
      <c r="B4" s="33" t="str">
        <v>营销费用源表-财务-预提</v>
      </c>
      <c r="C4" s="25" t="str">
        <v>document_number</v>
      </c>
      <c r="D4" s="38" t="str">
        <v>单据号</v>
      </c>
      <c r="E4" s="17" t="str">
        <v>STRING</v>
      </c>
      <c r="F4" s="17">
        <f>CONCAT(",",C4,"   ",E4,"   COMMENT'", D4,"'" )</f>
      </c>
      <c r="G4" s="17">
        <f>LEN(C4)</f>
      </c>
      <c r="H4" s="17"/>
      <c r="I4" s="17"/>
      <c r="J4" s="17"/>
      <c r="K4" s="17"/>
      <c r="L4" s="17"/>
      <c r="M4" s="17"/>
      <c r="N4" s="17"/>
    </row>
    <row r="5">
      <c r="A5" s="17">
        <v>3</v>
      </c>
      <c r="B5" s="33" t="str">
        <v>营销费用源表-财务-预提</v>
      </c>
      <c r="C5" s="25" t="str">
        <v>submit_date</v>
      </c>
      <c r="D5" s="38" t="str">
        <v>提交日期</v>
      </c>
      <c r="E5" s="17" t="str">
        <v>STRING</v>
      </c>
      <c r="F5" s="17">
        <f>CONCAT(",",C5,"   ",E5,"   COMMENT'", D5,"'" )</f>
      </c>
      <c r="G5" s="17">
        <f>LEN(C5)</f>
      </c>
      <c r="H5" s="17"/>
      <c r="I5" s="17"/>
      <c r="J5" s="17"/>
      <c r="K5" s="17"/>
      <c r="L5" s="17"/>
      <c r="M5" s="17"/>
      <c r="N5" s="17"/>
    </row>
    <row r="6">
      <c r="A6" s="17">
        <v>4</v>
      </c>
      <c r="B6" s="33" t="str">
        <v>营销费用源表-财务-预提</v>
      </c>
      <c r="C6" s="25" t="str">
        <v>apply_reason</v>
      </c>
      <c r="D6" s="38" t="str">
        <v>申请事由</v>
      </c>
      <c r="E6" s="17" t="str">
        <v>STRING</v>
      </c>
      <c r="F6" s="17">
        <f>CONCAT(",",C6,"   ",E6,"   COMMENT'", D6,"'" )</f>
      </c>
      <c r="G6" s="17">
        <f>LEN(C6)</f>
      </c>
      <c r="H6" s="17"/>
      <c r="I6" s="17"/>
      <c r="J6" s="17"/>
      <c r="K6" s="17"/>
      <c r="L6" s="17"/>
      <c r="M6" s="17"/>
      <c r="N6" s="17"/>
    </row>
    <row r="7">
      <c r="A7" s="17">
        <v>5</v>
      </c>
      <c r="B7" s="33" t="str">
        <v>营销费用源表-财务-预提</v>
      </c>
      <c r="C7" s="25" t="str">
        <v>cost_type</v>
      </c>
      <c r="D7" s="38" t="str">
        <v>费用类型</v>
      </c>
      <c r="E7" s="17" t="str">
        <v>STRING</v>
      </c>
      <c r="F7" s="17">
        <f>CONCAT(",",C7,"   ",E7,"   COMMENT'", D7,"'" )</f>
      </c>
      <c r="G7" s="17">
        <f>LEN(C7)</f>
      </c>
      <c r="H7" s="17"/>
      <c r="I7" s="17"/>
      <c r="J7" s="17"/>
      <c r="K7" s="17"/>
      <c r="L7" s="17"/>
      <c r="M7" s="17"/>
      <c r="N7" s="17"/>
    </row>
    <row r="8">
      <c r="A8" s="17">
        <v>6</v>
      </c>
      <c r="B8" s="33" t="str">
        <v>营销费用源表-财务-预提</v>
      </c>
      <c r="C8" s="25" t="str">
        <v>estimated_amount_currency</v>
      </c>
      <c r="D8" s="38" t="str">
        <v>预计金额-币种</v>
      </c>
      <c r="E8" s="17" t="str">
        <v>STRING</v>
      </c>
      <c r="F8" s="17">
        <f>CONCAT(",",C8,"   ",E8,"   COMMENT'", D8,"'" )</f>
      </c>
      <c r="G8" s="17">
        <f>LEN(C8)</f>
      </c>
      <c r="H8" s="17"/>
      <c r="I8" s="17"/>
      <c r="J8" s="17"/>
      <c r="K8" s="17"/>
      <c r="L8" s="17"/>
      <c r="M8" s="17"/>
      <c r="N8" s="17"/>
    </row>
    <row r="9">
      <c r="A9" s="17">
        <v>7</v>
      </c>
      <c r="B9" s="33" t="str">
        <v>营销费用源表-财务-预提</v>
      </c>
      <c r="C9" s="25" t="str">
        <v>estimated_amount</v>
      </c>
      <c r="D9" s="38" t="str" xml:space="preserve">
        <v>预计金额 </v>
      </c>
      <c r="E9" s="17" t="str">
        <v>DECIMAL(30, 8)</v>
      </c>
      <c r="F9" s="17">
        <f>CONCAT(",",C9,"   ",E9,"   COMMENT'", D9,"'" )</f>
      </c>
      <c r="G9" s="17">
        <f>LEN(C9)</f>
      </c>
      <c r="H9" s="17"/>
      <c r="I9" s="17"/>
      <c r="J9" s="17"/>
      <c r="K9" s="17"/>
      <c r="L9" s="17"/>
      <c r="M9" s="17"/>
      <c r="N9" s="17"/>
    </row>
    <row r="10">
      <c r="A10" s="17">
        <v>8</v>
      </c>
      <c r="B10" s="33" t="str">
        <v>营销费用源表-财务-预提</v>
      </c>
      <c r="C10" s="25" t="str">
        <v>after_tax_amount</v>
      </c>
      <c r="D10" s="38" t="str" xml:space="preserve">
        <v>税后金额 </v>
      </c>
      <c r="E10" s="17" t="str">
        <v>DECIMAL(30, 8)</v>
      </c>
      <c r="F10" s="17">
        <f>CONCAT(",",C10,"   ",E10,"   COMMENT'", D10,"'" )</f>
      </c>
      <c r="G10" s="17">
        <f>LEN(C10)</f>
      </c>
      <c r="H10" s="17"/>
      <c r="I10" s="17"/>
      <c r="J10" s="17"/>
      <c r="K10" s="17"/>
      <c r="L10" s="17"/>
      <c r="M10" s="17"/>
      <c r="N10" s="17"/>
    </row>
    <row r="11">
      <c r="A11" s="17">
        <v>9</v>
      </c>
      <c r="B11" s="33" t="str">
        <v>营销费用源表-财务-预提</v>
      </c>
      <c r="C11" s="25" t="str">
        <v>title</v>
      </c>
      <c r="D11" s="38" t="str">
        <v>抬头</v>
      </c>
      <c r="E11" s="17" t="str">
        <v>STRING</v>
      </c>
      <c r="F11" s="17">
        <f>CONCAT(",",C11,"   ",E11,"   COMMENT'", D11,"'" )</f>
      </c>
      <c r="G11" s="17">
        <f>LEN(C11)</f>
      </c>
      <c r="H11" s="17"/>
      <c r="I11" s="17"/>
      <c r="J11" s="17"/>
      <c r="K11" s="17"/>
      <c r="L11" s="17"/>
      <c r="M11" s="17"/>
      <c r="N11" s="17"/>
    </row>
    <row r="12">
      <c r="A12" s="17">
        <v>10</v>
      </c>
      <c r="B12" s="33" t="str">
        <v>营销费用源表-财务-预提</v>
      </c>
      <c r="C12" s="25" t="str">
        <v>department</v>
      </c>
      <c r="D12" s="38" t="str">
        <v>部门</v>
      </c>
      <c r="E12" s="17" t="str">
        <v>STRING</v>
      </c>
      <c r="F12" s="17">
        <f>CONCAT(",",C12,"   ",E12,"   COMMENT'", D12,"'" )</f>
      </c>
      <c r="G12" s="17">
        <f>LEN(C12)</f>
      </c>
      <c r="H12" s="17"/>
      <c r="I12" s="17"/>
      <c r="J12" s="17"/>
      <c r="K12" s="17"/>
      <c r="L12" s="17"/>
      <c r="M12" s="17"/>
      <c r="N12" s="17"/>
    </row>
    <row r="13">
      <c r="A13" s="17">
        <v>11</v>
      </c>
      <c r="B13" s="33" t="str">
        <v>营销费用源表-财务-预提</v>
      </c>
      <c r="C13" s="25" t="str">
        <v>department_full_path</v>
      </c>
      <c r="D13" s="38" t="str">
        <v>部门全路径</v>
      </c>
      <c r="E13" s="17" t="str">
        <v>STRING</v>
      </c>
      <c r="F13" s="17">
        <f>CONCAT(",",C13,"   ",E13,"   COMMENT'", D13,"'" )</f>
      </c>
      <c r="G13" s="17">
        <f>LEN(C13)</f>
      </c>
      <c r="H13" s="17"/>
      <c r="I13" s="17"/>
      <c r="J13" s="17"/>
      <c r="K13" s="17"/>
      <c r="L13" s="17"/>
      <c r="M13" s="17"/>
      <c r="N13" s="17"/>
    </row>
    <row r="14">
      <c r="A14" s="17">
        <v>12</v>
      </c>
      <c r="B14" s="33" t="str">
        <v>营销费用源表-财务-预提</v>
      </c>
      <c r="C14" s="25" t="str">
        <v>applicant</v>
      </c>
      <c r="D14" s="38" t="str">
        <v>申请人</v>
      </c>
      <c r="E14" s="17" t="str">
        <v>STRING</v>
      </c>
      <c r="F14" s="17">
        <f>CONCAT(",",C14,"   ",E14,"   COMMENT'", D14,"'" )</f>
      </c>
      <c r="G14" s="17">
        <f>LEN(C14)</f>
      </c>
      <c r="H14" s="17"/>
      <c r="I14" s="17"/>
      <c r="J14" s="17"/>
      <c r="K14" s="17"/>
      <c r="L14" s="17"/>
      <c r="M14" s="17"/>
      <c r="N14" s="17"/>
    </row>
    <row r="15">
      <c r="A15" s="17">
        <v>13</v>
      </c>
      <c r="B15" s="33" t="str">
        <v>营销费用源表-财务-预提</v>
      </c>
      <c r="C15" s="25" t="str">
        <v>remark</v>
      </c>
      <c r="D15" s="38" t="str">
        <v>备注</v>
      </c>
      <c r="E15" s="17" t="str">
        <v>STRING</v>
      </c>
      <c r="F15" s="17">
        <f>CONCAT(",",C15,"   ",E15,"   COMMENT'", D15,"'" )</f>
      </c>
      <c r="G15" s="17">
        <f>LEN(C15)</f>
      </c>
      <c r="H15" s="17"/>
      <c r="I15" s="17"/>
      <c r="J15" s="17"/>
      <c r="K15" s="17"/>
      <c r="L15" s="17"/>
      <c r="M15" s="17"/>
      <c r="N15" s="17"/>
    </row>
    <row r="16">
      <c r="A16" s="17">
        <v>14</v>
      </c>
      <c r="B16" s="33" t="str">
        <v>营销费用源表-财务-预提</v>
      </c>
      <c r="C16" s="25" t="str">
        <v>counterparty</v>
      </c>
      <c r="D16" s="38" t="str">
        <v>往来单位</v>
      </c>
      <c r="E16" s="17" t="str">
        <v>STRING</v>
      </c>
      <c r="F16" s="17">
        <f>CONCAT(",",C16,"   ",E16,"   COMMENT'", D16,"'" )</f>
      </c>
      <c r="G16" s="17">
        <f>LEN(C16)</f>
      </c>
      <c r="H16" s="17"/>
      <c r="I16" s="17"/>
      <c r="J16" s="17"/>
      <c r="K16" s="17"/>
      <c r="L16" s="17"/>
      <c r="M16" s="17"/>
      <c r="N16" s="17"/>
    </row>
    <row r="17">
      <c r="A17" s="17">
        <v>15</v>
      </c>
      <c r="B17" s="33" t="str">
        <v>营销费用源表-财务-预提</v>
      </c>
      <c r="C17" s="25" t="str">
        <v>document_status</v>
      </c>
      <c r="D17" s="38" t="str">
        <v>单据状态</v>
      </c>
      <c r="E17" s="17" t="str">
        <v>STRING</v>
      </c>
      <c r="F17" s="17">
        <f>CONCAT(",",C17,"   ",E17,"   COMMENT'", D17,"'" )</f>
      </c>
      <c r="G17" s="17">
        <f>LEN(C17)</f>
      </c>
      <c r="H17" s="17"/>
      <c r="I17" s="17"/>
      <c r="J17" s="17"/>
      <c r="K17" s="17"/>
      <c r="L17" s="17"/>
      <c r="M17" s="17"/>
      <c r="N17" s="17"/>
    </row>
    <row r="18">
      <c r="A18" s="17">
        <v>16</v>
      </c>
      <c r="B18" s="33" t="str">
        <v>营销费用源表-财务-预提</v>
      </c>
      <c r="C18" s="25" t="str">
        <v>related_expense_report</v>
      </c>
      <c r="D18" s="38" t="str">
        <v>相关报销单</v>
      </c>
      <c r="E18" s="17" t="str">
        <v>STRING</v>
      </c>
      <c r="F18" s="17">
        <f>CONCAT(",",C18,"   ",E18,"   COMMENT'", D18,"'" )</f>
      </c>
      <c r="G18" s="17">
        <f>LEN(C18)</f>
      </c>
      <c r="H18" s="17"/>
      <c r="I18" s="17"/>
      <c r="J18" s="17"/>
      <c r="K18" s="17"/>
      <c r="L18" s="17"/>
      <c r="M18" s="17"/>
      <c r="N18" s="17"/>
    </row>
    <row r="19">
      <c r="A19" s="17">
        <v>17</v>
      </c>
      <c r="B19" s="33" t="str">
        <v>营销费用源表-财务-预提</v>
      </c>
      <c r="C19" s="25" t="str">
        <v>related_cost</v>
      </c>
      <c r="D19" s="38" t="str">
        <v>相关费用</v>
      </c>
      <c r="E19" s="17" t="str">
        <v>DECIMAL(30, 8)</v>
      </c>
      <c r="F19" s="17">
        <f>CONCAT(",",C19,"   ",E19,"   COMMENT'", D19,"'" )</f>
      </c>
      <c r="G19" s="17">
        <f>LEN(C19)</f>
      </c>
      <c r="H19" s="17"/>
      <c r="I19" s="17"/>
      <c r="J19" s="17"/>
      <c r="K19" s="17"/>
      <c r="L19" s="17"/>
      <c r="M19" s="17"/>
      <c r="N19" s="17"/>
    </row>
    <row r="20">
      <c r="A20" s="17">
        <v>18</v>
      </c>
      <c r="B20" s="33" t="str">
        <v>营销费用源表-财务-预提</v>
      </c>
      <c r="C20" s="25" t="str">
        <v>arrival_time</v>
      </c>
      <c r="D20" s="38" t="str">
        <v>到达时间</v>
      </c>
      <c r="E20" s="17" t="str">
        <v>STRING</v>
      </c>
      <c r="F20" s="17">
        <f>CONCAT(",",C20,"   ",E20,"   COMMENT'", D20,"'" )</f>
      </c>
      <c r="G20" s="17">
        <f>LEN(C20)</f>
      </c>
      <c r="H20" s="17"/>
      <c r="I20" s="17"/>
      <c r="J20" s="17"/>
      <c r="K20" s="17"/>
      <c r="L20" s="17"/>
      <c r="M20" s="17"/>
      <c r="N20" s="17"/>
    </row>
    <row r="21">
      <c r="A21" s="17">
        <v>19</v>
      </c>
      <c r="B21" s="33" t="str">
        <v>营销费用源表-财务-预提</v>
      </c>
      <c r="C21" s="25" t="str">
        <v>approval_completion_time</v>
      </c>
      <c r="D21" s="38" t="str">
        <v>审批完成时间</v>
      </c>
      <c r="E21" s="17" t="str">
        <v>STRING</v>
      </c>
      <c r="F21" s="17">
        <f>CONCAT(",",C21,"   ",E21,"   COMMENT'", D21,"'" )</f>
      </c>
      <c r="G21" s="17">
        <f>LEN(C21)</f>
      </c>
      <c r="H21" s="17"/>
      <c r="I21" s="17"/>
      <c r="J21" s="17"/>
      <c r="K21" s="17"/>
      <c r="L21" s="17"/>
      <c r="M21" s="17"/>
      <c r="N21" s="17"/>
    </row>
    <row r="22">
      <c r="A22" s="17">
        <v>20</v>
      </c>
      <c r="B22" s="33" t="str">
        <v>营销费用源表-财务-预提</v>
      </c>
      <c r="C22" s="25" t="str">
        <v>close_time</v>
      </c>
      <c r="D22" s="38" t="str">
        <v>关闭时间</v>
      </c>
      <c r="E22" s="17" t="str">
        <v>STRING</v>
      </c>
      <c r="F22" s="17">
        <f>CONCAT(",",C22,"   ",E22,"   COMMENT'", D22,"'" )</f>
      </c>
      <c r="G22" s="17">
        <f>LEN(C22)</f>
      </c>
      <c r="H22" s="17"/>
      <c r="I22" s="17"/>
      <c r="J22" s="17"/>
      <c r="K22" s="17"/>
      <c r="L22" s="17"/>
      <c r="M22" s="17"/>
      <c r="N22" s="17"/>
    </row>
    <row r="23">
      <c r="A23" s="17">
        <v>21</v>
      </c>
      <c r="B23" s="33" t="str">
        <v>营销费用源表-财务-预提</v>
      </c>
      <c r="C23" s="25" t="str">
        <v>store</v>
      </c>
      <c r="D23" s="38" t="str">
        <v>店铺</v>
      </c>
      <c r="E23" s="17" t="str">
        <v>STRING</v>
      </c>
      <c r="F23" s="17">
        <f>CONCAT(",",C23,"   ",E23,"   COMMENT'", D23,"'" )</f>
      </c>
      <c r="G23" s="17">
        <f>LEN(C23)</f>
      </c>
      <c r="H23" s="17"/>
      <c r="I23" s="17"/>
      <c r="J23" s="17"/>
      <c r="K23" s="17"/>
      <c r="L23" s="17"/>
      <c r="M23" s="17"/>
      <c r="N23" s="17"/>
    </row>
    <row r="24">
      <c r="A24" s="17">
        <v>22</v>
      </c>
      <c r="B24" s="33" t="str">
        <v>营销费用源表-财务-预提</v>
      </c>
      <c r="C24" s="25" t="str">
        <v>marketing_activity</v>
      </c>
      <c r="D24" s="38" t="str">
        <v>营销活动</v>
      </c>
      <c r="E24" s="17" t="str">
        <v>STRING</v>
      </c>
      <c r="F24" s="17">
        <f>CONCAT(",",C24,"   ",E24,"   COMMENT'", D24,"'" )</f>
      </c>
      <c r="G24" s="17">
        <f>LEN(C24)</f>
      </c>
      <c r="H24" s="17"/>
      <c r="I24" s="17"/>
      <c r="J24" s="17"/>
      <c r="K24" s="17"/>
      <c r="L24" s="17"/>
      <c r="M24" s="17"/>
      <c r="N24" s="17"/>
    </row>
    <row r="25">
      <c r="A25" s="17">
        <v>23</v>
      </c>
      <c r="B25" s="33" t="str">
        <v>营销费用源表-财务-预提</v>
      </c>
      <c r="C25" s="25" t="str">
        <v>project</v>
      </c>
      <c r="D25" s="80" t="str">
        <v>项目</v>
      </c>
      <c r="E25" s="17" t="str">
        <v>STRING</v>
      </c>
      <c r="F25" s="17">
        <f>CONCAT(",",C25,"   ",E25,"   COMMENT'", D25,"'" )</f>
      </c>
      <c r="G25" s="17">
        <f>LEN(C25)</f>
      </c>
      <c r="H25" s="52"/>
      <c r="I25" s="52"/>
      <c r="J25" s="52"/>
      <c r="K25" s="52"/>
      <c r="L25" s="52"/>
      <c r="M25" s="52"/>
      <c r="N25" s="52"/>
    </row>
    <row r="26">
      <c r="A26" s="17">
        <v>24</v>
      </c>
      <c r="B26" s="33" t="str">
        <v>营销费用源表-财务-预提</v>
      </c>
      <c r="C26" s="25" t="str">
        <v>abstract</v>
      </c>
      <c r="D26" s="38" t="str">
        <v>摘要</v>
      </c>
      <c r="E26" s="17" t="str">
        <v>STRING</v>
      </c>
      <c r="F26" s="17">
        <f>CONCAT(",",C26,"   ",E26,"   COMMENT'", D26,"'" )</f>
      </c>
      <c r="G26" s="17">
        <f>LEN(C26)</f>
      </c>
      <c r="H26" s="17"/>
      <c r="I26" s="17"/>
      <c r="J26" s="17"/>
      <c r="K26" s="17"/>
      <c r="L26" s="17"/>
      <c r="M26" s="17"/>
      <c r="N26" s="17"/>
    </row>
    <row r="27"/>
    <row r="28">
      <c r="B28" s="27" t="str">
        <v>单据类型</v>
      </c>
      <c r="C28" s="27" t="str">
        <v>document_type</v>
      </c>
      <c r="D28" s="27" t="str">
        <v>VARCHAR</v>
      </c>
      <c r="E28" s="28">
        <v>50</v>
      </c>
    </row>
    <row r="29">
      <c r="B29" s="27" t="str">
        <v>单据号</v>
      </c>
      <c r="C29" s="27" t="str">
        <v>document_number</v>
      </c>
      <c r="D29" s="27" t="str">
        <v>VARCHAR</v>
      </c>
      <c r="E29" s="28">
        <v>50</v>
      </c>
    </row>
    <row r="30">
      <c r="B30" s="27" t="str">
        <v>提交日期</v>
      </c>
      <c r="C30" s="27" t="str">
        <v>submit_date</v>
      </c>
      <c r="D30" s="27" t="str">
        <v>DATE</v>
      </c>
      <c r="E30" s="28"/>
    </row>
    <row r="31">
      <c r="B31" s="27" t="str">
        <v>申请事由</v>
      </c>
      <c r="C31" s="27" t="str">
        <v>apply_reason</v>
      </c>
      <c r="D31" s="27" t="str">
        <v>VARCHAR</v>
      </c>
      <c r="E31" s="28">
        <v>100</v>
      </c>
    </row>
    <row r="32">
      <c r="B32" s="27" t="str">
        <v>费用类型</v>
      </c>
      <c r="C32" s="27" t="str">
        <v>cost_type</v>
      </c>
      <c r="D32" s="27" t="str">
        <v>VARCHAR</v>
      </c>
      <c r="E32" s="28">
        <v>50</v>
      </c>
    </row>
    <row r="33">
      <c r="B33" s="27" t="str">
        <v>预计金额-币种</v>
      </c>
      <c r="C33" s="27" t="str">
        <v>estimated_amount_currency</v>
      </c>
      <c r="D33" s="27" t="str">
        <v>VARCHAR</v>
      </c>
      <c r="E33" s="28">
        <v>50</v>
      </c>
    </row>
    <row r="34">
      <c r="B34" s="27" t="str">
        <v>预计金额</v>
      </c>
      <c r="C34" s="27" t="str">
        <v>estimated_amount</v>
      </c>
      <c r="D34" s="27" t="str">
        <v>DECIMAL</v>
      </c>
      <c r="E34" s="28"/>
    </row>
    <row r="35">
      <c r="B35" s="27" t="str">
        <v>税后金额</v>
      </c>
      <c r="C35" s="27" t="str">
        <v>after_tax_amount</v>
      </c>
      <c r="D35" s="27" t="str">
        <v>DECIMAL</v>
      </c>
      <c r="E35" s="28"/>
    </row>
    <row r="36">
      <c r="B36" s="27" t="str">
        <v>抬头</v>
      </c>
      <c r="C36" s="27" t="str">
        <v>title</v>
      </c>
      <c r="D36" s="27" t="str">
        <v>VARCHAR</v>
      </c>
      <c r="E36" s="28">
        <v>100</v>
      </c>
    </row>
    <row r="37">
      <c r="B37" s="27" t="str">
        <v>部门</v>
      </c>
      <c r="C37" s="27" t="str">
        <v>department</v>
      </c>
      <c r="D37" s="27" t="str">
        <v>VARCHAR</v>
      </c>
      <c r="E37" s="28">
        <v>50</v>
      </c>
    </row>
    <row r="38">
      <c r="B38" s="27" t="str">
        <v>部门全路径</v>
      </c>
      <c r="C38" s="27" t="str">
        <v>department_full_path</v>
      </c>
      <c r="D38" s="27" t="str">
        <v>VARCHAR</v>
      </c>
      <c r="E38" s="28">
        <v>500</v>
      </c>
    </row>
    <row r="39">
      <c r="B39" s="27" t="str">
        <v>申请人</v>
      </c>
      <c r="C39" s="27" t="str">
        <v>applicant</v>
      </c>
      <c r="D39" s="27" t="str">
        <v>VARCHAR</v>
      </c>
      <c r="E39" s="28">
        <v>50</v>
      </c>
    </row>
    <row r="40">
      <c r="B40" s="27" t="str">
        <v>备注</v>
      </c>
      <c r="C40" s="27" t="str">
        <v>remark</v>
      </c>
      <c r="D40" s="27" t="str">
        <v>VARCHAR</v>
      </c>
      <c r="E40" s="28">
        <v>500</v>
      </c>
    </row>
    <row r="41">
      <c r="B41" s="27" t="str">
        <v>往来单位</v>
      </c>
      <c r="C41" s="27" t="str">
        <v>counterparty</v>
      </c>
      <c r="D41" s="27" t="str">
        <v>VARCHAR</v>
      </c>
      <c r="E41" s="28">
        <v>100</v>
      </c>
    </row>
    <row r="42">
      <c r="B42" s="27" t="str">
        <v>单据状态</v>
      </c>
      <c r="C42" s="27" t="str">
        <v>document_status</v>
      </c>
      <c r="D42" s="27" t="str">
        <v>VARCHAR</v>
      </c>
      <c r="E42" s="28">
        <v>50</v>
      </c>
    </row>
    <row r="43">
      <c r="B43" s="27" t="str">
        <v>相关报销单</v>
      </c>
      <c r="C43" s="27" t="str">
        <v>related_expense_report</v>
      </c>
      <c r="D43" s="27" t="str">
        <v>VARCHAR</v>
      </c>
      <c r="E43" s="28">
        <v>50</v>
      </c>
    </row>
    <row r="44">
      <c r="B44" s="27" t="str">
        <v>相关费用</v>
      </c>
      <c r="C44" s="27" t="str">
        <v>related_cost</v>
      </c>
      <c r="D44" s="27" t="str">
        <v>VARCHAR</v>
      </c>
      <c r="E44" s="28">
        <v>50</v>
      </c>
    </row>
    <row r="45">
      <c r="B45" s="27" t="str">
        <v>到达时间</v>
      </c>
      <c r="C45" s="27" t="str">
        <v>arrival_time</v>
      </c>
      <c r="D45" s="27" t="str">
        <v>DATETIME</v>
      </c>
      <c r="E45" s="28"/>
    </row>
    <row r="46">
      <c r="B46" s="27" t="str">
        <v>审批完成时间</v>
      </c>
      <c r="C46" s="27" t="str">
        <v>approval_completion_time</v>
      </c>
      <c r="D46" s="27" t="str">
        <v>DATETIME</v>
      </c>
      <c r="E46" s="28"/>
    </row>
    <row r="47">
      <c r="B47" s="27" t="str">
        <v>关闭时间</v>
      </c>
      <c r="C47" s="27" t="str">
        <v>close_time</v>
      </c>
      <c r="D47" s="27" t="str">
        <v>DATETIME</v>
      </c>
      <c r="E47" s="28"/>
    </row>
    <row r="48">
      <c r="B48" s="27" t="str">
        <v>店铺</v>
      </c>
      <c r="C48" s="27" t="str">
        <v>store</v>
      </c>
      <c r="D48" s="27" t="str">
        <v>VARCHAR</v>
      </c>
      <c r="E48" s="28">
        <v>100</v>
      </c>
    </row>
    <row r="49">
      <c r="B49" s="27" t="str">
        <v>营销活动</v>
      </c>
      <c r="C49" s="27" t="str">
        <v>marketing_activity</v>
      </c>
      <c r="D49" s="27" t="str">
        <v>VARCHAR</v>
      </c>
      <c r="E49" s="28">
        <v>100</v>
      </c>
    </row>
    <row r="50">
      <c r="B50" s="27" t="str">
        <v>项目</v>
      </c>
      <c r="C50" s="27" t="str">
        <v>project</v>
      </c>
      <c r="D50" s="27" t="str">
        <v>VARCHAR</v>
      </c>
      <c r="E50" s="28">
        <v>100</v>
      </c>
    </row>
    <row r="51">
      <c r="B51" s="27" t="str">
        <v>摘要</v>
      </c>
      <c r="C51" s="27" t="str">
        <v>abstract</v>
      </c>
      <c r="D51" s="27" t="str">
        <v>VARCHAR</v>
      </c>
      <c r="E51" s="28">
        <v>500</v>
      </c>
    </row>
  </sheetData>
  <mergeCells>
    <mergeCell ref="I1:N1"/>
    <mergeCell ref="A1:H1"/>
  </mergeCells>
  <picture r:id="rId1"/>
</worksheet>
</file>

<file path=xl/worksheets/sheet3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1"/>
    <col collapsed="false" customWidth="true" hidden="false" max="3" min="3" style="0" width="22"/>
    <col collapsed="false" customWidth="true" hidden="false" max="4" min="4" style="0" width="27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</row>
    <row r="2">
      <c r="A2" s="20" t="str">
        <v>序号</v>
      </c>
      <c r="B2" s="20" t="str">
        <v>模型名称</v>
      </c>
      <c r="C2" s="20" t="str">
        <v>字段</v>
      </c>
      <c r="D2" s="20" t="str">
        <v>字段描述</v>
      </c>
      <c r="E2" s="20" t="str">
        <v>字段类型</v>
      </c>
      <c r="F2" s="20" t="str">
        <v>字段长度</v>
      </c>
      <c r="G2" s="20" t="str">
        <v>是否主键</v>
      </c>
      <c r="H2" s="20" t="str">
        <v>字段备注</v>
      </c>
      <c r="I2" s="21" t="str">
        <v>数据来源系统</v>
      </c>
      <c r="J2" s="21" t="str">
        <v>数据来源表</v>
      </c>
      <c r="K2" s="21" t="str">
        <v>来源表描述</v>
      </c>
      <c r="L2" s="22" t="str">
        <v>来源字段</v>
      </c>
      <c r="M2" s="22" t="str">
        <v>来源字段描述</v>
      </c>
      <c r="N2" s="22" t="str">
        <v>备注</v>
      </c>
    </row>
    <row r="3">
      <c r="A3" s="23">
        <v>1</v>
      </c>
      <c r="B3" s="15" t="str">
        <v>营销费用源表-品牌运营中心</v>
      </c>
      <c r="C3" s="25" t="str">
        <v>marketing_expense</v>
      </c>
      <c r="D3" s="81" t="str">
        <v>品牌运营中心-营销费用</v>
      </c>
      <c r="E3" s="26" t="str">
        <v>STRING</v>
      </c>
      <c r="F3" s="23">
        <f>CONCAT(",",C3,"   ",E3,"   COMMENT'", D3,"'" )</f>
      </c>
      <c r="G3" s="23"/>
      <c r="H3" s="23"/>
      <c r="I3" s="24"/>
      <c r="J3" s="24"/>
      <c r="K3" s="14"/>
      <c r="L3" s="42"/>
      <c r="M3" s="83"/>
      <c r="N3" s="42"/>
    </row>
    <row r="4">
      <c r="A4" s="23">
        <v>2</v>
      </c>
      <c r="B4" s="15" t="str">
        <v>营销费用源表-品牌运营中心</v>
      </c>
      <c r="C4" s="25" t="str">
        <v>cost_date</v>
      </c>
      <c r="D4" s="81" t="str">
        <v>日期</v>
      </c>
      <c r="E4" s="26" t="str">
        <v>STRING</v>
      </c>
      <c r="F4" s="23">
        <f>CONCAT(",",C4,"   ",E4,"   COMMENT'", D4,"'" )</f>
      </c>
      <c r="G4" s="17"/>
      <c r="H4" s="17"/>
      <c r="I4" s="17"/>
      <c r="J4" s="17"/>
      <c r="K4" s="33"/>
      <c r="L4" s="17"/>
      <c r="M4" s="17"/>
      <c r="N4" s="17"/>
    </row>
    <row r="5">
      <c r="A5" s="23">
        <v>3</v>
      </c>
      <c r="B5" s="15" t="str">
        <v>营销费用源表-品牌运营中心</v>
      </c>
      <c r="C5" s="25" t="str">
        <v>fiscal_year</v>
      </c>
      <c r="D5" s="81" t="str">
        <v>会计年度</v>
      </c>
      <c r="E5" s="26" t="str">
        <v>STRING</v>
      </c>
      <c r="F5" s="23">
        <f>CONCAT(",",C5,"   ",E5,"   COMMENT'", D5,"'" )</f>
      </c>
      <c r="G5" s="17"/>
      <c r="H5" s="17"/>
      <c r="I5" s="17"/>
      <c r="J5" s="17"/>
      <c r="K5" s="33"/>
      <c r="L5" s="17"/>
      <c r="M5" s="17"/>
      <c r="N5" s="17"/>
    </row>
    <row r="6">
      <c r="A6" s="23">
        <v>4</v>
      </c>
      <c r="B6" s="15" t="str">
        <v>营销费用源表-品牌运营中心</v>
      </c>
      <c r="C6" s="25" t="str">
        <v>period</v>
      </c>
      <c r="D6" s="81" t="str">
        <v>期间</v>
      </c>
      <c r="E6" s="26" t="str">
        <v>STRING</v>
      </c>
      <c r="F6" s="23">
        <f>CONCAT(",",C6,"   ",E6,"   COMMENT'", D6,"'" )</f>
      </c>
      <c r="G6" s="17"/>
      <c r="H6" s="17"/>
      <c r="I6" s="17"/>
      <c r="J6" s="17"/>
      <c r="K6" s="33"/>
      <c r="L6" s="17"/>
      <c r="M6" s="17"/>
      <c r="N6" s="17"/>
    </row>
    <row r="7">
      <c r="A7" s="23">
        <v>5</v>
      </c>
      <c r="B7" s="15" t="str">
        <v>营销费用源表-品牌运营中心</v>
      </c>
      <c r="C7" s="25" t="str">
        <v>voucher_word</v>
      </c>
      <c r="D7" s="81" t="str">
        <v>凭证字</v>
      </c>
      <c r="E7" s="26" t="str">
        <v>STRING</v>
      </c>
      <c r="F7" s="23">
        <f>CONCAT(",",C7,"   ",E7,"   COMMENT'", D7,"'" )</f>
      </c>
      <c r="G7" s="17"/>
      <c r="H7" s="17"/>
      <c r="I7" s="17"/>
      <c r="J7" s="17"/>
      <c r="K7" s="33"/>
      <c r="L7" s="17"/>
      <c r="M7" s="17"/>
      <c r="N7" s="17"/>
    </row>
    <row r="8">
      <c r="A8" s="23">
        <v>6</v>
      </c>
      <c r="B8" s="15" t="str">
        <v>营销费用源表-品牌运营中心</v>
      </c>
      <c r="C8" s="25" t="str">
        <v>voucher_no</v>
      </c>
      <c r="D8" s="81" t="str">
        <v>凭证号</v>
      </c>
      <c r="E8" s="26" t="str">
        <v>STRING</v>
      </c>
      <c r="F8" s="23">
        <f>CONCAT(",",C8,"   ",E8,"   COMMENT'", D8,"'" )</f>
      </c>
      <c r="G8" s="17"/>
      <c r="H8" s="17"/>
      <c r="I8" s="17"/>
      <c r="J8" s="17"/>
      <c r="K8" s="33"/>
      <c r="L8" s="17"/>
      <c r="M8" s="17"/>
      <c r="N8" s="17"/>
    </row>
    <row r="9">
      <c r="A9" s="23">
        <v>7</v>
      </c>
      <c r="B9" s="15" t="str">
        <v>营销费用源表-品牌运营中心</v>
      </c>
      <c r="C9" s="25" t="str">
        <v>category</v>
      </c>
      <c r="D9" s="81" t="str">
        <v>分类</v>
      </c>
      <c r="E9" s="26" t="str">
        <v>STRING</v>
      </c>
      <c r="F9" s="23">
        <f>CONCAT(",",C9,"   ",E9,"   COMMENT'", D9,"'" )</f>
      </c>
      <c r="G9" s="17"/>
      <c r="H9" s="17"/>
      <c r="I9" s="17"/>
      <c r="J9" s="17"/>
      <c r="K9" s="33"/>
      <c r="L9" s="17"/>
      <c r="M9" s="17"/>
      <c r="N9" s="17"/>
    </row>
    <row r="10">
      <c r="A10" s="23">
        <v>8</v>
      </c>
      <c r="B10" s="15" t="str">
        <v>营销费用源表-品牌运营中心</v>
      </c>
      <c r="C10" s="25" t="str">
        <v>summary</v>
      </c>
      <c r="D10" s="81" t="str">
        <v>摘要</v>
      </c>
      <c r="E10" s="26" t="str">
        <v>STRING</v>
      </c>
      <c r="F10" s="23">
        <f>CONCAT(",",C10,"   ",E10,"   COMMENT'", D10,"'" )</f>
      </c>
      <c r="G10" s="17"/>
      <c r="H10" s="17"/>
      <c r="I10" s="17"/>
      <c r="J10" s="17"/>
      <c r="K10" s="33"/>
      <c r="L10" s="17"/>
      <c r="M10" s="17"/>
      <c r="N10" s="17"/>
    </row>
    <row r="11">
      <c r="A11" s="23">
        <v>9</v>
      </c>
      <c r="B11" s="15" t="str">
        <v>营销费用源表-品牌运营中心</v>
      </c>
      <c r="C11" s="25" t="str">
        <v>agile_data</v>
      </c>
      <c r="D11" s="84" t="str">
        <v>敏捷数据</v>
      </c>
      <c r="E11" s="26" t="str">
        <v>STRING</v>
      </c>
      <c r="F11" s="23">
        <f>CONCAT(",",C11,"   ",E11,"   COMMENT'", D11,"'" )</f>
      </c>
      <c r="G11" s="17"/>
      <c r="H11" s="17"/>
      <c r="I11" s="17"/>
      <c r="J11" s="17"/>
      <c r="K11" s="33"/>
      <c r="L11" s="17"/>
      <c r="M11" s="17"/>
      <c r="N11" s="17"/>
    </row>
    <row r="12">
      <c r="A12" s="23">
        <v>10</v>
      </c>
      <c r="B12" s="15" t="str">
        <v>营销费用源表-品牌运营中心</v>
      </c>
      <c r="C12" s="25" t="str">
        <v>account_fullname</v>
      </c>
      <c r="D12" s="81" t="str">
        <v>科目全名</v>
      </c>
      <c r="E12" s="26" t="str">
        <v>STRING</v>
      </c>
      <c r="F12" s="23">
        <f>CONCAT(",",C12,"   ",E12,"   COMMENT'", D12,"'" )</f>
      </c>
      <c r="G12" s="17"/>
      <c r="H12" s="17"/>
      <c r="I12" s="17"/>
      <c r="J12" s="17"/>
      <c r="K12" s="33"/>
      <c r="L12" s="17"/>
      <c r="M12" s="17"/>
      <c r="N12" s="17"/>
    </row>
    <row r="13">
      <c r="A13" s="23">
        <v>11</v>
      </c>
      <c r="B13" s="15" t="str">
        <v>营销费用源表-品牌运营中心</v>
      </c>
      <c r="C13" s="25" t="str">
        <v>channel_name</v>
      </c>
      <c r="D13" s="81" t="str">
        <v>核算维度.渠道.名称</v>
      </c>
      <c r="E13" s="26" t="str">
        <v>STRING</v>
      </c>
      <c r="F13" s="23">
        <f>CONCAT(",",C13,"   ",E13,"   COMMENT'", D13,"'" )</f>
      </c>
      <c r="G13" s="17"/>
      <c r="H13" s="17"/>
      <c r="I13" s="17"/>
      <c r="J13" s="17"/>
      <c r="K13" s="33"/>
      <c r="L13" s="17"/>
      <c r="M13" s="17"/>
      <c r="N13" s="17"/>
    </row>
    <row r="14">
      <c r="A14" s="23">
        <v>12</v>
      </c>
      <c r="B14" s="15" t="str">
        <v>营销费用源表-品牌运营中心</v>
      </c>
      <c r="C14" s="25" t="str">
        <v>budget_account_name</v>
      </c>
      <c r="D14" s="81" t="str">
        <v>核算维度.预算科目.名称</v>
      </c>
      <c r="E14" s="26" t="str">
        <v>STRING</v>
      </c>
      <c r="F14" s="23">
        <f>CONCAT(",",C14,"   ",E14,"   COMMENT'", D14,"'" )</f>
      </c>
      <c r="G14" s="17"/>
      <c r="H14" s="17"/>
      <c r="I14" s="17"/>
      <c r="J14" s="17"/>
      <c r="K14" s="33"/>
      <c r="L14" s="17"/>
      <c r="M14" s="17"/>
      <c r="N14" s="17"/>
    </row>
    <row r="15">
      <c r="A15" s="23">
        <v>13</v>
      </c>
      <c r="B15" s="15" t="str">
        <v>营销费用源表-品牌运营中心</v>
      </c>
      <c r="C15" s="25" t="str">
        <v>budget_account</v>
      </c>
      <c r="D15" s="81" t="str">
        <v>预算科目</v>
      </c>
      <c r="E15" s="26" t="str">
        <v>STRING</v>
      </c>
      <c r="F15" s="23">
        <f>CONCAT(",",C15,"   ",E15,"   COMMENT'", D15,"'" )</f>
      </c>
      <c r="G15" s="17"/>
      <c r="H15" s="17"/>
      <c r="I15" s="17"/>
      <c r="J15" s="17"/>
      <c r="K15" s="33"/>
      <c r="L15" s="17"/>
      <c r="M15" s="17"/>
      <c r="N15" s="17"/>
    </row>
    <row customHeight="true" ht="19" r="16">
      <c r="A16" s="23">
        <v>14</v>
      </c>
      <c r="B16" s="15" t="str">
        <v>营销费用源表-品牌运营中心</v>
      </c>
      <c r="C16" s="25" t="str">
        <v>budget_first_account</v>
      </c>
      <c r="D16" s="84" t="str">
        <v>预算一级科目</v>
      </c>
      <c r="E16" s="26" t="str">
        <v>STRING</v>
      </c>
      <c r="F16" s="23">
        <f>CONCAT(",",C16,"   ",E16,"   COMMENT'", D16,"'" )</f>
      </c>
      <c r="G16" s="17"/>
      <c r="H16" s="17"/>
      <c r="I16" s="17"/>
      <c r="J16" s="17"/>
      <c r="K16" s="33"/>
      <c r="L16" s="17"/>
      <c r="M16" s="17"/>
      <c r="N16" s="17"/>
    </row>
    <row customHeight="true" ht="19" r="17">
      <c r="A17" s="23">
        <v>15</v>
      </c>
      <c r="B17" s="15" t="str">
        <v>营销费用源表-品牌运营中心</v>
      </c>
      <c r="C17" s="25" t="str">
        <v>budget_second_account</v>
      </c>
      <c r="D17" s="84" t="str">
        <v>预算二级科目</v>
      </c>
      <c r="E17" s="26" t="str">
        <v>STRING</v>
      </c>
      <c r="F17" s="23">
        <f>CONCAT(",",C17,"   ",E17,"   COMMENT'", D17,"'" )</f>
      </c>
      <c r="G17" s="17"/>
      <c r="H17" s="17"/>
      <c r="I17" s="17"/>
      <c r="J17" s="17"/>
      <c r="K17" s="33"/>
      <c r="L17" s="17"/>
      <c r="M17" s="17"/>
      <c r="N17" s="17"/>
    </row>
    <row r="18">
      <c r="A18" s="23">
        <v>16</v>
      </c>
      <c r="B18" s="15" t="str">
        <v>营销费用源表-品牌运营中心</v>
      </c>
      <c r="C18" s="25" t="str">
        <v>department_name</v>
      </c>
      <c r="D18" s="81" t="str">
        <v>核算维度.部门.名称</v>
      </c>
      <c r="E18" s="26" t="str">
        <v>STRING</v>
      </c>
      <c r="F18" s="23">
        <f>CONCAT(",",C18,"   ",E18,"   COMMENT'", D18,"'" )</f>
      </c>
      <c r="G18" s="17"/>
      <c r="H18" s="17"/>
      <c r="I18" s="17"/>
      <c r="J18" s="17"/>
      <c r="K18" s="33"/>
      <c r="L18" s="17"/>
      <c r="M18" s="17"/>
      <c r="N18" s="17"/>
    </row>
    <row r="19">
      <c r="A19" s="23">
        <v>17</v>
      </c>
      <c r="B19" s="15" t="str">
        <v>营销费用源表-品牌运营中心</v>
      </c>
      <c r="C19" s="25" t="str">
        <v>center</v>
      </c>
      <c r="D19" s="81" t="str">
        <v>中心</v>
      </c>
      <c r="E19" s="26" t="str">
        <v>STRING</v>
      </c>
      <c r="F19" s="23">
        <f>CONCAT(",",C19,"   ",E19,"   COMMENT'", D19,"'" )</f>
      </c>
      <c r="G19" s="17"/>
      <c r="H19" s="17"/>
      <c r="I19" s="17"/>
      <c r="J19" s="17"/>
      <c r="K19" s="33"/>
      <c r="L19" s="17"/>
      <c r="M19" s="17"/>
      <c r="N19" s="17"/>
    </row>
    <row r="20">
      <c r="A20" s="23">
        <v>18</v>
      </c>
      <c r="B20" s="15" t="str">
        <v>营销费用源表-品牌运营中心</v>
      </c>
      <c r="C20" s="25" t="str">
        <v>customer_name</v>
      </c>
      <c r="D20" s="81" t="str">
        <v>核算维度.客户.名称</v>
      </c>
      <c r="E20" s="26" t="str">
        <v>STRING</v>
      </c>
      <c r="F20" s="23">
        <f>CONCAT(",",C20,"   ",E20,"   COMMENT'", D20,"'" )</f>
      </c>
      <c r="G20" s="17"/>
      <c r="H20" s="17"/>
      <c r="I20" s="17"/>
      <c r="J20" s="17"/>
      <c r="K20" s="33"/>
      <c r="L20" s="17"/>
      <c r="M20" s="17"/>
      <c r="N20" s="17"/>
    </row>
    <row r="21">
      <c r="A21" s="23">
        <v>19</v>
      </c>
      <c r="B21" s="15" t="str">
        <v>营销费用源表-品牌运营中心</v>
      </c>
      <c r="C21" s="25" t="str">
        <v>cost_share_business_unit_name</v>
      </c>
      <c r="D21" s="81" t="str">
        <v>核算维度.费用分摊事业线.名称</v>
      </c>
      <c r="E21" s="26" t="str">
        <v>STRING</v>
      </c>
      <c r="F21" s="23">
        <f>CONCAT(",",C21,"   ",E21,"   COMMENT'", D21,"'" )</f>
      </c>
      <c r="G21" s="17"/>
      <c r="H21" s="17"/>
      <c r="I21" s="17"/>
      <c r="J21" s="17"/>
      <c r="K21" s="33"/>
      <c r="L21" s="17"/>
      <c r="M21" s="17"/>
      <c r="N21" s="17"/>
    </row>
    <row r="22">
      <c r="A22" s="23">
        <v>20</v>
      </c>
      <c r="B22" s="15" t="str">
        <v>营销费用源表-品牌运营中心</v>
      </c>
      <c r="C22" s="25" t="str">
        <v>currency</v>
      </c>
      <c r="D22" s="81" t="str">
        <v>币别</v>
      </c>
      <c r="E22" s="26" t="str">
        <v>STRING</v>
      </c>
      <c r="F22" s="23">
        <f>CONCAT(",",C22,"   ",E22,"   COMMENT'", D22,"'" )</f>
      </c>
      <c r="G22" s="17"/>
      <c r="H22" s="17"/>
      <c r="I22" s="17"/>
      <c r="J22" s="17"/>
      <c r="K22" s="33"/>
      <c r="L22" s="17"/>
      <c r="M22" s="17"/>
      <c r="N22" s="17"/>
    </row>
    <row r="23">
      <c r="A23" s="23">
        <v>21</v>
      </c>
      <c r="B23" s="15" t="str">
        <v>营销费用源表-品牌运营中心</v>
      </c>
      <c r="C23" s="25" t="str">
        <v>original_amount</v>
      </c>
      <c r="D23" s="81" t="str">
        <v>原币金额</v>
      </c>
      <c r="E23" s="17" t="str">
        <v>DECIMAL(30, 8)</v>
      </c>
      <c r="F23" s="23">
        <f>CONCAT(",",C23,"   ",E23,"   COMMENT'", D23,"'" )</f>
      </c>
      <c r="G23" s="17"/>
      <c r="H23" s="17"/>
      <c r="I23" s="17"/>
      <c r="J23" s="17"/>
      <c r="K23" s="33"/>
      <c r="L23" s="17"/>
      <c r="M23" s="17"/>
      <c r="N23" s="17"/>
    </row>
    <row r="24">
      <c r="A24" s="23">
        <v>22</v>
      </c>
      <c r="B24" s="15" t="str">
        <v>营销费用源表-品牌运营中心</v>
      </c>
      <c r="C24" s="25" t="str">
        <v>debit_amount</v>
      </c>
      <c r="D24" s="81" t="str">
        <v>借方金额</v>
      </c>
      <c r="E24" s="17" t="str">
        <v>DECIMAL(30, 8)</v>
      </c>
      <c r="F24" s="23">
        <f>CONCAT(",",C24,"   ",E24,"   COMMENT'", D24,"'" )</f>
      </c>
      <c r="G24" s="17"/>
      <c r="H24" s="17"/>
      <c r="I24" s="17"/>
      <c r="J24" s="17"/>
      <c r="K24" s="33"/>
      <c r="L24" s="17"/>
      <c r="M24" s="17"/>
      <c r="N24" s="17"/>
    </row>
    <row r="25">
      <c r="A25" s="23">
        <v>23</v>
      </c>
      <c r="B25" s="15" t="str">
        <v>营销费用源表-品牌运营中心</v>
      </c>
      <c r="C25" s="25" t="str">
        <v>credit_amount</v>
      </c>
      <c r="D25" s="81" t="str">
        <v>贷方金额</v>
      </c>
      <c r="E25" s="17" t="str">
        <v>DECIMAL(30, 8)</v>
      </c>
      <c r="F25" s="23">
        <f>CONCAT(",",C25,"   ",E25,"   COMMENT'", D25,"'" )</f>
      </c>
      <c r="G25" s="17"/>
      <c r="H25" s="17"/>
      <c r="I25" s="17"/>
      <c r="J25" s="17"/>
      <c r="K25" s="33"/>
      <c r="L25" s="17"/>
      <c r="M25" s="17"/>
      <c r="N25" s="17"/>
    </row>
    <row r="26">
      <c r="A26" s="23">
        <v>24</v>
      </c>
      <c r="B26" s="15" t="str">
        <v>营销费用源表-品牌运营中心</v>
      </c>
      <c r="C26" s="25" t="str">
        <v>creator</v>
      </c>
      <c r="D26" s="81" t="str">
        <v>制单</v>
      </c>
      <c r="E26" s="26" t="str">
        <v>STRING</v>
      </c>
      <c r="F26" s="23">
        <f>CONCAT(",",C26,"   ",E26,"   COMMENT'", D26,"'" )</f>
      </c>
      <c r="G26" s="17"/>
      <c r="H26" s="17"/>
      <c r="I26" s="17"/>
      <c r="J26" s="17"/>
      <c r="K26" s="33"/>
      <c r="L26" s="17"/>
      <c r="M26" s="17"/>
      <c r="N26" s="17"/>
    </row>
    <row r="27">
      <c r="A27" s="23">
        <v>25</v>
      </c>
      <c r="B27" s="15" t="str">
        <v>营销费用源表-品牌运营中心</v>
      </c>
      <c r="C27" s="25" t="str">
        <v>auditor</v>
      </c>
      <c r="D27" s="81" t="str">
        <v>审核</v>
      </c>
      <c r="E27" s="26" t="str">
        <v>STRING</v>
      </c>
      <c r="F27" s="23">
        <f>CONCAT(",",C27,"   ",E27,"   COMMENT'", D27,"'" )</f>
      </c>
      <c r="G27" s="17"/>
      <c r="H27" s="17"/>
      <c r="I27" s="17"/>
      <c r="J27" s="17"/>
      <c r="K27" s="33"/>
      <c r="L27" s="17"/>
      <c r="M27" s="17"/>
      <c r="N27" s="17"/>
    </row>
    <row r="28">
      <c r="A28" s="23">
        <v>26</v>
      </c>
      <c r="B28" s="15" t="str">
        <v>营销费用源表-品牌运营中心</v>
      </c>
      <c r="C28" s="25" t="str">
        <v>posting_type</v>
      </c>
      <c r="D28" s="81" t="str">
        <v>入账方式</v>
      </c>
      <c r="E28" s="26" t="str">
        <v>STRING</v>
      </c>
      <c r="F28" s="23">
        <f>CONCAT(",",C28,"   ",E28,"   COMMENT'", D28,"'" )</f>
      </c>
      <c r="G28" s="17"/>
      <c r="H28" s="17"/>
      <c r="I28" s="17"/>
      <c r="J28" s="17"/>
      <c r="K28" s="33"/>
      <c r="L28" s="17"/>
      <c r="M28" s="17"/>
      <c r="N28" s="17"/>
    </row>
    <row r="29">
      <c r="A29" s="23">
        <v>27</v>
      </c>
      <c r="B29" s="15" t="str">
        <v>营销费用源表-品牌运营中心</v>
      </c>
      <c r="C29" s="25" t="str">
        <v>remarks</v>
      </c>
      <c r="D29" s="81" t="str">
        <v>备注</v>
      </c>
      <c r="E29" s="26" t="str">
        <v>STRING</v>
      </c>
      <c r="F29" s="23">
        <f>CONCAT(",",C29,"   ",E29,"   COMMENT'", D29,"'" )</f>
      </c>
      <c r="G29" s="17"/>
      <c r="H29" s="17"/>
      <c r="I29" s="17"/>
      <c r="J29" s="17"/>
      <c r="K29" s="33"/>
      <c r="L29" s="17"/>
      <c r="M29" s="17"/>
      <c r="N29" s="17"/>
    </row>
    <row r="30">
      <c r="A30" s="23">
        <v>28</v>
      </c>
      <c r="B30" s="15" t="str">
        <v>营销费用源表-品牌运营中心</v>
      </c>
      <c r="C30" s="25" t="str">
        <v>posting</v>
      </c>
      <c r="D30" s="81" t="str">
        <v>过账</v>
      </c>
      <c r="E30" s="26" t="str">
        <v>STRING</v>
      </c>
      <c r="F30" s="23">
        <f>CONCAT(",",C30,"   ",E30,"   COMMENT'", D30,"'" )</f>
      </c>
      <c r="G30" s="17"/>
      <c r="H30" s="17"/>
      <c r="I30" s="17"/>
      <c r="J30" s="17"/>
      <c r="K30" s="33"/>
      <c r="L30" s="17"/>
      <c r="M30" s="17"/>
      <c r="N30" s="17"/>
    </row>
    <row r="31">
      <c r="A31" s="23">
        <v>29</v>
      </c>
      <c r="B31" s="15" t="str">
        <v>营销费用源表-品牌运营中心</v>
      </c>
      <c r="C31" s="25" t="str">
        <v>cashier</v>
      </c>
      <c r="D31" s="81" t="str">
        <v>出纳</v>
      </c>
      <c r="E31" s="26" t="str">
        <v>STRING</v>
      </c>
      <c r="F31" s="23">
        <f>CONCAT(",",C31,"   ",E31,"   COMMENT'", D31,"'" )</f>
      </c>
      <c r="G31" s="17"/>
      <c r="H31" s="17"/>
      <c r="I31" s="17"/>
      <c r="J31" s="17"/>
      <c r="K31" s="33"/>
      <c r="L31" s="17"/>
      <c r="M31" s="17"/>
      <c r="N31" s="17"/>
    </row>
    <row r="32">
      <c r="A32" s="23">
        <v>30</v>
      </c>
      <c r="B32" s="15" t="str">
        <v>营销费用源表-品牌运营中心</v>
      </c>
      <c r="C32" s="25" t="str">
        <v>attachment_num</v>
      </c>
      <c r="D32" s="82" t="str">
        <v>附件数</v>
      </c>
      <c r="E32" s="26" t="str">
        <v>STRING</v>
      </c>
      <c r="F32" s="23">
        <f>CONCAT(",",C32,"   ",E32,"   COMMENT'", D32,"'" )</f>
      </c>
      <c r="G32" s="52"/>
      <c r="H32" s="52"/>
      <c r="I32" s="52"/>
      <c r="J32" s="52"/>
      <c r="K32" s="74"/>
      <c r="L32" s="52"/>
      <c r="M32" s="52"/>
      <c r="N32" s="52"/>
    </row>
    <row r="33">
      <c r="A33" s="23">
        <v>31</v>
      </c>
      <c r="B33" s="15" t="str">
        <v>营销费用源表-品牌运营中心</v>
      </c>
      <c r="C33" s="25" t="str">
        <v>source_system</v>
      </c>
      <c r="D33" s="81" t="str">
        <v>来源系统</v>
      </c>
      <c r="E33" s="26" t="str">
        <v>STRING</v>
      </c>
      <c r="F33" s="23">
        <f>CONCAT(",",C33,"   ",E33,"   COMMENT'", D33,"'" )</f>
      </c>
      <c r="G33" s="17"/>
      <c r="H33" s="17"/>
      <c r="I33" s="17"/>
      <c r="J33" s="17"/>
      <c r="K33" s="17"/>
      <c r="L33" s="17"/>
      <c r="M33" s="17"/>
      <c r="N33" s="17"/>
    </row>
    <row r="34">
      <c r="A34" s="23">
        <v>32</v>
      </c>
      <c r="B34" s="15" t="str">
        <v>营销费用源表-品牌运营中心</v>
      </c>
      <c r="C34" s="25" t="str">
        <v>business_type</v>
      </c>
      <c r="D34" s="81" t="str">
        <v>业务类型</v>
      </c>
      <c r="E34" s="26" t="str">
        <v>STRING</v>
      </c>
      <c r="F34" s="23">
        <f>CONCAT(",",C34,"   ",E34,"   COMMENT'", D34,"'" )</f>
      </c>
      <c r="G34" s="17"/>
      <c r="H34" s="17"/>
      <c r="I34" s="17"/>
      <c r="J34" s="17"/>
      <c r="K34" s="17"/>
      <c r="L34" s="17"/>
      <c r="M34" s="17"/>
      <c r="N34" s="17"/>
    </row>
    <row r="35">
      <c r="A35" s="23">
        <v>33</v>
      </c>
      <c r="B35" s="15" t="str">
        <v>营销费用源表-品牌运营中心</v>
      </c>
      <c r="C35" s="25" t="str">
        <v>audit_status</v>
      </c>
      <c r="D35" s="81" t="str">
        <v>审核状态</v>
      </c>
      <c r="E35" s="26" t="str">
        <v>STRING</v>
      </c>
      <c r="F35" s="23">
        <f>CONCAT(",",C35,"   ",E35,"   COMMENT'", D35,"'" )</f>
      </c>
      <c r="G35" s="17"/>
      <c r="H35" s="17"/>
      <c r="I35" s="17"/>
      <c r="J35" s="17"/>
      <c r="K35" s="17"/>
      <c r="L35" s="17"/>
      <c r="M35" s="17"/>
      <c r="N35" s="17"/>
    </row>
    <row r="36">
      <c r="A36" s="23">
        <v>34</v>
      </c>
      <c r="B36" s="15" t="str">
        <v>营销费用源表-品牌运营中心</v>
      </c>
      <c r="C36" s="25" t="str">
        <v>void_status</v>
      </c>
      <c r="D36" s="81" t="str">
        <v>作废状态</v>
      </c>
      <c r="E36" s="26" t="str">
        <v>STRING</v>
      </c>
      <c r="F36" s="23">
        <f>CONCAT(",",C36,"   ",E36,"   COMMENT'", D36,"'" )</f>
      </c>
      <c r="G36" s="17"/>
      <c r="H36" s="17"/>
      <c r="I36" s="17"/>
      <c r="J36" s="17"/>
      <c r="K36" s="17"/>
      <c r="L36" s="17"/>
      <c r="M36" s="17"/>
      <c r="N36" s="17"/>
    </row>
    <row r="37">
      <c r="A37" s="23">
        <v>35</v>
      </c>
      <c r="B37" s="15" t="str">
        <v>营销费用源表-品牌运营中心</v>
      </c>
      <c r="C37" s="25" t="str">
        <v>audit_date</v>
      </c>
      <c r="D37" s="81" t="str">
        <v>审核日期</v>
      </c>
      <c r="E37" s="26" t="str">
        <v>STRING</v>
      </c>
      <c r="F37" s="23">
        <f>CONCAT(",",C37,"   ",E37,"   COMMENT'", D37,"'" )</f>
      </c>
      <c r="G37" s="17"/>
      <c r="H37" s="17"/>
      <c r="I37" s="17"/>
      <c r="J37" s="17"/>
      <c r="K37" s="17"/>
      <c r="L37" s="17"/>
      <c r="M37" s="17"/>
      <c r="N37" s="17"/>
    </row>
    <row r="38">
      <c r="A38" s="23">
        <v>36</v>
      </c>
      <c r="B38" s="15" t="str">
        <v>营销费用源表-品牌运营中心</v>
      </c>
      <c r="C38" s="25" t="str">
        <v>source_document_no</v>
      </c>
      <c r="D38" s="81" t="str">
        <v>来源单据号</v>
      </c>
      <c r="E38" s="26" t="str">
        <v>STRING</v>
      </c>
      <c r="F38" s="23">
        <f>CONCAT(",",C38,"   ",E38,"   COMMENT'", D38,"'" )</f>
      </c>
      <c r="G38" s="17"/>
      <c r="H38" s="17"/>
      <c r="I38" s="17"/>
      <c r="J38" s="17"/>
      <c r="K38" s="17"/>
      <c r="L38" s="17"/>
      <c r="M38" s="17"/>
      <c r="N38" s="17"/>
    </row>
    <row r="39">
      <c r="D39" s="2"/>
    </row>
    <row r="40"/>
    <row r="41">
      <c r="B41" s="27" t="str">
        <v>品牌运营中心-营销费用</v>
      </c>
      <c r="C41" s="27" t="str">
        <v>brand_op_center_marketing_expense</v>
      </c>
      <c r="D41" s="27"/>
      <c r="E41" s="28"/>
    </row>
    <row r="42">
      <c r="B42" s="27" t="str">
        <v>日期</v>
      </c>
      <c r="C42" s="27" t="str">
        <v>date</v>
      </c>
      <c r="D42" s="27" t="str">
        <v>date</v>
      </c>
      <c r="E42" s="28"/>
    </row>
    <row r="43">
      <c r="B43" s="27" t="str">
        <v>会计年度</v>
      </c>
      <c r="C43" s="27" t="str">
        <v>fiscal_year</v>
      </c>
      <c r="D43" s="27" t="str">
        <v>int</v>
      </c>
      <c r="E43" s="28"/>
    </row>
    <row r="44">
      <c r="B44" s="27" t="str">
        <v>期间</v>
      </c>
      <c r="C44" s="27" t="str">
        <v>period</v>
      </c>
      <c r="D44" s="27" t="str">
        <v>int</v>
      </c>
      <c r="E44" s="28"/>
    </row>
    <row r="45">
      <c r="B45" s="27" t="str">
        <v>凭证字</v>
      </c>
      <c r="C45" s="27" t="str">
        <v>voucher_word</v>
      </c>
      <c r="D45" s="27" t="str">
        <v>varchar</v>
      </c>
      <c r="E45" s="28">
        <v>20</v>
      </c>
    </row>
    <row r="46">
      <c r="B46" s="27" t="str">
        <v>凭证号</v>
      </c>
      <c r="C46" s="27" t="str">
        <v>voucher_no</v>
      </c>
      <c r="D46" s="27" t="str">
        <v>int</v>
      </c>
      <c r="E46" s="28"/>
    </row>
    <row r="47">
      <c r="B47" s="27" t="str">
        <v>分类</v>
      </c>
      <c r="C47" s="27" t="str">
        <v>category</v>
      </c>
      <c r="D47" s="27" t="str">
        <v>varchar</v>
      </c>
      <c r="E47" s="28">
        <v>50</v>
      </c>
    </row>
    <row r="48">
      <c r="B48" s="27" t="str">
        <v>摘要</v>
      </c>
      <c r="C48" s="27" t="str">
        <v>summary</v>
      </c>
      <c r="D48" s="27" t="str">
        <v>varchar</v>
      </c>
      <c r="E48" s="28">
        <v>200</v>
      </c>
    </row>
    <row r="49">
      <c r="B49" s="27" t="str">
        <v>敏捷数据</v>
      </c>
      <c r="C49" s="27" t="str">
        <v>agile_data</v>
      </c>
      <c r="D49" s="27" t="str">
        <v>varchar</v>
      </c>
      <c r="E49" s="28">
        <v>50</v>
      </c>
    </row>
    <row r="50">
      <c r="B50" s="27" t="str">
        <v>科目全名</v>
      </c>
      <c r="C50" s="27" t="str">
        <v>account_fullname</v>
      </c>
      <c r="D50" s="27" t="str">
        <v>varchar</v>
      </c>
      <c r="E50" s="28">
        <v>200</v>
      </c>
    </row>
    <row r="51">
      <c r="B51" s="27" t="str">
        <v>核算维度.渠道.名称</v>
      </c>
      <c r="C51" s="27" t="str">
        <v>channel_name</v>
      </c>
      <c r="D51" s="27" t="str">
        <v>varchar</v>
      </c>
      <c r="E51" s="28">
        <v>200</v>
      </c>
    </row>
    <row r="52">
      <c r="B52" s="27" t="str">
        <v>核算维度.预算科目.名称</v>
      </c>
      <c r="C52" s="27" t="str">
        <v>budget_account_name</v>
      </c>
      <c r="D52" s="27" t="str">
        <v>varchar</v>
      </c>
      <c r="E52" s="28">
        <v>200</v>
      </c>
    </row>
    <row r="53">
      <c r="B53" s="27" t="str">
        <v>预算科目</v>
      </c>
      <c r="C53" s="27" t="str">
        <v>budget_account</v>
      </c>
      <c r="D53" s="27" t="str">
        <v>varchar</v>
      </c>
      <c r="E53" s="28">
        <v>50</v>
      </c>
    </row>
    <row r="54">
      <c r="B54" s="27" t="str">
        <v>预算一级科目</v>
      </c>
      <c r="C54" s="27" t="str">
        <v>budget_first_account</v>
      </c>
      <c r="D54" s="27" t="str">
        <v>varchar</v>
      </c>
      <c r="E54" s="28">
        <v>50</v>
      </c>
    </row>
    <row r="55">
      <c r="B55" s="27" t="str">
        <v>预算二级科目</v>
      </c>
      <c r="C55" s="27" t="str">
        <v>budget_second_account</v>
      </c>
      <c r="D55" s="27" t="str">
        <v>varchar</v>
      </c>
      <c r="E55" s="28">
        <v>50</v>
      </c>
    </row>
    <row r="56">
      <c r="B56" s="27" t="str">
        <v>核算维度.部门.名称</v>
      </c>
      <c r="C56" s="27" t="str">
        <v>department_name</v>
      </c>
      <c r="D56" s="27" t="str">
        <v>varchar</v>
      </c>
      <c r="E56" s="28">
        <v>200</v>
      </c>
    </row>
    <row r="57">
      <c r="B57" s="27" t="str">
        <v>中心</v>
      </c>
      <c r="C57" s="27" t="str">
        <v>center</v>
      </c>
      <c r="D57" s="27" t="str">
        <v>varchar</v>
      </c>
      <c r="E57" s="28">
        <v>50</v>
      </c>
    </row>
    <row r="58">
      <c r="B58" s="27" t="str">
        <v>核算维度.客户.名称</v>
      </c>
      <c r="C58" s="27" t="str">
        <v>customer_name</v>
      </c>
      <c r="D58" s="27" t="str">
        <v>varchar</v>
      </c>
      <c r="E58" s="28">
        <v>200</v>
      </c>
    </row>
    <row r="59">
      <c r="B59" s="27" t="str">
        <v>核算维度.费用分摊事业线.名称</v>
      </c>
      <c r="C59" s="27" t="str">
        <v>cost_share_business_unit_name</v>
      </c>
      <c r="D59" s="27" t="str">
        <v>varchar</v>
      </c>
      <c r="E59" s="28">
        <v>200</v>
      </c>
    </row>
    <row r="60">
      <c r="B60" s="27" t="str">
        <v>币别</v>
      </c>
      <c r="C60" s="27" t="str">
        <v>currency</v>
      </c>
      <c r="D60" s="27" t="str">
        <v>varchar</v>
      </c>
      <c r="E60" s="28">
        <v>50</v>
      </c>
    </row>
    <row r="61">
      <c r="B61" s="27" t="str">
        <v>原币金额</v>
      </c>
      <c r="C61" s="27" t="str">
        <v>original_amount</v>
      </c>
      <c r="D61" s="27" t="str">
        <v>decimal</v>
      </c>
      <c r="E61" s="28"/>
    </row>
    <row r="62">
      <c r="B62" s="27" t="str">
        <v>借方金额</v>
      </c>
      <c r="C62" s="27" t="str">
        <v>debit_amount</v>
      </c>
      <c r="D62" s="27" t="str">
        <v>decimal</v>
      </c>
      <c r="E62" s="28"/>
    </row>
    <row r="63">
      <c r="B63" s="27" t="str">
        <v>贷方金额</v>
      </c>
      <c r="C63" s="27" t="str">
        <v>credit_amount</v>
      </c>
      <c r="D63" s="27" t="str">
        <v>decimal</v>
      </c>
      <c r="E63" s="28"/>
    </row>
    <row r="64">
      <c r="B64" s="27" t="str">
        <v>制单</v>
      </c>
      <c r="C64" s="27" t="str">
        <v>creator</v>
      </c>
      <c r="D64" s="27" t="str">
        <v>varchar</v>
      </c>
      <c r="E64" s="28">
        <v>50</v>
      </c>
    </row>
    <row r="65">
      <c r="B65" s="27" t="str">
        <v>审核</v>
      </c>
      <c r="C65" s="27" t="str">
        <v>auditor</v>
      </c>
      <c r="D65" s="27" t="str">
        <v>varchar</v>
      </c>
      <c r="E65" s="28">
        <v>50</v>
      </c>
    </row>
    <row r="66">
      <c r="B66" s="27" t="str">
        <v>入账方式</v>
      </c>
      <c r="C66" s="27" t="str">
        <v>posting_type</v>
      </c>
      <c r="D66" s="27" t="str">
        <v>varchar</v>
      </c>
      <c r="E66" s="28">
        <v>50</v>
      </c>
    </row>
    <row r="67">
      <c r="B67" s="27" t="str">
        <v>备注</v>
      </c>
      <c r="C67" s="27" t="str">
        <v>remarks</v>
      </c>
      <c r="D67" s="27" t="str">
        <v>varchar</v>
      </c>
      <c r="E67" s="28">
        <v>200</v>
      </c>
    </row>
    <row r="68">
      <c r="B68" s="27" t="str">
        <v>过账</v>
      </c>
      <c r="C68" s="27" t="str">
        <v>posting</v>
      </c>
      <c r="D68" s="27" t="str">
        <v>varchar</v>
      </c>
      <c r="E68" s="28">
        <v>50</v>
      </c>
    </row>
    <row r="69">
      <c r="B69" s="27" t="str">
        <v>出纳</v>
      </c>
      <c r="C69" s="27" t="str">
        <v>cashier</v>
      </c>
      <c r="D69" s="27" t="str">
        <v>varchar</v>
      </c>
      <c r="E69" s="28">
        <v>50</v>
      </c>
    </row>
    <row r="70">
      <c r="B70" s="27" t="str">
        <v>附件数</v>
      </c>
      <c r="C70" s="27" t="str">
        <v>attachment_num</v>
      </c>
      <c r="D70" s="27" t="str">
        <v>int</v>
      </c>
      <c r="E70" s="28"/>
    </row>
    <row r="71">
      <c r="B71" s="27" t="str">
        <v>来源系统</v>
      </c>
      <c r="C71" s="27" t="str">
        <v>source_system</v>
      </c>
      <c r="D71" s="27" t="str">
        <v>varchar</v>
      </c>
      <c r="E71" s="28">
        <v>50</v>
      </c>
    </row>
    <row r="72">
      <c r="B72" s="27" t="str">
        <v>业务类型</v>
      </c>
      <c r="C72" s="27" t="str">
        <v>business_type</v>
      </c>
      <c r="D72" s="27" t="str">
        <v>varchar</v>
      </c>
      <c r="E72" s="28">
        <v>50</v>
      </c>
    </row>
    <row r="73">
      <c r="B73" s="27" t="str">
        <v>审核状态</v>
      </c>
      <c r="C73" s="27" t="str">
        <v>audit_status</v>
      </c>
      <c r="D73" s="27" t="str">
        <v>varchar</v>
      </c>
      <c r="E73" s="28">
        <v>50</v>
      </c>
    </row>
    <row r="74">
      <c r="B74" s="27" t="str">
        <v>作废状态</v>
      </c>
      <c r="C74" s="27" t="str">
        <v>void_status</v>
      </c>
      <c r="D74" s="27" t="str">
        <v>varchar</v>
      </c>
      <c r="E74" s="28">
        <v>50</v>
      </c>
    </row>
    <row r="75">
      <c r="B75" s="27" t="str">
        <v>审核日期</v>
      </c>
      <c r="C75" s="27" t="str">
        <v>audit_date</v>
      </c>
      <c r="D75" s="27" t="str">
        <v>date</v>
      </c>
      <c r="E75" s="28"/>
    </row>
    <row r="76">
      <c r="B76" s="27" t="str">
        <v>来源单据号</v>
      </c>
      <c r="C76" s="27" t="str">
        <v>source_document_no</v>
      </c>
      <c r="D76" s="27" t="str">
        <v>varchar</v>
      </c>
      <c r="E76" s="28">
        <v>50</v>
      </c>
    </row>
  </sheetData>
  <mergeCells>
    <mergeCell ref="A1:H1"/>
    <mergeCell ref="I1:N1"/>
  </mergeCells>
  <picture r:id="rId1"/>
</worksheet>
</file>

<file path=xl/worksheets/sheet3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6"/>
    <col collapsed="false" customWidth="true" hidden="false" max="3" min="3" style="0" width="33"/>
    <col collapsed="false" customWidth="true" hidden="false" max="4" min="4" style="0" width="27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32"/>
    <col collapsed="false" customWidth="true" hidden="false" max="9" min="9" style="0" width="20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5"/>
    <col collapsed="false" customWidth="true" hidden="false" max="13" min="13" style="0" width="20"/>
    <col collapsed="false" customWidth="true" hidden="false" max="14" min="14" style="0" width="11"/>
  </cols>
  <sheetData>
    <row r="1">
      <c r="A1" s="9" t="str">
        <v>数据模型属性定义</v>
      </c>
      <c r="B1" s="9"/>
      <c r="C1" s="9"/>
      <c r="D1" s="9"/>
      <c r="E1" s="9"/>
      <c r="F1" s="9"/>
      <c r="G1" s="9"/>
      <c r="H1" s="9"/>
      <c r="I1" s="37" t="str">
        <v>系统溯源分析</v>
      </c>
      <c r="J1" s="37"/>
      <c r="K1" s="37"/>
      <c r="L1" s="37"/>
      <c r="M1" s="37"/>
      <c r="N1" s="37"/>
      <c r="O1" s="1"/>
      <c r="P1" s="1"/>
      <c r="Q1" s="1"/>
      <c r="R1" s="1"/>
      <c r="S1" s="1"/>
      <c r="T1" s="1"/>
    </row>
    <row r="2">
      <c r="A2" s="19" t="str">
        <v>序号</v>
      </c>
      <c r="B2" s="19" t="str">
        <v>模型名称</v>
      </c>
      <c r="C2" s="20" t="str">
        <v>字段</v>
      </c>
      <c r="D2" s="19" t="str">
        <v>字段描述</v>
      </c>
      <c r="E2" s="19" t="str">
        <v>字段类型</v>
      </c>
      <c r="F2" s="19" t="str">
        <v>字段长度</v>
      </c>
      <c r="G2" s="19" t="str">
        <v>是否主键</v>
      </c>
      <c r="H2" s="19" t="str">
        <v>字段备注</v>
      </c>
      <c r="I2" s="35" t="str">
        <v>数据来源系统</v>
      </c>
      <c r="J2" s="35" t="str">
        <v>数据来源表</v>
      </c>
      <c r="K2" s="35" t="str">
        <v>来源表描述</v>
      </c>
      <c r="L2" s="36" t="str">
        <v>来源字段</v>
      </c>
      <c r="M2" s="36" t="str">
        <v>来源字段描述</v>
      </c>
      <c r="N2" s="36" t="str">
        <v>备注</v>
      </c>
      <c r="O2" s="1"/>
      <c r="P2" s="1"/>
      <c r="Q2" s="1"/>
      <c r="R2" s="1"/>
      <c r="S2" s="1"/>
      <c r="T2" s="1"/>
    </row>
    <row r="3">
      <c r="A3" s="54">
        <v>1</v>
      </c>
      <c r="B3" s="32" t="str">
        <v>营销费用源表-内容热推</v>
      </c>
      <c r="C3" s="25" t="str">
        <v>appearance_count</v>
      </c>
      <c r="D3" s="85" t="str">
        <v>出现次数</v>
      </c>
      <c r="E3" s="86" t="str">
        <v>STRING</v>
      </c>
      <c r="F3" s="86">
        <f>CONCAT(",",C3,"   ",E3,"   COMMENT'", D3,"'" )</f>
      </c>
      <c r="G3" s="86"/>
      <c r="H3" s="86"/>
      <c r="I3" s="86"/>
      <c r="J3" s="86"/>
      <c r="K3" s="86"/>
      <c r="L3" s="86"/>
      <c r="M3" s="86"/>
      <c r="N3" s="86"/>
    </row>
    <row r="4">
      <c r="A4" s="54">
        <v>2</v>
      </c>
      <c r="B4" s="32" t="str">
        <v>营销费用源表-内容热推</v>
      </c>
      <c r="C4" s="25" t="str">
        <v>auxiliary_column</v>
      </c>
      <c r="D4" s="85" t="str">
        <v>辅助列</v>
      </c>
      <c r="E4" s="86" t="str">
        <v>STRING</v>
      </c>
      <c r="F4" s="86">
        <f>CONCAT(",",C4,"   ",E4,"   COMMENT'", D4,"'" )</f>
      </c>
      <c r="G4" s="86"/>
      <c r="H4" s="86"/>
      <c r="I4" s="86"/>
      <c r="J4" s="86"/>
      <c r="K4" s="86"/>
      <c r="L4" s="86"/>
      <c r="M4" s="86"/>
      <c r="N4" s="86"/>
    </row>
    <row r="5">
      <c r="A5" s="54">
        <v>3</v>
      </c>
      <c r="B5" s="32" t="str">
        <v>营销费用源表-内容热推</v>
      </c>
      <c r="C5" s="25" t="str">
        <v>cost_date</v>
      </c>
      <c r="D5" s="85" t="str">
        <v>日期</v>
      </c>
      <c r="E5" s="86" t="str">
        <v>STRING</v>
      </c>
      <c r="F5" s="86">
        <f>CONCAT(",",C5,"   ",E5,"   COMMENT'", D5,"'" )</f>
      </c>
      <c r="G5" s="86"/>
      <c r="H5" s="86"/>
      <c r="I5" s="86"/>
      <c r="J5" s="86"/>
      <c r="K5" s="86"/>
      <c r="L5" s="86"/>
      <c r="M5" s="86"/>
      <c r="N5" s="86"/>
    </row>
    <row r="6">
      <c r="A6" s="54">
        <v>4</v>
      </c>
      <c r="B6" s="32" t="str">
        <v>营销费用源表-内容热推</v>
      </c>
      <c r="C6" s="25" t="str">
        <v>channel</v>
      </c>
      <c r="D6" s="85" t="str">
        <v>渠道</v>
      </c>
      <c r="E6" s="86" t="str">
        <v>STRING</v>
      </c>
      <c r="F6" s="86">
        <f>CONCAT(",",C6,"   ",E6,"   COMMENT'", D6,"'" )</f>
      </c>
      <c r="G6" s="86"/>
      <c r="H6" s="86"/>
      <c r="I6" s="86"/>
      <c r="J6" s="86"/>
      <c r="K6" s="86"/>
      <c r="L6" s="86"/>
      <c r="M6" s="86"/>
      <c r="N6" s="86"/>
    </row>
    <row r="7">
      <c r="A7" s="54">
        <v>5</v>
      </c>
      <c r="B7" s="32" t="str">
        <v>营销费用源表-内容热推</v>
      </c>
      <c r="C7" s="25" t="str">
        <v>delivery_content</v>
      </c>
      <c r="D7" s="85" t="str">
        <v>投放内容</v>
      </c>
      <c r="E7" s="86" t="str">
        <v>STRING</v>
      </c>
      <c r="F7" s="86">
        <f>CONCAT(",",C7,"   ",E7,"   COMMENT'", D7,"'" )</f>
      </c>
      <c r="G7" s="86"/>
      <c r="H7" s="86"/>
      <c r="I7" s="86"/>
      <c r="J7" s="86"/>
      <c r="K7" s="86"/>
      <c r="L7" s="86"/>
      <c r="M7" s="86"/>
      <c r="N7" s="86"/>
    </row>
    <row r="8">
      <c r="A8" s="54">
        <v>6</v>
      </c>
      <c r="B8" s="32" t="str">
        <v>营销费用源表-内容热推</v>
      </c>
      <c r="C8" s="25" t="str">
        <v>content_type</v>
      </c>
      <c r="D8" s="85" t="str">
        <v>内容类型</v>
      </c>
      <c r="E8" s="86" t="str">
        <v>STRING</v>
      </c>
      <c r="F8" s="86">
        <f>CONCAT(",",C8,"   ",E8,"   COMMENT'", D8,"'" )</f>
      </c>
      <c r="G8" s="86"/>
      <c r="H8" s="86"/>
      <c r="I8" s="86"/>
      <c r="J8" s="86"/>
      <c r="K8" s="86"/>
      <c r="L8" s="86"/>
      <c r="M8" s="86"/>
      <c r="N8" s="86"/>
    </row>
    <row r="9">
      <c r="A9" s="54">
        <v>7</v>
      </c>
      <c r="B9" s="32" t="str">
        <v>营销费用源表-内容热推</v>
      </c>
      <c r="C9" s="25" t="str">
        <v>core_population</v>
      </c>
      <c r="D9" s="85" t="str">
        <v>核心人群</v>
      </c>
      <c r="E9" s="86" t="str">
        <v>STRING</v>
      </c>
      <c r="F9" s="86">
        <f>CONCAT(",",C9,"   ",E9,"   COMMENT'", D9,"'" )</f>
      </c>
      <c r="G9" s="86"/>
      <c r="H9" s="86"/>
      <c r="I9" s="86"/>
      <c r="J9" s="86"/>
      <c r="K9" s="86"/>
      <c r="L9" s="86"/>
      <c r="M9" s="86"/>
      <c r="N9" s="86"/>
    </row>
    <row r="10">
      <c r="A10" s="54">
        <v>8</v>
      </c>
      <c r="B10" s="32" t="str">
        <v>营销费用源表-内容热推</v>
      </c>
      <c r="C10" s="25" t="str">
        <v>delivery_purpose</v>
      </c>
      <c r="D10" s="85" t="str">
        <v>投放目的</v>
      </c>
      <c r="E10" s="86" t="str">
        <v>STRING</v>
      </c>
      <c r="F10" s="86">
        <f>CONCAT(",",C10,"   ",E10,"   COMMENT'", D10,"'" )</f>
      </c>
      <c r="G10" s="86"/>
      <c r="H10" s="86"/>
      <c r="I10" s="86"/>
      <c r="J10" s="86"/>
      <c r="K10" s="86"/>
      <c r="L10" s="86"/>
      <c r="M10" s="86"/>
      <c r="N10" s="86"/>
    </row>
    <row r="11">
      <c r="A11" s="54">
        <v>9</v>
      </c>
      <c r="B11" s="32" t="str">
        <v>营销费用源表-内容热推</v>
      </c>
      <c r="C11" s="25" t="str">
        <v>start</v>
      </c>
      <c r="D11" s="85" t="str">
        <v>开始</v>
      </c>
      <c r="E11" s="86" t="str">
        <v>STRING</v>
      </c>
      <c r="F11" s="86">
        <f>CONCAT(",",C11,"   ",E11,"   COMMENT'", D11,"'" )</f>
      </c>
      <c r="G11" s="86"/>
      <c r="H11" s="86"/>
      <c r="I11" s="86"/>
      <c r="J11" s="86"/>
      <c r="K11" s="86"/>
      <c r="L11" s="86"/>
      <c r="M11" s="86"/>
      <c r="N11" s="86"/>
    </row>
    <row r="12">
      <c r="A12" s="54">
        <v>10</v>
      </c>
      <c r="B12" s="32" t="str">
        <v>营销费用源表-内容热推</v>
      </c>
      <c r="C12" s="25" t="str">
        <v>duration</v>
      </c>
      <c r="D12" s="85" t="str">
        <v>持续</v>
      </c>
      <c r="E12" s="86" t="str">
        <v>STRING</v>
      </c>
      <c r="F12" s="86">
        <f>CONCAT(",",C12,"   ",E12,"   COMMENT'", D12,"'" )</f>
      </c>
      <c r="G12" s="86"/>
      <c r="H12" s="86"/>
      <c r="I12" s="86"/>
      <c r="J12" s="86"/>
      <c r="K12" s="86"/>
      <c r="L12" s="86"/>
      <c r="M12" s="86"/>
      <c r="N12" s="86"/>
    </row>
    <row r="13">
      <c r="A13" s="54">
        <v>11</v>
      </c>
      <c r="B13" s="32" t="str">
        <v>营销费用源表-内容热推</v>
      </c>
      <c r="C13" s="25" t="str">
        <v>product</v>
      </c>
      <c r="D13" s="85" t="str">
        <v>产品</v>
      </c>
      <c r="E13" s="86" t="str">
        <v>STRING</v>
      </c>
      <c r="F13" s="86">
        <f>CONCAT(",",C13,"   ",E13,"   COMMENT'", D13,"'" )</f>
      </c>
      <c r="G13" s="86"/>
      <c r="H13" s="86"/>
      <c r="I13" s="86"/>
      <c r="J13" s="86"/>
      <c r="K13" s="86"/>
      <c r="L13" s="86"/>
      <c r="M13" s="86"/>
      <c r="N13" s="86"/>
    </row>
    <row r="14">
      <c r="A14" s="54">
        <v>12</v>
      </c>
      <c r="B14" s="32" t="str">
        <v>营销费用源表-内容热推</v>
      </c>
      <c r="C14" s="25" t="str">
        <v>douyin_id</v>
      </c>
      <c r="D14" s="85" t="str">
        <v>抖音ID</v>
      </c>
      <c r="E14" s="86" t="str">
        <v>STRING</v>
      </c>
      <c r="F14" s="86">
        <f>CONCAT(",",C14,"   ",E14,"   COMMENT'", D14,"'" )</f>
      </c>
      <c r="G14" s="86"/>
      <c r="H14" s="86"/>
      <c r="I14" s="86"/>
      <c r="J14" s="86"/>
      <c r="K14" s="86"/>
      <c r="L14" s="86"/>
      <c r="M14" s="86"/>
      <c r="N14" s="86"/>
    </row>
    <row r="15">
      <c r="A15" s="54">
        <v>13</v>
      </c>
      <c r="B15" s="32" t="str">
        <v>营销费用源表-内容热推</v>
      </c>
      <c r="C15" s="25" t="str">
        <v>cost_amount</v>
      </c>
      <c r="D15" s="85" t="str">
        <v>花费</v>
      </c>
      <c r="E15" s="17" t="str">
        <v>DECIMAL(30, 8)</v>
      </c>
      <c r="F15" s="86">
        <f>CONCAT(",",C15,"   ",E15,"   COMMENT'", D15,"'" )</f>
      </c>
      <c r="G15" s="86"/>
      <c r="H15" s="86"/>
      <c r="I15" s="86"/>
      <c r="J15" s="86"/>
      <c r="K15" s="86"/>
      <c r="L15" s="86"/>
      <c r="M15" s="86"/>
      <c r="N15" s="86"/>
    </row>
    <row r="16">
      <c r="A16" s="54">
        <v>14</v>
      </c>
      <c r="B16" s="32" t="str">
        <v>营销费用源表-内容热推</v>
      </c>
      <c r="C16" s="25" t="str">
        <v>play_count</v>
      </c>
      <c r="D16" s="85" t="str">
        <v>播放量</v>
      </c>
      <c r="E16" s="86" t="str">
        <v>STRING</v>
      </c>
      <c r="F16" s="86">
        <f>CONCAT(",",C16,"   ",E16,"   COMMENT'", D16,"'" )</f>
      </c>
      <c r="G16" s="86"/>
      <c r="H16" s="86"/>
      <c r="I16" s="86"/>
      <c r="J16" s="86"/>
      <c r="K16" s="86"/>
      <c r="L16" s="86"/>
      <c r="M16" s="86"/>
      <c r="N16" s="86"/>
    </row>
    <row r="17">
      <c r="A17" s="54">
        <v>15</v>
      </c>
      <c r="B17" s="32" t="str">
        <v>营销费用源表-内容热推</v>
      </c>
      <c r="C17" s="25" t="str">
        <v>shopping_cart_click</v>
      </c>
      <c r="D17" s="85" t="str">
        <v>购物车点击</v>
      </c>
      <c r="E17" s="86" t="str">
        <v>STRING</v>
      </c>
      <c r="F17" s="86">
        <f>CONCAT(",",C17,"   ",E17,"   COMMENT'", D17,"'" )</f>
      </c>
      <c r="G17" s="86"/>
      <c r="H17" s="86"/>
      <c r="I17" s="86"/>
      <c r="J17" s="86"/>
      <c r="K17" s="86"/>
      <c r="L17" s="86"/>
      <c r="M17" s="86"/>
      <c r="N17" s="86"/>
    </row>
    <row r="18">
      <c r="A18" s="54">
        <v>16</v>
      </c>
      <c r="B18" s="32" t="str">
        <v>营销费用源表-内容热推</v>
      </c>
      <c r="C18" s="25" t="str">
        <v>comment_on</v>
      </c>
      <c r="D18" s="85" t="str">
        <v>评论</v>
      </c>
      <c r="E18" s="86" t="str">
        <v>STRING</v>
      </c>
      <c r="F18" s="86">
        <f>CONCAT(",",C18,"   ",E18,"   COMMENT'", D18,"'" )</f>
      </c>
      <c r="G18" s="86"/>
      <c r="H18" s="86"/>
      <c r="I18" s="86"/>
      <c r="J18" s="86"/>
      <c r="K18" s="86"/>
      <c r="L18" s="86"/>
      <c r="M18" s="86"/>
      <c r="N18" s="86"/>
    </row>
    <row r="19">
      <c r="A19" s="54">
        <v>17</v>
      </c>
      <c r="B19" s="32" t="str">
        <v>营销费用源表-内容热推</v>
      </c>
      <c r="C19" s="25" t="str">
        <v>repost</v>
      </c>
      <c r="D19" s="85" t="str">
        <v>转发</v>
      </c>
      <c r="E19" s="86" t="str">
        <v>STRING</v>
      </c>
      <c r="F19" s="86">
        <f>CONCAT(",",C19,"   ",E19,"   COMMENT'", D19,"'" )</f>
      </c>
      <c r="G19" s="86"/>
      <c r="H19" s="86"/>
      <c r="I19" s="86"/>
      <c r="J19" s="86"/>
      <c r="K19" s="86"/>
      <c r="L19" s="86"/>
      <c r="M19" s="86"/>
      <c r="N19" s="86"/>
    </row>
    <row r="20">
      <c r="A20" s="54">
        <v>18</v>
      </c>
      <c r="B20" s="32" t="str">
        <v>营销费用源表-内容热推</v>
      </c>
      <c r="C20" s="25" t="str">
        <v>cpm</v>
      </c>
      <c r="D20" s="85" t="str">
        <v>CPM</v>
      </c>
      <c r="E20" s="86" t="str">
        <v>STRING</v>
      </c>
      <c r="F20" s="86">
        <f>CONCAT(",",C20,"   ",E20,"   COMMENT'", D20,"'" )</f>
      </c>
      <c r="G20" s="86"/>
      <c r="H20" s="86"/>
      <c r="I20" s="86"/>
      <c r="J20" s="86"/>
      <c r="K20" s="86"/>
      <c r="L20" s="86"/>
      <c r="M20" s="86"/>
      <c r="N20" s="86"/>
    </row>
    <row r="21">
      <c r="A21" s="54">
        <v>19</v>
      </c>
      <c r="B21" s="32" t="str">
        <v>营销费用源表-内容热推</v>
      </c>
      <c r="C21" s="25" t="str">
        <v>shopping_cart_click_rate</v>
      </c>
      <c r="D21" s="85" t="str">
        <v>购物车点击率</v>
      </c>
      <c r="E21" s="86" t="str">
        <v>STRING</v>
      </c>
      <c r="F21" s="86">
        <f>CONCAT(",",C21,"   ",E21,"   COMMENT'", D21,"'" )</f>
      </c>
      <c r="G21" s="86"/>
      <c r="H21" s="86"/>
      <c r="I21" s="86"/>
      <c r="J21" s="86"/>
      <c r="K21" s="86"/>
      <c r="L21" s="86"/>
      <c r="M21" s="86"/>
      <c r="N21" s="86"/>
    </row>
    <row r="22">
      <c r="A22" s="54">
        <v>20</v>
      </c>
      <c r="B22" s="32" t="str">
        <v>营销费用源表-内容热推</v>
      </c>
      <c r="C22" s="25" t="str">
        <v>shopping_cart_click_cost</v>
      </c>
      <c r="D22" s="85" t="str">
        <v>购物车点击成本</v>
      </c>
      <c r="E22" s="86" t="str">
        <v>STRING</v>
      </c>
      <c r="F22" s="86">
        <f>CONCAT(",",C22,"   ",E22,"   COMMENT'", D22,"'" )</f>
      </c>
      <c r="G22" s="86"/>
      <c r="H22" s="86"/>
      <c r="I22" s="86"/>
      <c r="J22" s="86"/>
      <c r="K22" s="86"/>
      <c r="L22" s="86"/>
      <c r="M22" s="86"/>
      <c r="N22" s="86"/>
    </row>
    <row r="23">
      <c r="A23" s="54">
        <v>21</v>
      </c>
      <c r="B23" s="32" t="str">
        <v>营销费用源表-内容热推</v>
      </c>
      <c r="C23" s="25" t="str">
        <v>organization</v>
      </c>
      <c r="D23" s="85" t="str">
        <v>机构</v>
      </c>
      <c r="E23" s="86" t="str">
        <v>STRING</v>
      </c>
      <c r="F23" s="86">
        <f>CONCAT(",",C23,"   ",E23,"   COMMENT'", D23,"'" )</f>
      </c>
      <c r="G23" s="86"/>
      <c r="H23" s="86"/>
      <c r="I23" s="86"/>
      <c r="J23" s="86"/>
      <c r="K23" s="86"/>
      <c r="L23" s="86"/>
      <c r="M23" s="86"/>
      <c r="N23" s="86"/>
    </row>
    <row r="24">
      <c r="A24" s="54">
        <v>22</v>
      </c>
      <c r="B24" s="32" t="str">
        <v>营销费用源表-内容热推</v>
      </c>
      <c r="C24" s="25" t="str">
        <v>order_amount</v>
      </c>
      <c r="D24" s="85" t="str">
        <v>下单金额</v>
      </c>
      <c r="E24" s="17" t="str">
        <v>DECIMAL(30, 8)</v>
      </c>
      <c r="F24" s="86">
        <f>CONCAT(",",C24,"   ",E24,"   COMMENT'", D24,"'" )</f>
      </c>
      <c r="G24" s="86"/>
      <c r="H24" s="86"/>
      <c r="I24" s="86"/>
      <c r="J24" s="86"/>
      <c r="K24" s="86"/>
      <c r="L24" s="86"/>
      <c r="M24" s="86"/>
      <c r="N24" s="86"/>
    </row>
    <row r="25">
      <c r="A25" s="54">
        <v>23</v>
      </c>
      <c r="B25" s="32" t="str">
        <v>营销费用源表-内容热推</v>
      </c>
      <c r="C25" s="25" t="str">
        <v>actual_cost</v>
      </c>
      <c r="D25" s="85" t="str">
        <v>实际花费</v>
      </c>
      <c r="E25" s="17" t="str">
        <v>DECIMAL(30, 8)</v>
      </c>
      <c r="F25" s="86">
        <f>CONCAT(",",C25,"   ",E25,"   COMMENT'", D25,"'" )</f>
      </c>
      <c r="G25" s="86"/>
      <c r="H25" s="86"/>
      <c r="I25" s="86"/>
      <c r="J25" s="86"/>
      <c r="K25" s="86"/>
      <c r="L25" s="86"/>
      <c r="M25" s="86"/>
      <c r="N25" s="86"/>
    </row>
    <row r="26">
      <c r="A26" s="54">
        <v>24</v>
      </c>
      <c r="B26" s="32" t="str">
        <v>营销费用源表-内容热推</v>
      </c>
      <c r="C26" s="25" t="str">
        <v>follow</v>
      </c>
      <c r="D26" s="85" t="str">
        <v>关注</v>
      </c>
      <c r="E26" s="86" t="str">
        <v>STRING</v>
      </c>
      <c r="F26" s="86">
        <f>CONCAT(",",C26,"   ",E26,"   COMMENT'", D26,"'" )</f>
      </c>
      <c r="G26" s="86"/>
      <c r="H26" s="86"/>
      <c r="I26" s="86"/>
      <c r="J26" s="86"/>
      <c r="K26" s="86"/>
      <c r="L26" s="86"/>
      <c r="M26" s="86"/>
      <c r="N26" s="86"/>
    </row>
    <row r="27">
      <c r="A27" s="54">
        <v>25</v>
      </c>
      <c r="B27" s="32" t="str">
        <v>营销费用源表-内容热推</v>
      </c>
      <c r="C27" s="25" t="str">
        <v>homepage_views</v>
      </c>
      <c r="D27" s="85" t="str">
        <v>主页浏览</v>
      </c>
      <c r="E27" s="86" t="str">
        <v>STRING</v>
      </c>
      <c r="F27" s="86">
        <f>CONCAT(",",C27,"   ",E27,"   COMMENT'", D27,"'" )</f>
      </c>
      <c r="G27" s="86"/>
      <c r="H27" s="86"/>
      <c r="I27" s="86"/>
      <c r="J27" s="86"/>
      <c r="K27" s="86"/>
      <c r="L27" s="86"/>
      <c r="M27" s="86"/>
      <c r="N27" s="86"/>
    </row>
    <row r="28">
      <c r="A28" s="54">
        <v>26</v>
      </c>
      <c r="B28" s="32" t="str">
        <v>营销费用源表-内容热推</v>
      </c>
      <c r="C28" s="25" t="str">
        <v>product_click</v>
      </c>
      <c r="D28" s="85" t="str">
        <v>商品点击</v>
      </c>
      <c r="E28" s="86" t="str">
        <v>STRING</v>
      </c>
      <c r="F28" s="86">
        <f>CONCAT(",",C28,"   ",E28,"   COMMENT'", D28,"'" )</f>
      </c>
      <c r="G28" s="86"/>
      <c r="H28" s="86"/>
      <c r="I28" s="86"/>
      <c r="J28" s="86"/>
      <c r="K28" s="86"/>
      <c r="L28" s="86"/>
      <c r="M28" s="86"/>
      <c r="N28" s="86"/>
    </row>
    <row r="29">
      <c r="A29" s="54">
        <v>27</v>
      </c>
      <c r="B29" s="32" t="str">
        <v>营销费用源表-内容热推</v>
      </c>
      <c r="C29" s="25" t="str">
        <v>taoke_click</v>
      </c>
      <c r="D29" s="85" t="str">
        <v>淘客点击</v>
      </c>
      <c r="E29" s="86" t="str">
        <v>STRING</v>
      </c>
      <c r="F29" s="86">
        <f>CONCAT(",",C29,"   ",E29,"   COMMENT'", D29,"'" )</f>
      </c>
      <c r="G29" s="86"/>
      <c r="H29" s="86"/>
      <c r="I29" s="86"/>
      <c r="J29" s="86"/>
      <c r="K29" s="86"/>
      <c r="L29" s="86"/>
      <c r="M29" s="86"/>
      <c r="N29" s="86"/>
    </row>
    <row r="30">
      <c r="A30" s="54">
        <v>28</v>
      </c>
      <c r="B30" s="32" t="str">
        <v>营销费用源表-内容热推</v>
      </c>
      <c r="C30" s="25" t="str">
        <v>payment_count</v>
      </c>
      <c r="D30" s="85" t="str">
        <v>付款笔数</v>
      </c>
      <c r="E30" s="86" t="str">
        <v>STRING</v>
      </c>
      <c r="F30" s="86">
        <f>CONCAT(",",C30,"   ",E30,"   COMMENT'", D30,"'" )</f>
      </c>
      <c r="G30" s="86"/>
      <c r="H30" s="86"/>
      <c r="I30" s="86"/>
      <c r="J30" s="86"/>
      <c r="K30" s="86"/>
      <c r="L30" s="86"/>
      <c r="M30" s="86"/>
      <c r="N30" s="86"/>
    </row>
    <row r="31">
      <c r="A31" s="54">
        <v>29</v>
      </c>
      <c r="B31" s="32" t="str">
        <v>营销费用源表-内容热推</v>
      </c>
      <c r="C31" s="25" t="str">
        <v>visitor_link</v>
      </c>
      <c r="D31" s="85" t="str">
        <v>访客-link</v>
      </c>
      <c r="E31" s="86" t="str">
        <v>STRING</v>
      </c>
      <c r="F31" s="86">
        <f>CONCAT(",",C31,"   ",E31,"   COMMENT'", D31,"'" )</f>
      </c>
      <c r="G31" s="86"/>
      <c r="H31" s="86"/>
      <c r="I31" s="86"/>
      <c r="J31" s="86"/>
      <c r="K31" s="86"/>
      <c r="L31" s="86"/>
      <c r="M31" s="86"/>
      <c r="N31" s="86"/>
    </row>
    <row r="32">
      <c r="A32" s="54">
        <v>30</v>
      </c>
      <c r="B32" s="32" t="str">
        <v>营销费用源表-内容热推</v>
      </c>
      <c r="C32" s="25" t="str">
        <v>collection_link</v>
      </c>
      <c r="D32" s="85" t="str">
        <v>收藏-link</v>
      </c>
      <c r="E32" s="86" t="str">
        <v>STRING</v>
      </c>
      <c r="F32" s="86">
        <f>CONCAT(",",C32,"   ",E32,"   COMMENT'", D32,"'" )</f>
      </c>
      <c r="G32" s="86"/>
      <c r="H32" s="86"/>
      <c r="I32" s="86"/>
      <c r="J32" s="86"/>
      <c r="K32" s="86"/>
      <c r="L32" s="86"/>
      <c r="M32" s="86"/>
      <c r="N32" s="86"/>
    </row>
    <row r="33">
      <c r="A33" s="54">
        <v>31</v>
      </c>
      <c r="B33" s="32" t="str">
        <v>营销费用源表-内容热推</v>
      </c>
      <c r="C33" s="25" t="str">
        <v>add_to_cart_link</v>
      </c>
      <c r="D33" s="85" t="str">
        <v>加购-link</v>
      </c>
      <c r="E33" s="86" t="str">
        <v>STRING</v>
      </c>
      <c r="F33" s="86">
        <f>CONCAT(",",C33,"   ",E33,"   COMMENT'", D33,"'" )</f>
      </c>
      <c r="G33" s="86"/>
      <c r="H33" s="86"/>
      <c r="I33" s="86"/>
      <c r="J33" s="86"/>
      <c r="K33" s="86"/>
      <c r="L33" s="86"/>
      <c r="M33" s="86"/>
      <c r="N33" s="86"/>
    </row>
    <row r="34">
      <c r="A34" s="54">
        <v>32</v>
      </c>
      <c r="B34" s="32" t="str">
        <v>营销费用源表-内容热推</v>
      </c>
      <c r="C34" s="25" t="str">
        <v>order_count_link</v>
      </c>
      <c r="D34" s="85" t="str">
        <v>成交订单数-link</v>
      </c>
      <c r="E34" s="86" t="str">
        <v>STRING</v>
      </c>
      <c r="F34" s="86">
        <f>CONCAT(",",C34,"   ",E34,"   COMMENT'", D34,"'" )</f>
      </c>
      <c r="G34" s="86"/>
      <c r="H34" s="86"/>
      <c r="I34" s="86"/>
      <c r="J34" s="86"/>
      <c r="K34" s="86"/>
      <c r="L34" s="86"/>
      <c r="M34" s="86"/>
      <c r="N34" s="86"/>
    </row>
    <row r="35">
      <c r="A35" s="54">
        <v>33</v>
      </c>
      <c r="B35" s="32" t="str">
        <v>营销费用源表-内容热推</v>
      </c>
      <c r="C35" s="25" t="str">
        <v>order_amount_link</v>
      </c>
      <c r="D35" s="85" t="str">
        <v>成交金额-link</v>
      </c>
      <c r="E35" s="86" t="str">
        <v>STRING</v>
      </c>
      <c r="F35" s="86">
        <f>CONCAT(",",C35,"   ",E35,"   COMMENT'", D35,"'" )</f>
      </c>
      <c r="G35" s="86"/>
      <c r="H35" s="86"/>
      <c r="I35" s="86"/>
      <c r="J35" s="86"/>
      <c r="K35" s="86"/>
      <c r="L35" s="86"/>
      <c r="M35" s="86"/>
      <c r="N35" s="86"/>
    </row>
    <row r="36">
      <c r="A36" s="54">
        <v>34</v>
      </c>
      <c r="B36" s="32" t="str">
        <v>营销费用源表-内容热推</v>
      </c>
      <c r="C36" s="25" t="str">
        <v>visitor</v>
      </c>
      <c r="D36" s="85" t="str">
        <v>访客</v>
      </c>
      <c r="E36" s="86" t="str">
        <v>STRING</v>
      </c>
      <c r="F36" s="86">
        <f>CONCAT(",",C36,"   ",E36,"   COMMENT'", D36,"'" )</f>
      </c>
      <c r="G36" s="86"/>
      <c r="H36" s="86"/>
      <c r="I36" s="86"/>
      <c r="J36" s="86"/>
      <c r="K36" s="86"/>
      <c r="L36" s="86"/>
      <c r="M36" s="86"/>
      <c r="N36" s="86"/>
    </row>
    <row r="37">
      <c r="A37" s="54">
        <v>35</v>
      </c>
      <c r="B37" s="32" t="str">
        <v>营销费用源表-内容热推</v>
      </c>
      <c r="C37" s="25" t="str">
        <v>collect</v>
      </c>
      <c r="D37" s="85" t="str">
        <v>收藏</v>
      </c>
      <c r="E37" s="86" t="str">
        <v>STRING</v>
      </c>
      <c r="F37" s="86">
        <f>CONCAT(",",C37,"   ",E37,"   COMMENT'", D37,"'" )</f>
      </c>
      <c r="G37" s="86"/>
      <c r="H37" s="86"/>
      <c r="I37" s="86"/>
      <c r="J37" s="86"/>
      <c r="K37" s="86"/>
      <c r="L37" s="86"/>
      <c r="M37" s="86"/>
      <c r="N37" s="86"/>
    </row>
    <row r="38">
      <c r="A38" s="54">
        <v>36</v>
      </c>
      <c r="B38" s="32" t="str">
        <v>营销费用源表-内容热推</v>
      </c>
      <c r="C38" s="25" t="str">
        <v>add_to_cart</v>
      </c>
      <c r="D38" s="85" t="str">
        <v>加购</v>
      </c>
      <c r="E38" s="86" t="str">
        <v>STRING</v>
      </c>
      <c r="F38" s="86">
        <f>CONCAT(",",C38,"   ",E38,"   COMMENT'", D38,"'" )</f>
      </c>
      <c r="G38" s="86"/>
      <c r="H38" s="86"/>
      <c r="I38" s="86"/>
      <c r="J38" s="86"/>
      <c r="K38" s="86"/>
      <c r="L38" s="86"/>
      <c r="M38" s="86"/>
      <c r="N38" s="86"/>
    </row>
    <row r="39">
      <c r="A39" s="54">
        <v>37</v>
      </c>
      <c r="B39" s="32" t="str">
        <v>营销费用源表-内容热推</v>
      </c>
      <c r="C39" s="25" t="str">
        <v>order_count</v>
      </c>
      <c r="D39" s="85" t="str">
        <v>成交订单数</v>
      </c>
      <c r="E39" s="86" t="str">
        <v>STRING</v>
      </c>
      <c r="F39" s="86">
        <f>CONCAT(",",C39,"   ",E39,"   COMMENT'", D39,"'" )</f>
      </c>
      <c r="G39" s="86"/>
      <c r="H39" s="86"/>
      <c r="I39" s="86"/>
      <c r="J39" s="86"/>
      <c r="K39" s="86"/>
      <c r="L39" s="86"/>
      <c r="M39" s="86"/>
      <c r="N39" s="86"/>
    </row>
    <row r="40">
      <c r="A40" s="54">
        <v>38</v>
      </c>
      <c r="B40" s="32" t="str">
        <v>营销费用源表-内容热推</v>
      </c>
      <c r="C40" s="25" t="str">
        <v>actual_order_amount</v>
      </c>
      <c r="D40" s="85" t="str">
        <v>成交金额</v>
      </c>
      <c r="E40" s="17" t="str">
        <v>DECIMAL(30, 8)</v>
      </c>
      <c r="F40" s="86">
        <f>CONCAT(",",C40,"   ",E40,"   COMMENT'", D40,"'" )</f>
      </c>
      <c r="G40" s="86"/>
      <c r="H40" s="86"/>
      <c r="I40" s="86"/>
      <c r="J40" s="86"/>
      <c r="K40" s="86"/>
      <c r="L40" s="86"/>
      <c r="M40" s="86"/>
      <c r="N40" s="86"/>
    </row>
    <row r="41">
      <c r="A41" s="54">
        <v>39</v>
      </c>
      <c r="B41" s="32" t="str">
        <v>营销费用源表-内容热推</v>
      </c>
      <c r="C41" s="25" t="str">
        <v>remark</v>
      </c>
      <c r="D41" s="85" t="str">
        <v>备注</v>
      </c>
      <c r="E41" s="86" t="str">
        <v>STRING</v>
      </c>
      <c r="F41" s="86">
        <f>CONCAT(",",C41,"   ",E41,"   COMMENT'", D41,"'" )</f>
      </c>
      <c r="G41" s="86"/>
      <c r="H41" s="86"/>
      <c r="I41" s="86"/>
      <c r="J41" s="86"/>
      <c r="K41" s="86"/>
      <c r="L41" s="86"/>
      <c r="M41" s="86"/>
      <c r="N41" s="86"/>
    </row>
    <row r="42">
      <c r="A42" s="54">
        <v>40</v>
      </c>
      <c r="B42" s="32" t="str">
        <v>营销费用源表-内容热推</v>
      </c>
      <c r="C42" s="25" t="str">
        <v>video_id</v>
      </c>
      <c r="D42" s="85" t="str">
        <v>视频ID</v>
      </c>
      <c r="E42" s="86" t="str">
        <v>STRING</v>
      </c>
      <c r="F42" s="86">
        <f>CONCAT(",",C42,"   ",E42,"   COMMENT'", D42,"'" )</f>
      </c>
      <c r="G42" s="86"/>
      <c r="H42" s="86"/>
      <c r="I42" s="86"/>
      <c r="J42" s="86"/>
      <c r="K42" s="86"/>
      <c r="L42" s="86"/>
      <c r="M42" s="86"/>
      <c r="N42" s="86"/>
    </row>
    <row r="43">
      <c r="A43" s="54">
        <v>41</v>
      </c>
      <c r="B43" s="32" t="str">
        <v>营销费用源表-内容热推</v>
      </c>
      <c r="C43" s="25" t="str">
        <v>video_link</v>
      </c>
      <c r="D43" s="85" t="str">
        <v>视频链接</v>
      </c>
      <c r="E43" s="86" t="str">
        <v>STRING</v>
      </c>
      <c r="F43" s="86">
        <f>CONCAT(",",C43,"   ",E43,"   COMMENT'", D43,"'" )</f>
      </c>
      <c r="G43" s="86"/>
      <c r="H43" s="86"/>
      <c r="I43" s="86"/>
      <c r="J43" s="86"/>
      <c r="K43" s="86"/>
      <c r="L43" s="86"/>
      <c r="M43" s="86"/>
      <c r="N43" s="86"/>
    </row>
    <row r="44">
      <c r="A44" s="54">
        <v>42</v>
      </c>
      <c r="B44" s="32" t="str">
        <v>营销费用源表-内容热推</v>
      </c>
      <c r="C44" s="25" t="str">
        <v>shopping_cart</v>
      </c>
      <c r="D44" s="85" t="str">
        <v>购物车</v>
      </c>
      <c r="E44" s="86" t="str">
        <v>STRING</v>
      </c>
      <c r="F44" s="86">
        <f>CONCAT(",",C44,"   ",E44,"   COMMENT'", D44,"'" )</f>
      </c>
      <c r="G44" s="86"/>
      <c r="H44" s="86"/>
      <c r="I44" s="86"/>
      <c r="J44" s="86"/>
      <c r="K44" s="86"/>
      <c r="L44" s="86"/>
      <c r="M44" s="86"/>
      <c r="N44" s="86"/>
    </row>
    <row r="45">
      <c r="A45" s="54">
        <v>43</v>
      </c>
      <c r="B45" s="32" t="str">
        <v>营销费用源表-内容热推</v>
      </c>
      <c r="C45" s="25" t="str">
        <v>exposure_id</v>
      </c>
      <c r="D45" s="85" t="str">
        <v>流量宝曝光ID</v>
      </c>
      <c r="E45" s="86" t="str">
        <v>STRING</v>
      </c>
      <c r="F45" s="86">
        <f>CONCAT(",",C45,"   ",E45,"   COMMENT'", D45,"'" )</f>
      </c>
      <c r="G45" s="86"/>
      <c r="H45" s="86"/>
      <c r="I45" s="86"/>
      <c r="J45" s="86"/>
      <c r="K45" s="86"/>
      <c r="L45" s="86"/>
      <c r="M45" s="86"/>
      <c r="N45" s="86"/>
    </row>
    <row r="46">
      <c r="A46" s="54">
        <v>44</v>
      </c>
      <c r="B46" s="32" t="str">
        <v>营销费用源表-内容热推</v>
      </c>
      <c r="C46" s="25" t="str">
        <v>content_matrix</v>
      </c>
      <c r="D46" s="85" t="str">
        <v>内容矩阵</v>
      </c>
      <c r="E46" s="86" t="str">
        <v>STRING</v>
      </c>
      <c r="F46" s="86">
        <f>CONCAT(",",C46,"   ",E46,"   COMMENT'", D46,"'" )</f>
      </c>
      <c r="G46" s="86"/>
      <c r="H46" s="86"/>
      <c r="I46" s="86"/>
      <c r="J46" s="86"/>
      <c r="K46" s="86"/>
      <c r="L46" s="86"/>
      <c r="M46" s="86"/>
      <c r="N46" s="86"/>
    </row>
    <row r="47">
      <c r="A47" s="54">
        <v>45</v>
      </c>
      <c r="B47" s="32" t="str">
        <v>营销费用源表-内容热推</v>
      </c>
      <c r="C47" s="25" t="str">
        <v>promotion_name</v>
      </c>
      <c r="D47" s="85" t="str">
        <v>推广位名称</v>
      </c>
      <c r="E47" s="86" t="str">
        <v>STRING</v>
      </c>
      <c r="F47" s="86">
        <f>CONCAT(",",C47,"   ",E47,"   COMMENT'", D47,"'" )</f>
      </c>
      <c r="G47" s="86"/>
      <c r="H47" s="86"/>
      <c r="I47" s="86"/>
      <c r="J47" s="86"/>
      <c r="K47" s="86"/>
      <c r="L47" s="86"/>
      <c r="M47" s="86"/>
      <c r="N47" s="86"/>
    </row>
    <row r="48">
      <c r="A48" s="54">
        <v>46</v>
      </c>
      <c r="B48" s="32" t="str">
        <v>营销费用源表-内容热推</v>
      </c>
      <c r="C48" s="25" t="str">
        <v>release_date</v>
      </c>
      <c r="D48" s="85" t="str">
        <v>发布日期</v>
      </c>
      <c r="E48" s="86" t="str">
        <v>STRING</v>
      </c>
      <c r="F48" s="86">
        <f>CONCAT(",",C48,"   ",E48,"   COMMENT'", D48,"'" )</f>
      </c>
      <c r="G48" s="86"/>
      <c r="H48" s="86"/>
      <c r="I48" s="86"/>
      <c r="J48" s="86"/>
      <c r="K48" s="86"/>
      <c r="L48" s="86"/>
      <c r="M48" s="86"/>
      <c r="N48" s="86"/>
    </row>
    <row r="49">
      <c r="A49" s="54">
        <v>47</v>
      </c>
      <c r="B49" s="32" t="str">
        <v>营销费用源表-内容热推</v>
      </c>
      <c r="C49" s="25" t="str">
        <v>agent</v>
      </c>
      <c r="D49" s="85" t="str">
        <v>代理商</v>
      </c>
      <c r="E49" s="86" t="str">
        <v>STRING</v>
      </c>
      <c r="F49" s="86">
        <f>CONCAT(",",C49,"   ",E49,"   COMMENT'", D49,"'" )</f>
      </c>
      <c r="G49" s="86"/>
      <c r="H49" s="86"/>
      <c r="I49" s="86"/>
      <c r="J49" s="86"/>
      <c r="K49" s="86"/>
      <c r="L49" s="86"/>
      <c r="M49" s="86"/>
      <c r="N49" s="86"/>
    </row>
    <row r="50">
      <c r="A50" s="1"/>
      <c r="B50" s="1"/>
      <c r="D50" s="1"/>
    </row>
    <row r="51">
      <c r="A51" s="1"/>
      <c r="B51" s="59"/>
      <c r="C51" s="59"/>
      <c r="D51" s="59"/>
      <c r="E51" s="60"/>
    </row>
    <row r="52">
      <c r="A52" s="1"/>
      <c r="B52" s="27"/>
      <c r="C52" s="27"/>
      <c r="D52" s="27"/>
      <c r="E52" s="28"/>
    </row>
    <row r="53">
      <c r="A53" s="1"/>
      <c r="B53" s="27"/>
      <c r="C53" s="27"/>
      <c r="D53" s="27"/>
      <c r="E53" s="28"/>
    </row>
    <row r="54">
      <c r="A54" s="1"/>
      <c r="B54" s="27"/>
      <c r="C54" s="27"/>
      <c r="D54" s="27"/>
      <c r="E54" s="28"/>
    </row>
    <row r="55">
      <c r="A55" s="1"/>
      <c r="B55" s="27"/>
      <c r="C55" s="27"/>
      <c r="D55" s="27"/>
      <c r="E55" s="28"/>
    </row>
    <row r="56">
      <c r="A56" s="1"/>
      <c r="B56" s="27"/>
      <c r="C56" s="27"/>
      <c r="D56" s="27"/>
      <c r="E56" s="28"/>
    </row>
    <row r="57">
      <c r="A57" s="1"/>
      <c r="B57" s="27"/>
      <c r="C57" s="27"/>
      <c r="D57" s="27"/>
      <c r="E57" s="28"/>
    </row>
    <row r="58">
      <c r="A58" s="1"/>
      <c r="B58" s="27"/>
      <c r="C58" s="27"/>
      <c r="D58" s="27"/>
      <c r="E58" s="28"/>
    </row>
    <row r="59">
      <c r="A59" s="1"/>
      <c r="B59" s="27"/>
      <c r="C59" s="27"/>
      <c r="D59" s="27"/>
      <c r="E59" s="28"/>
    </row>
    <row r="60">
      <c r="A60" s="1"/>
      <c r="B60" s="27"/>
      <c r="C60" s="27"/>
      <c r="D60" s="27"/>
      <c r="E60" s="28"/>
    </row>
    <row r="61">
      <c r="A61" s="1"/>
      <c r="B61" s="27"/>
      <c r="C61" s="27"/>
      <c r="D61" s="27"/>
      <c r="E61" s="28"/>
    </row>
    <row r="62">
      <c r="A62" s="1"/>
      <c r="B62" s="27"/>
      <c r="C62" s="27"/>
      <c r="D62" s="27"/>
      <c r="E62" s="28"/>
    </row>
    <row r="63">
      <c r="A63" s="1"/>
      <c r="B63" s="27"/>
      <c r="C63" s="27"/>
      <c r="D63" s="27"/>
      <c r="E63" s="28"/>
    </row>
    <row r="64">
      <c r="A64" s="1"/>
      <c r="B64" s="27"/>
      <c r="C64" s="27"/>
      <c r="D64" s="27"/>
      <c r="E64" s="28"/>
    </row>
    <row r="65">
      <c r="A65" s="1"/>
      <c r="B65" s="27"/>
      <c r="C65" s="27"/>
      <c r="D65" s="27"/>
      <c r="E65" s="28"/>
    </row>
    <row r="66">
      <c r="A66" s="1"/>
      <c r="B66" s="27"/>
      <c r="C66" s="27"/>
      <c r="D66" s="27"/>
      <c r="E66" s="28"/>
    </row>
    <row r="67">
      <c r="A67" s="1"/>
      <c r="B67" s="27"/>
      <c r="C67" s="27"/>
      <c r="D67" s="27"/>
      <c r="E67" s="28"/>
    </row>
    <row r="68">
      <c r="A68" s="1"/>
      <c r="B68" s="27"/>
      <c r="C68" s="27"/>
      <c r="D68" s="27"/>
      <c r="E68" s="28"/>
    </row>
    <row r="69">
      <c r="A69" s="1"/>
      <c r="B69" s="27"/>
      <c r="C69" s="27"/>
      <c r="D69" s="27"/>
      <c r="E69" s="28"/>
    </row>
    <row r="70">
      <c r="A70" s="1"/>
      <c r="B70" s="27"/>
      <c r="C70" s="27"/>
      <c r="D70" s="27"/>
      <c r="E70" s="28"/>
    </row>
    <row r="71">
      <c r="A71" s="1"/>
      <c r="B71" s="27"/>
      <c r="C71" s="27"/>
      <c r="D71" s="27"/>
      <c r="E71" s="28"/>
    </row>
    <row r="72">
      <c r="A72" s="1"/>
      <c r="B72" s="27"/>
      <c r="C72" s="27"/>
      <c r="D72" s="27"/>
      <c r="E72" s="28"/>
    </row>
    <row r="73">
      <c r="A73" s="1"/>
      <c r="B73" s="27"/>
      <c r="C73" s="27"/>
      <c r="D73" s="27"/>
      <c r="E73" s="28"/>
    </row>
    <row r="74">
      <c r="A74" s="1"/>
      <c r="B74" s="27"/>
      <c r="C74" s="27"/>
      <c r="D74" s="27"/>
      <c r="E74" s="28"/>
    </row>
    <row r="75">
      <c r="A75" s="1"/>
      <c r="B75" s="27"/>
      <c r="C75" s="27"/>
      <c r="D75" s="27"/>
      <c r="E75" s="28"/>
    </row>
    <row r="76">
      <c r="A76" s="1"/>
      <c r="B76" s="27"/>
      <c r="C76" s="27"/>
      <c r="D76" s="27"/>
      <c r="E76" s="28"/>
    </row>
    <row r="77">
      <c r="A77" s="1"/>
      <c r="B77" s="27"/>
      <c r="C77" s="27"/>
      <c r="D77" s="27"/>
      <c r="E77" s="28"/>
    </row>
    <row r="78">
      <c r="A78" s="1"/>
      <c r="B78" s="27"/>
      <c r="C78" s="27"/>
      <c r="D78" s="27"/>
      <c r="E78" s="28"/>
    </row>
    <row r="79">
      <c r="A79" s="1"/>
      <c r="B79" s="27"/>
      <c r="C79" s="27"/>
      <c r="D79" s="27"/>
      <c r="E79" s="28"/>
    </row>
    <row r="80">
      <c r="A80" s="1"/>
      <c r="B80" s="27"/>
      <c r="C80" s="27"/>
      <c r="D80" s="27"/>
      <c r="E80" s="28"/>
    </row>
    <row r="81">
      <c r="A81" s="1"/>
      <c r="B81" s="27"/>
      <c r="C81" s="27"/>
      <c r="D81" s="27"/>
      <c r="E81" s="28"/>
    </row>
    <row r="82">
      <c r="A82" s="1"/>
      <c r="B82" s="27"/>
      <c r="C82" s="27"/>
      <c r="D82" s="27"/>
      <c r="E82" s="28"/>
    </row>
    <row r="83">
      <c r="A83" s="1"/>
      <c r="B83" s="27"/>
      <c r="C83" s="27"/>
      <c r="D83" s="27"/>
      <c r="E83" s="28"/>
    </row>
    <row r="84">
      <c r="A84" s="1"/>
      <c r="B84" s="27"/>
      <c r="C84" s="27"/>
      <c r="D84" s="27"/>
      <c r="E84" s="28"/>
    </row>
    <row r="85">
      <c r="A85" s="1"/>
      <c r="B85" s="27"/>
      <c r="C85" s="27"/>
      <c r="D85" s="27"/>
      <c r="E85" s="28"/>
    </row>
    <row r="86">
      <c r="A86" s="1"/>
      <c r="B86" s="27"/>
      <c r="C86" s="27"/>
      <c r="D86" s="27"/>
      <c r="E86" s="28"/>
    </row>
    <row r="87">
      <c r="A87" s="1"/>
      <c r="B87" s="27"/>
      <c r="C87" s="27"/>
      <c r="D87" s="27"/>
      <c r="E87" s="28"/>
    </row>
    <row r="88">
      <c r="A88" s="1"/>
      <c r="B88" s="27"/>
      <c r="C88" s="27"/>
      <c r="D88" s="27"/>
      <c r="E88" s="28"/>
    </row>
    <row r="89">
      <c r="A89" s="1"/>
      <c r="B89" s="27"/>
      <c r="C89" s="27"/>
      <c r="D89" s="27"/>
      <c r="E89" s="28"/>
    </row>
    <row r="90">
      <c r="A90" s="1"/>
      <c r="B90" s="27"/>
      <c r="C90" s="27"/>
      <c r="D90" s="27"/>
      <c r="E90" s="28"/>
    </row>
    <row r="91">
      <c r="A91" s="1"/>
      <c r="B91" s="27"/>
      <c r="C91" s="27"/>
      <c r="D91" s="27"/>
      <c r="E91" s="28"/>
    </row>
    <row r="92">
      <c r="A92" s="1"/>
      <c r="B92" s="27"/>
      <c r="C92" s="27"/>
      <c r="D92" s="27"/>
      <c r="E92" s="28"/>
    </row>
    <row r="93">
      <c r="A93" s="1"/>
      <c r="B93" s="27"/>
      <c r="C93" s="27"/>
      <c r="D93" s="27"/>
      <c r="E93" s="28"/>
    </row>
    <row r="94">
      <c r="A94" s="1"/>
      <c r="B94" s="27"/>
      <c r="C94" s="27"/>
      <c r="D94" s="27"/>
      <c r="E94" s="28"/>
    </row>
    <row r="95">
      <c r="A95" s="1"/>
      <c r="B95" s="27"/>
      <c r="C95" s="27"/>
      <c r="D95" s="27"/>
      <c r="E95" s="28"/>
    </row>
    <row r="96">
      <c r="A96" s="1"/>
      <c r="B96" s="27"/>
      <c r="C96" s="27"/>
      <c r="D96" s="27"/>
      <c r="E96" s="28"/>
    </row>
    <row r="97">
      <c r="A97" s="1"/>
      <c r="B97" s="27"/>
      <c r="C97" s="27"/>
      <c r="D97" s="27"/>
      <c r="E97" s="28"/>
    </row>
    <row r="98">
      <c r="A98" s="1"/>
      <c r="B98" s="27"/>
      <c r="C98" s="27"/>
      <c r="D98" s="27"/>
      <c r="E98" s="28"/>
    </row>
    <row r="99">
      <c r="A99" s="1"/>
      <c r="B99" s="1"/>
      <c r="D99" s="1"/>
    </row>
    <row r="100">
      <c r="A100" s="1"/>
      <c r="B100" s="1"/>
      <c r="D100" s="1"/>
    </row>
    <row r="101">
      <c r="A101" s="1"/>
      <c r="B101" s="1"/>
      <c r="D101" s="1"/>
    </row>
    <row r="102">
      <c r="A102" s="1"/>
      <c r="B102" s="1"/>
      <c r="D102" s="1"/>
    </row>
    <row r="103">
      <c r="A103" s="1"/>
      <c r="B103" s="1"/>
      <c r="D103" s="1"/>
    </row>
    <row r="104">
      <c r="A104" s="1"/>
      <c r="B104" s="1"/>
      <c r="D104" s="1"/>
    </row>
    <row r="105">
      <c r="A105" s="1"/>
      <c r="B105" s="1"/>
      <c r="D105" s="1"/>
    </row>
    <row r="106">
      <c r="A106" s="1"/>
      <c r="B106" s="1"/>
      <c r="D106" s="1"/>
    </row>
    <row r="107">
      <c r="A107" s="1"/>
      <c r="B107" s="1"/>
      <c r="D107" s="1"/>
    </row>
    <row r="108">
      <c r="A108" s="1"/>
      <c r="B108" s="1"/>
      <c r="D108" s="1"/>
    </row>
    <row r="109">
      <c r="A109" s="1"/>
      <c r="B109" s="1"/>
      <c r="D109" s="1"/>
    </row>
    <row r="110">
      <c r="A110" s="1"/>
      <c r="B110" s="1"/>
      <c r="D110" s="1"/>
    </row>
    <row r="111">
      <c r="A111" s="1"/>
      <c r="B111" s="1"/>
      <c r="D111" s="1"/>
    </row>
    <row r="112">
      <c r="A112" s="1"/>
      <c r="B112" s="1"/>
      <c r="D112" s="1"/>
    </row>
    <row r="113">
      <c r="A113" s="1"/>
      <c r="B113" s="1"/>
      <c r="D113" s="1"/>
    </row>
    <row r="114">
      <c r="A114" s="1"/>
      <c r="B114" s="1"/>
      <c r="D114" s="1"/>
    </row>
    <row r="115">
      <c r="A115" s="1"/>
      <c r="B115" s="1"/>
      <c r="D115" s="1"/>
    </row>
    <row r="116">
      <c r="A116" s="1"/>
      <c r="B116" s="1"/>
      <c r="D116" s="1"/>
    </row>
    <row r="117">
      <c r="A117" s="1"/>
      <c r="B117" s="1"/>
      <c r="D117" s="1"/>
    </row>
    <row r="118">
      <c r="A118" s="1"/>
      <c r="B118" s="1"/>
      <c r="D118" s="1"/>
    </row>
    <row r="119">
      <c r="A119" s="1"/>
      <c r="B119" s="1"/>
      <c r="D119" s="1"/>
    </row>
    <row r="120">
      <c r="A120" s="1"/>
      <c r="B120" s="1"/>
      <c r="D120" s="1"/>
    </row>
    <row r="121">
      <c r="A121" s="1"/>
      <c r="B121" s="1"/>
      <c r="D121" s="1"/>
    </row>
    <row r="122">
      <c r="A122" s="1"/>
      <c r="B122" s="1"/>
      <c r="D122" s="1"/>
    </row>
    <row r="123">
      <c r="A123" s="1"/>
      <c r="B123" s="1"/>
      <c r="D123" s="1"/>
    </row>
    <row r="124">
      <c r="A124" s="1"/>
      <c r="B124" s="1"/>
      <c r="D124" s="1"/>
    </row>
    <row r="125">
      <c r="A125" s="1"/>
      <c r="B125" s="1"/>
      <c r="D125" s="1"/>
    </row>
    <row r="126">
      <c r="A126" s="1"/>
      <c r="B126" s="1"/>
      <c r="D126" s="1"/>
    </row>
    <row r="127">
      <c r="A127" s="1"/>
      <c r="B127" s="1"/>
      <c r="D127" s="1"/>
    </row>
    <row r="128">
      <c r="A128" s="1"/>
      <c r="B128" s="1"/>
      <c r="D128" s="1"/>
    </row>
    <row r="129">
      <c r="A129" s="1"/>
      <c r="B129" s="1"/>
      <c r="D129" s="1"/>
    </row>
    <row r="130">
      <c r="A130" s="1"/>
      <c r="B130" s="1"/>
      <c r="D130" s="1"/>
    </row>
    <row r="131">
      <c r="A131" s="1"/>
      <c r="B131" s="1"/>
      <c r="D131" s="1"/>
    </row>
    <row r="132">
      <c r="A132" s="1"/>
      <c r="B132" s="1"/>
      <c r="D132" s="1"/>
    </row>
    <row r="133">
      <c r="A133" s="1"/>
      <c r="B133" s="1"/>
      <c r="D133" s="1"/>
    </row>
    <row r="134">
      <c r="A134" s="1"/>
      <c r="B134" s="1"/>
      <c r="D134" s="1"/>
    </row>
    <row r="135">
      <c r="A135" s="1"/>
      <c r="B135" s="1"/>
      <c r="D135" s="1"/>
    </row>
    <row r="136">
      <c r="A136" s="1"/>
      <c r="B136" s="1"/>
      <c r="D136" s="1"/>
    </row>
    <row r="137">
      <c r="A137" s="1"/>
      <c r="B137" s="1"/>
      <c r="D137" s="1"/>
    </row>
    <row r="138">
      <c r="A138" s="1"/>
      <c r="B138" s="1"/>
      <c r="D138" s="1"/>
    </row>
    <row r="139">
      <c r="A139" s="1"/>
      <c r="B139" s="1"/>
      <c r="D139" s="1"/>
    </row>
    <row r="140">
      <c r="A140" s="1"/>
      <c r="B140" s="1"/>
      <c r="D140" s="1"/>
    </row>
    <row r="141">
      <c r="A141" s="1"/>
      <c r="B141" s="1"/>
      <c r="D141" s="1"/>
    </row>
    <row r="142">
      <c r="A142" s="1"/>
      <c r="B142" s="1"/>
      <c r="D142" s="1"/>
    </row>
    <row r="143">
      <c r="A143" s="1"/>
      <c r="B143" s="1"/>
      <c r="D143" s="1"/>
    </row>
    <row r="144">
      <c r="A144" s="1"/>
      <c r="B144" s="1"/>
      <c r="D144" s="1"/>
    </row>
    <row r="145">
      <c r="A145" s="1"/>
      <c r="B145" s="1"/>
      <c r="D145" s="1"/>
    </row>
    <row r="146">
      <c r="A146" s="1"/>
      <c r="B146" s="1"/>
      <c r="D146" s="1"/>
    </row>
    <row r="147">
      <c r="A147" s="1"/>
      <c r="B147" s="1"/>
      <c r="D147" s="1"/>
    </row>
    <row r="148">
      <c r="A148" s="1"/>
      <c r="B148" s="1"/>
      <c r="D148" s="1"/>
    </row>
    <row r="149">
      <c r="A149" s="1"/>
      <c r="B149" s="1"/>
      <c r="D149" s="1"/>
    </row>
    <row r="150">
      <c r="A150" s="1"/>
      <c r="B150" s="1"/>
      <c r="D150" s="1"/>
    </row>
    <row r="151">
      <c r="A151" s="1"/>
      <c r="B151" s="1"/>
      <c r="D151" s="1"/>
    </row>
    <row r="152">
      <c r="A152" s="1"/>
      <c r="B152" s="1"/>
      <c r="D152" s="1"/>
    </row>
    <row r="153">
      <c r="A153" s="1"/>
      <c r="B153" s="1"/>
      <c r="D153" s="1"/>
    </row>
    <row r="154">
      <c r="A154" s="1"/>
      <c r="B154" s="1"/>
      <c r="D154" s="1"/>
    </row>
    <row r="155">
      <c r="A155" s="1"/>
      <c r="B155" s="1"/>
      <c r="D155" s="1"/>
    </row>
    <row r="156">
      <c r="A156" s="1"/>
      <c r="B156" s="1"/>
      <c r="D156" s="1"/>
    </row>
    <row r="157">
      <c r="A157" s="1"/>
      <c r="B157" s="1"/>
      <c r="D157" s="1"/>
    </row>
    <row r="158">
      <c r="A158" s="1"/>
      <c r="B158" s="1"/>
      <c r="D158" s="1"/>
    </row>
    <row r="159">
      <c r="A159" s="1"/>
      <c r="B159" s="1"/>
      <c r="D159" s="1"/>
    </row>
    <row r="160">
      <c r="A160" s="1"/>
      <c r="B160" s="1"/>
      <c r="D160" s="1"/>
    </row>
    <row r="161">
      <c r="A161" s="1"/>
      <c r="B161" s="1"/>
      <c r="D161" s="1"/>
    </row>
    <row r="162">
      <c r="A162" s="1"/>
      <c r="B162" s="1"/>
      <c r="D162" s="1"/>
    </row>
    <row r="163">
      <c r="A163" s="1"/>
      <c r="B163" s="1"/>
      <c r="D163" s="1"/>
    </row>
    <row r="164">
      <c r="A164" s="1"/>
      <c r="B164" s="1"/>
      <c r="D164" s="1"/>
    </row>
    <row r="165">
      <c r="A165" s="1"/>
      <c r="B165" s="1"/>
      <c r="D165" s="1"/>
    </row>
    <row r="166">
      <c r="A166" s="1"/>
      <c r="B166" s="1"/>
      <c r="D166" s="1"/>
    </row>
    <row r="167">
      <c r="A167" s="1"/>
      <c r="B167" s="1"/>
      <c r="D167" s="1"/>
    </row>
    <row r="168">
      <c r="A168" s="1"/>
      <c r="B168" s="1"/>
      <c r="D168" s="1"/>
    </row>
    <row r="169">
      <c r="A169" s="1"/>
      <c r="B169" s="1"/>
      <c r="D169" s="1"/>
    </row>
    <row r="170">
      <c r="A170" s="1"/>
      <c r="B170" s="1"/>
      <c r="D170" s="1"/>
    </row>
    <row r="171">
      <c r="A171" s="1"/>
      <c r="B171" s="1"/>
      <c r="D171" s="1"/>
    </row>
    <row r="172">
      <c r="A172" s="1"/>
      <c r="B172" s="1"/>
      <c r="D172" s="1"/>
    </row>
    <row r="173">
      <c r="A173" s="1"/>
      <c r="B173" s="1"/>
      <c r="D173" s="1"/>
    </row>
    <row r="174">
      <c r="A174" s="1"/>
      <c r="B174" s="1"/>
      <c r="D174" s="1"/>
    </row>
    <row r="175">
      <c r="A175" s="1"/>
      <c r="B175" s="1"/>
      <c r="D175" s="1"/>
    </row>
    <row r="176">
      <c r="A176" s="1"/>
      <c r="B176" s="1"/>
      <c r="D176" s="1"/>
    </row>
    <row r="177">
      <c r="A177" s="1"/>
      <c r="B177" s="1"/>
      <c r="D177" s="1"/>
    </row>
    <row r="178">
      <c r="A178" s="1"/>
      <c r="B178" s="1"/>
      <c r="D178" s="1"/>
    </row>
    <row r="179">
      <c r="A179" s="1"/>
      <c r="B179" s="1"/>
      <c r="D179" s="1"/>
    </row>
    <row r="180">
      <c r="A180" s="1"/>
      <c r="B180" s="1"/>
      <c r="D180" s="1"/>
    </row>
    <row r="181">
      <c r="A181" s="1"/>
      <c r="B181" s="1"/>
      <c r="D181" s="1"/>
    </row>
    <row r="182">
      <c r="A182" s="1"/>
      <c r="B182" s="1"/>
      <c r="D182" s="1"/>
    </row>
    <row r="183">
      <c r="A183" s="1"/>
      <c r="B183" s="1"/>
      <c r="D183" s="1"/>
    </row>
    <row r="184">
      <c r="A184" s="1"/>
      <c r="B184" s="1"/>
      <c r="D184" s="1"/>
    </row>
    <row r="185">
      <c r="A185" s="1"/>
      <c r="B185" s="1"/>
      <c r="D185" s="1"/>
    </row>
    <row r="186">
      <c r="A186" s="1"/>
      <c r="B186" s="1"/>
      <c r="D186" s="1"/>
    </row>
    <row r="187">
      <c r="A187" s="1"/>
      <c r="B187" s="1"/>
      <c r="D187" s="1"/>
    </row>
    <row r="188">
      <c r="A188" s="1"/>
      <c r="B188" s="1"/>
      <c r="D188" s="1"/>
    </row>
    <row r="189">
      <c r="A189" s="1"/>
      <c r="B189" s="1"/>
      <c r="D189" s="1"/>
    </row>
    <row r="190">
      <c r="A190" s="1"/>
      <c r="B190" s="1"/>
      <c r="D190" s="1"/>
    </row>
    <row r="191">
      <c r="A191" s="1"/>
      <c r="B191" s="1"/>
      <c r="D191" s="1"/>
    </row>
    <row r="192">
      <c r="A192" s="1"/>
      <c r="B192" s="1"/>
      <c r="D192" s="1"/>
    </row>
    <row r="193">
      <c r="A193" s="1"/>
      <c r="B193" s="1"/>
      <c r="D193" s="1"/>
    </row>
    <row r="194">
      <c r="A194" s="1"/>
      <c r="B194" s="1"/>
      <c r="D194" s="1"/>
    </row>
    <row r="195">
      <c r="A195" s="1"/>
      <c r="B195" s="1"/>
      <c r="D195" s="1"/>
    </row>
    <row r="196">
      <c r="A196" s="1"/>
      <c r="B196" s="1"/>
      <c r="D196" s="1"/>
    </row>
    <row r="197">
      <c r="A197" s="1"/>
      <c r="B197" s="1"/>
      <c r="D197" s="1"/>
    </row>
    <row r="198">
      <c r="A198" s="1"/>
      <c r="B198" s="1"/>
      <c r="D198" s="1"/>
    </row>
    <row r="199">
      <c r="A199" s="1"/>
      <c r="B199" s="1"/>
      <c r="D199" s="1"/>
    </row>
  </sheetData>
  <mergeCells>
    <mergeCell ref="I1:N1"/>
    <mergeCell ref="A1:H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